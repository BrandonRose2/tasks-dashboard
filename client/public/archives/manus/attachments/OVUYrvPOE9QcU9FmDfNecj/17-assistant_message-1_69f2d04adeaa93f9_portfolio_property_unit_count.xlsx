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Unit Count" sheetId="1" state="visible" r:id="rId1"/>
    <sheet xmlns:r="http://schemas.openxmlformats.org/officeDocument/2006/relationships" name="State Summary" sheetId="2" state="visible" r:id="rId2"/>
  </sheets>
  <definedNames>
    <definedName name="_xlnm._FilterDatabase" localSheetId="0" hidden="1">'Property Unit Count'!$A$5:$D$47</definedName>
    <definedName name="_xlnm.Print_Titles" localSheetId="0">'Property Unit Count'!$1:$5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DCEBFA"/>
      <sz val="11"/>
    </font>
    <font>
      <name val="Aptos"/>
      <b val="1"/>
      <color rgb="006B7280"/>
      <sz val="9"/>
    </font>
    <font>
      <name val="Aptos Display"/>
      <b val="1"/>
      <color rgb="000B2D5B"/>
      <sz val="15"/>
    </font>
    <font>
      <name val="Aptos"/>
      <b val="1"/>
      <color rgb="00FFFFFF"/>
      <sz val="11"/>
    </font>
    <font>
      <name val="Aptos"/>
      <color rgb="001F2937"/>
      <sz val="10"/>
    </font>
    <font>
      <name val="Aptos"/>
      <b val="1"/>
      <color rgb="001F2937"/>
      <sz val="10"/>
    </font>
    <font>
      <name val="Aptos Display"/>
      <b val="1"/>
      <color rgb="00FFFFFF"/>
      <sz val="18"/>
    </font>
  </fonts>
  <fills count="7">
    <fill>
      <patternFill/>
    </fill>
    <fill>
      <patternFill patternType="gray125"/>
    </fill>
    <fill>
      <patternFill patternType="solid">
        <fgColor rgb="000B2D5B"/>
      </patternFill>
    </fill>
    <fill>
      <patternFill patternType="solid">
        <fgColor rgb="00E8F1F8"/>
      </patternFill>
    </fill>
    <fill>
      <patternFill patternType="solid">
        <fgColor rgb="00EAF3FA"/>
      </patternFill>
    </fill>
    <fill>
      <patternFill patternType="solid">
        <fgColor rgb="00F6FAFD"/>
      </patternFill>
    </fill>
    <fill>
      <patternFill patternType="solid">
        <fgColor rgb="00138A8B"/>
      </patternFill>
    </fill>
  </fills>
  <borders count="4">
    <border>
      <left/>
      <right/>
      <top/>
      <bottom/>
      <diagonal/>
    </border>
    <border>
      <top style="thin">
        <color rgb="00D9E2EC"/>
      </top>
      <bottom style="thin">
        <color rgb="00D9E2EC"/>
      </bottom>
    </border>
    <border>
      <top style="medium">
        <color rgb="00138A8B"/>
      </top>
      <bottom style="thin">
        <color rgb="00D9E2EC"/>
      </bottom>
    </border>
    <border>
      <bottom style="thin">
        <color rgb="00D9E2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7" fillId="4" borderId="3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7" fillId="5" borderId="3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pertyUnitCountTable" displayName="PropertyUnitCountTable" ref="A5:D47" headerRowCount="1">
  <autoFilter ref="A5:D47"/>
  <tableColumns count="4">
    <tableColumn id="1" name="#"/>
    <tableColumn id="2" name="Property"/>
    <tableColumn id="3" name="State"/>
    <tableColumn id="4" name="Unit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9" customWidth="1" min="2" max="2"/>
    <col width="12" customWidth="1" min="3" max="3"/>
    <col width="14" customWidth="1" min="4" max="4"/>
  </cols>
  <sheetData>
    <row r="1" ht="34" customHeight="1">
      <c r="A1" s="1" t="inlineStr">
        <is>
          <t>Portfolio Property &amp; Unit Count</t>
        </is>
      </c>
    </row>
    <row r="2" ht="22" customHeight="1">
      <c r="A2" s="2" t="inlineStr">
        <is>
          <t>42 properties across 9 states</t>
        </is>
      </c>
    </row>
    <row r="3" ht="18" customHeight="1">
      <c r="A3" s="3" t="inlineStr">
        <is>
          <t>Properties</t>
        </is>
      </c>
      <c r="B3" s="3" t="inlineStr">
        <is>
          <t>States</t>
        </is>
      </c>
      <c r="C3" s="3" t="inlineStr">
        <is>
          <t>Total Units</t>
        </is>
      </c>
      <c r="D3" s="3" t="inlineStr">
        <is>
          <t>Average Units</t>
        </is>
      </c>
    </row>
    <row r="4" ht="25" customHeight="1">
      <c r="A4" s="4">
        <f>COUNTA(A6:A47)</f>
        <v/>
      </c>
      <c r="B4" s="4">
        <f>COUNTA(UNIQUE(C6:C47))</f>
        <v/>
      </c>
      <c r="C4" s="4">
        <f>SUM(D6:D47)</f>
        <v/>
      </c>
      <c r="D4" s="4">
        <f>AVERAGE(D6:D47)</f>
        <v/>
      </c>
    </row>
    <row r="5" ht="23" customHeight="1">
      <c r="A5" s="5" t="inlineStr">
        <is>
          <t>#</t>
        </is>
      </c>
      <c r="B5" s="5" t="inlineStr">
        <is>
          <t>Property</t>
        </is>
      </c>
      <c r="C5" s="5" t="inlineStr">
        <is>
          <t>State</t>
        </is>
      </c>
      <c r="D5" s="5" t="inlineStr">
        <is>
          <t>Units</t>
        </is>
      </c>
    </row>
    <row r="6" ht="19" customHeight="1">
      <c r="A6" s="6" t="n">
        <v>26</v>
      </c>
      <c r="B6" s="7" t="inlineStr">
        <is>
          <t>Anaheim Gardens</t>
        </is>
      </c>
      <c r="C6" s="6" t="inlineStr">
        <is>
          <t>CA</t>
        </is>
      </c>
      <c r="D6" s="8" t="n">
        <v>80</v>
      </c>
    </row>
    <row r="7" ht="19" customHeight="1">
      <c r="A7" s="9" t="n">
        <v>30</v>
      </c>
      <c r="B7" s="10" t="inlineStr">
        <is>
          <t>Columbia</t>
        </is>
      </c>
      <c r="C7" s="9" t="inlineStr">
        <is>
          <t>CA</t>
        </is>
      </c>
      <c r="D7" s="11" t="n">
        <v>78</v>
      </c>
    </row>
    <row r="8" ht="19" customHeight="1">
      <c r="A8" s="9" t="n">
        <v>27</v>
      </c>
      <c r="B8" s="10" t="inlineStr">
        <is>
          <t>Fairfax</t>
        </is>
      </c>
      <c r="C8" s="9" t="inlineStr">
        <is>
          <t>CA</t>
        </is>
      </c>
      <c r="D8" s="11" t="n">
        <v>48</v>
      </c>
    </row>
    <row r="9" ht="19" customHeight="1">
      <c r="A9" s="9" t="n">
        <v>29</v>
      </c>
      <c r="B9" s="10" t="inlineStr">
        <is>
          <t>Forest View</t>
        </is>
      </c>
      <c r="C9" s="9" t="inlineStr">
        <is>
          <t>CA</t>
        </is>
      </c>
      <c r="D9" s="11" t="n">
        <v>59</v>
      </c>
    </row>
    <row r="10" ht="19" customHeight="1">
      <c r="A10" s="9" t="n">
        <v>32</v>
      </c>
      <c r="B10" s="10" t="inlineStr">
        <is>
          <t>Granite Ridge</t>
        </is>
      </c>
      <c r="C10" s="9" t="inlineStr">
        <is>
          <t>CA</t>
        </is>
      </c>
      <c r="D10" s="11" t="n">
        <v>80</v>
      </c>
    </row>
    <row r="11" ht="19" customHeight="1">
      <c r="A11" s="9" t="n">
        <v>24</v>
      </c>
      <c r="B11" s="10" t="inlineStr">
        <is>
          <t>Midtown</t>
        </is>
      </c>
      <c r="C11" s="9" t="inlineStr">
        <is>
          <t>CA</t>
        </is>
      </c>
      <c r="D11" s="11" t="n">
        <v>32</v>
      </c>
    </row>
    <row r="12" ht="19" customHeight="1">
      <c r="A12" s="9" t="n">
        <v>28</v>
      </c>
      <c r="B12" s="10" t="inlineStr">
        <is>
          <t>Oak Hills</t>
        </is>
      </c>
      <c r="C12" s="9" t="inlineStr">
        <is>
          <t>CA</t>
        </is>
      </c>
      <c r="D12" s="11" t="n">
        <v>78</v>
      </c>
    </row>
    <row r="13" ht="19" customHeight="1">
      <c r="A13" s="9" t="n">
        <v>31</v>
      </c>
      <c r="B13" s="10" t="inlineStr">
        <is>
          <t>Pacific</t>
        </is>
      </c>
      <c r="C13" s="9" t="inlineStr">
        <is>
          <t>CA</t>
        </is>
      </c>
      <c r="D13" s="11" t="n">
        <v>79</v>
      </c>
    </row>
    <row r="14" ht="19" customHeight="1">
      <c r="A14" s="9" t="n">
        <v>45</v>
      </c>
      <c r="B14" s="10" t="inlineStr">
        <is>
          <t>River Garden</t>
        </is>
      </c>
      <c r="C14" s="9" t="inlineStr">
        <is>
          <t>CA</t>
        </is>
      </c>
      <c r="D14" s="11" t="n">
        <v>123</v>
      </c>
    </row>
    <row r="15" ht="19" customHeight="1">
      <c r="A15" s="9" t="n">
        <v>25</v>
      </c>
      <c r="B15" s="10" t="inlineStr">
        <is>
          <t>Urban</t>
        </is>
      </c>
      <c r="C15" s="9" t="inlineStr">
        <is>
          <t>CA</t>
        </is>
      </c>
      <c r="D15" s="11" t="n">
        <v>60</v>
      </c>
    </row>
    <row r="16" ht="19" customHeight="1">
      <c r="A16" s="9" t="n">
        <v>23</v>
      </c>
      <c r="B16" s="10" t="inlineStr">
        <is>
          <t>Wilmington</t>
        </is>
      </c>
      <c r="C16" s="9" t="inlineStr">
        <is>
          <t>CA</t>
        </is>
      </c>
      <c r="D16" s="11" t="n">
        <v>162</v>
      </c>
    </row>
    <row r="17" ht="19" customHeight="1">
      <c r="A17" s="6" t="n">
        <v>5</v>
      </c>
      <c r="B17" s="7" t="inlineStr">
        <is>
          <t>Arbor Crest</t>
        </is>
      </c>
      <c r="C17" s="6" t="inlineStr">
        <is>
          <t>FL</t>
        </is>
      </c>
      <c r="D17" s="8" t="n">
        <v>120</v>
      </c>
    </row>
    <row r="18" ht="19" customHeight="1">
      <c r="A18" s="9" t="n">
        <v>1</v>
      </c>
      <c r="B18" s="10" t="inlineStr">
        <is>
          <t>Boca Ciega</t>
        </is>
      </c>
      <c r="C18" s="9" t="inlineStr">
        <is>
          <t>FL</t>
        </is>
      </c>
      <c r="D18" s="11" t="n">
        <v>109</v>
      </c>
    </row>
    <row r="19" ht="19" customHeight="1">
      <c r="A19" s="9" t="n">
        <v>37</v>
      </c>
      <c r="B19" s="10" t="inlineStr">
        <is>
          <t>Coral Village</t>
        </is>
      </c>
      <c r="C19" s="9" t="inlineStr">
        <is>
          <t>FL</t>
        </is>
      </c>
      <c r="D19" s="11" t="n">
        <v>72</v>
      </c>
    </row>
    <row r="20" ht="19" customHeight="1">
      <c r="A20" s="9" t="n">
        <v>2</v>
      </c>
      <c r="B20" s="10" t="inlineStr">
        <is>
          <t>Jefferson</t>
        </is>
      </c>
      <c r="C20" s="9" t="inlineStr">
        <is>
          <t>FL</t>
        </is>
      </c>
      <c r="D20" s="11" t="n">
        <v>75</v>
      </c>
    </row>
    <row r="21" ht="19" customHeight="1">
      <c r="A21" s="9" t="n">
        <v>3</v>
      </c>
      <c r="B21" s="10" t="inlineStr">
        <is>
          <t>Macedonia</t>
        </is>
      </c>
      <c r="C21" s="9" t="inlineStr">
        <is>
          <t>FL</t>
        </is>
      </c>
      <c r="D21" s="11" t="n">
        <v>100</v>
      </c>
    </row>
    <row r="22" ht="19" customHeight="1">
      <c r="A22" s="9" t="n">
        <v>4</v>
      </c>
      <c r="B22" s="10" t="inlineStr">
        <is>
          <t>Opa Locka</t>
        </is>
      </c>
      <c r="C22" s="9" t="inlineStr">
        <is>
          <t>FL</t>
        </is>
      </c>
      <c r="D22" s="11" t="n">
        <v>65</v>
      </c>
    </row>
    <row r="23" ht="19" customHeight="1">
      <c r="A23" s="6" t="n">
        <v>41</v>
      </c>
      <c r="B23" s="7" t="inlineStr">
        <is>
          <t>Bayou Pointe</t>
        </is>
      </c>
      <c r="C23" s="6" t="inlineStr">
        <is>
          <t>LA</t>
        </is>
      </c>
      <c r="D23" s="8" t="n">
        <v>60</v>
      </c>
    </row>
    <row r="24" ht="19" customHeight="1">
      <c r="A24" s="9" t="n">
        <v>17</v>
      </c>
      <c r="B24" s="10" t="inlineStr">
        <is>
          <t>Gates</t>
        </is>
      </c>
      <c r="C24" s="9" t="inlineStr">
        <is>
          <t>LA</t>
        </is>
      </c>
      <c r="D24" s="11" t="n">
        <v>276</v>
      </c>
    </row>
    <row r="25" ht="19" customHeight="1">
      <c r="A25" s="9" t="n">
        <v>44</v>
      </c>
      <c r="B25" s="10" t="inlineStr">
        <is>
          <t>Howell Place</t>
        </is>
      </c>
      <c r="C25" s="9" t="inlineStr">
        <is>
          <t>LA</t>
        </is>
      </c>
      <c r="D25" s="11" t="n">
        <v>48</v>
      </c>
    </row>
    <row r="26" ht="19" customHeight="1">
      <c r="A26" s="9" t="n">
        <v>21</v>
      </c>
      <c r="B26" s="10" t="inlineStr">
        <is>
          <t>Marrero</t>
        </is>
      </c>
      <c r="C26" s="9" t="inlineStr">
        <is>
          <t>LA</t>
        </is>
      </c>
      <c r="D26" s="11" t="n">
        <v>173</v>
      </c>
    </row>
    <row r="27" ht="19" customHeight="1">
      <c r="A27" s="9" t="n">
        <v>40</v>
      </c>
      <c r="B27" s="10" t="inlineStr">
        <is>
          <t>North Pointe</t>
        </is>
      </c>
      <c r="C27" s="9" t="inlineStr">
        <is>
          <t>LA</t>
        </is>
      </c>
      <c r="D27" s="11" t="n">
        <v>27</v>
      </c>
    </row>
    <row r="28" ht="19" customHeight="1">
      <c r="A28" s="9" t="n">
        <v>42</v>
      </c>
      <c r="B28" s="10" t="inlineStr">
        <is>
          <t>Pelican Bay</t>
        </is>
      </c>
      <c r="C28" s="9" t="inlineStr">
        <is>
          <t>LA</t>
        </is>
      </c>
      <c r="D28" s="11" t="n">
        <v>152</v>
      </c>
    </row>
    <row r="29" ht="19" customHeight="1">
      <c r="A29" s="9" t="n">
        <v>43</v>
      </c>
      <c r="B29" s="10" t="inlineStr">
        <is>
          <t>Pirates Bend</t>
        </is>
      </c>
      <c r="C29" s="9" t="inlineStr">
        <is>
          <t>LA</t>
        </is>
      </c>
      <c r="D29" s="11" t="n">
        <v>48</v>
      </c>
    </row>
    <row r="30" ht="19" customHeight="1">
      <c r="A30" s="9" t="n">
        <v>19</v>
      </c>
      <c r="B30" s="10" t="inlineStr">
        <is>
          <t>Ruby</t>
        </is>
      </c>
      <c r="C30" s="9" t="inlineStr">
        <is>
          <t>LA</t>
        </is>
      </c>
      <c r="D30" s="11" t="n">
        <v>73</v>
      </c>
    </row>
    <row r="31" ht="19" customHeight="1">
      <c r="A31" s="9" t="n">
        <v>22</v>
      </c>
      <c r="B31" s="10" t="inlineStr">
        <is>
          <t>St. Charles</t>
        </is>
      </c>
      <c r="C31" s="9" t="inlineStr">
        <is>
          <t>LA</t>
        </is>
      </c>
      <c r="D31" s="11" t="n">
        <v>121</v>
      </c>
    </row>
    <row r="32" ht="19" customHeight="1">
      <c r="A32" s="9" t="n">
        <v>20</v>
      </c>
      <c r="B32" s="10" t="inlineStr">
        <is>
          <t>Star</t>
        </is>
      </c>
      <c r="C32" s="9" t="inlineStr">
        <is>
          <t>LA</t>
        </is>
      </c>
      <c r="D32" s="11" t="n">
        <v>48</v>
      </c>
    </row>
    <row r="33" ht="19" customHeight="1">
      <c r="A33" s="9" t="n">
        <v>18</v>
      </c>
      <c r="B33" s="10" t="inlineStr">
        <is>
          <t>Thibodaux</t>
        </is>
      </c>
      <c r="C33" s="9" t="inlineStr">
        <is>
          <t>LA</t>
        </is>
      </c>
      <c r="D33" s="11" t="n">
        <v>108</v>
      </c>
    </row>
    <row r="34" ht="19" customHeight="1">
      <c r="A34" s="9" t="n">
        <v>35</v>
      </c>
      <c r="B34" s="10" t="inlineStr">
        <is>
          <t>Windsor/Yorkshire</t>
        </is>
      </c>
      <c r="C34" s="9" t="inlineStr">
        <is>
          <t>LA</t>
        </is>
      </c>
      <c r="D34" s="11" t="n">
        <v>132</v>
      </c>
    </row>
    <row r="35" ht="19" customHeight="1">
      <c r="A35" s="6" t="n">
        <v>48</v>
      </c>
      <c r="B35" s="7" t="inlineStr">
        <is>
          <t>Crossroads</t>
        </is>
      </c>
      <c r="C35" s="6" t="inlineStr">
        <is>
          <t>MO</t>
        </is>
      </c>
      <c r="D35" s="8" t="n">
        <v>160</v>
      </c>
    </row>
    <row r="36" ht="19" customHeight="1">
      <c r="A36" s="6" t="n">
        <v>16</v>
      </c>
      <c r="B36" s="7" t="inlineStr">
        <is>
          <t>Cumberland</t>
        </is>
      </c>
      <c r="C36" s="6" t="inlineStr">
        <is>
          <t>MS</t>
        </is>
      </c>
      <c r="D36" s="8" t="n">
        <v>68</v>
      </c>
    </row>
    <row r="37" ht="19" customHeight="1">
      <c r="A37" s="9" t="n">
        <v>14</v>
      </c>
      <c r="B37" s="10" t="inlineStr">
        <is>
          <t>Holiday</t>
        </is>
      </c>
      <c r="C37" s="9" t="inlineStr">
        <is>
          <t>MS</t>
        </is>
      </c>
      <c r="D37" s="11" t="n">
        <v>115</v>
      </c>
    </row>
    <row r="38" ht="19" customHeight="1">
      <c r="A38" s="9" t="n">
        <v>15</v>
      </c>
      <c r="B38" s="10" t="inlineStr">
        <is>
          <t>Village Green</t>
        </is>
      </c>
      <c r="C38" s="9" t="inlineStr">
        <is>
          <t>MS</t>
        </is>
      </c>
      <c r="D38" s="11" t="n">
        <v>80</v>
      </c>
    </row>
    <row r="39" ht="19" customHeight="1">
      <c r="A39" s="6" t="n">
        <v>8</v>
      </c>
      <c r="B39" s="7" t="inlineStr">
        <is>
          <t>Silver Springs</t>
        </is>
      </c>
      <c r="C39" s="6" t="inlineStr">
        <is>
          <t>NC</t>
        </is>
      </c>
      <c r="D39" s="8" t="n">
        <v>100</v>
      </c>
    </row>
    <row r="40" ht="19" customHeight="1">
      <c r="A40" s="9" t="n">
        <v>33</v>
      </c>
      <c r="B40" s="10" t="inlineStr">
        <is>
          <t>Thomasville</t>
        </is>
      </c>
      <c r="C40" s="9" t="inlineStr">
        <is>
          <t>NC</t>
        </is>
      </c>
      <c r="D40" s="11" t="n">
        <v>100</v>
      </c>
    </row>
    <row r="41" ht="19" customHeight="1">
      <c r="A41" s="6" t="n">
        <v>6</v>
      </c>
      <c r="B41" s="7" t="inlineStr">
        <is>
          <t>River Pointe</t>
        </is>
      </c>
      <c r="C41" s="6" t="inlineStr">
        <is>
          <t>OH</t>
        </is>
      </c>
      <c r="D41" s="8" t="n">
        <v>160</v>
      </c>
    </row>
    <row r="42" ht="19" customHeight="1">
      <c r="A42" s="6" t="n">
        <v>11</v>
      </c>
      <c r="B42" s="7" t="inlineStr">
        <is>
          <t>Breckenridge</t>
        </is>
      </c>
      <c r="C42" s="6" t="inlineStr">
        <is>
          <t>TX</t>
        </is>
      </c>
      <c r="D42" s="8" t="n">
        <v>66</v>
      </c>
    </row>
    <row r="43" ht="19" customHeight="1">
      <c r="A43" s="9" t="n">
        <v>10</v>
      </c>
      <c r="B43" s="10" t="inlineStr">
        <is>
          <t>Grace Townhomes</t>
        </is>
      </c>
      <c r="C43" s="9" t="inlineStr">
        <is>
          <t>TX</t>
        </is>
      </c>
      <c r="D43" s="11" t="n">
        <v>112</v>
      </c>
    </row>
    <row r="44" ht="19" customHeight="1">
      <c r="A44" s="9" t="n">
        <v>34</v>
      </c>
      <c r="B44" s="10" t="inlineStr">
        <is>
          <t>Grove Park</t>
        </is>
      </c>
      <c r="C44" s="9" t="inlineStr">
        <is>
          <t>TX</t>
        </is>
      </c>
      <c r="D44" s="11" t="n">
        <v>60</v>
      </c>
    </row>
    <row r="45" ht="19" customHeight="1">
      <c r="A45" s="9" t="n">
        <v>47</v>
      </c>
      <c r="B45" s="10" t="inlineStr">
        <is>
          <t>La Promesa</t>
        </is>
      </c>
      <c r="C45" s="9" t="inlineStr">
        <is>
          <t>TX</t>
        </is>
      </c>
      <c r="D45" s="11" t="n">
        <v>136</v>
      </c>
    </row>
    <row r="46" ht="19" customHeight="1">
      <c r="A46" s="9" t="n">
        <v>13</v>
      </c>
      <c r="B46" s="10" t="inlineStr">
        <is>
          <t>Lexington</t>
        </is>
      </c>
      <c r="C46" s="9" t="inlineStr">
        <is>
          <t>TX</t>
        </is>
      </c>
      <c r="D46" s="11" t="n">
        <v>61</v>
      </c>
    </row>
    <row r="47" ht="19" customHeight="1">
      <c r="A47" s="6" t="n">
        <v>46</v>
      </c>
      <c r="B47" s="7" t="inlineStr">
        <is>
          <t>Walnut Hill</t>
        </is>
      </c>
      <c r="C47" s="6" t="inlineStr">
        <is>
          <t>VA</t>
        </is>
      </c>
      <c r="D47" s="8" t="n">
        <v>168</v>
      </c>
    </row>
  </sheetData>
  <autoFilter ref="A5:D47"/>
  <mergeCells count="2">
    <mergeCell ref="A1:D1"/>
    <mergeCell ref="A2:D2"/>
  </mergeCells>
  <conditionalFormatting sqref="D6:D47">
    <cfRule type="dataBar" priority="1">
      <dataBar showValue="1">
        <cfvo type="min"/>
        <cfvo type="max"/>
        <color rgb="00138A8B"/>
      </dataBar>
    </cfRule>
  </conditionalFormatting>
  <pageMargins left="0.75" right="0.75" top="1" bottom="1" header="0.5" footer="0.5"/>
  <pageSetup orientation="portrait" paperSize="1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2" customHeight="1">
      <c r="A1" s="12" t="inlineStr">
        <is>
          <t>State Summary</t>
        </is>
      </c>
    </row>
    <row r="3">
      <c r="A3" s="13" t="inlineStr">
        <is>
          <t>State</t>
        </is>
      </c>
      <c r="B3" s="13" t="inlineStr">
        <is>
          <t>Total Units</t>
        </is>
      </c>
    </row>
    <row r="4">
      <c r="A4" s="14" t="inlineStr">
        <is>
          <t>CA</t>
        </is>
      </c>
      <c r="B4" s="15">
        <f>SUMIF('Property Unit Count'!$C$6:$C$47,A4,'Property Unit Count'!$D$6:$D$47)</f>
        <v/>
      </c>
    </row>
    <row r="5">
      <c r="A5" s="16" t="inlineStr">
        <is>
          <t>FL</t>
        </is>
      </c>
      <c r="B5" s="17">
        <f>SUMIF('Property Unit Count'!$C$6:$C$47,A5,'Property Unit Count'!$D$6:$D$47)</f>
        <v/>
      </c>
    </row>
    <row r="6">
      <c r="A6" s="14" t="inlineStr">
        <is>
          <t>LA</t>
        </is>
      </c>
      <c r="B6" s="15">
        <f>SUMIF('Property Unit Count'!$C$6:$C$47,A6,'Property Unit Count'!$D$6:$D$47)</f>
        <v/>
      </c>
    </row>
    <row r="7">
      <c r="A7" s="16" t="inlineStr">
        <is>
          <t>MO</t>
        </is>
      </c>
      <c r="B7" s="17">
        <f>SUMIF('Property Unit Count'!$C$6:$C$47,A7,'Property Unit Count'!$D$6:$D$47)</f>
        <v/>
      </c>
    </row>
    <row r="8">
      <c r="A8" s="14" t="inlineStr">
        <is>
          <t>MS</t>
        </is>
      </c>
      <c r="B8" s="15">
        <f>SUMIF('Property Unit Count'!$C$6:$C$47,A8,'Property Unit Count'!$D$6:$D$47)</f>
        <v/>
      </c>
    </row>
    <row r="9">
      <c r="A9" s="16" t="inlineStr">
        <is>
          <t>NC</t>
        </is>
      </c>
      <c r="B9" s="17">
        <f>SUMIF('Property Unit Count'!$C$6:$C$47,A9,'Property Unit Count'!$D$6:$D$47)</f>
        <v/>
      </c>
    </row>
    <row r="10">
      <c r="A10" s="14" t="inlineStr">
        <is>
          <t>OH</t>
        </is>
      </c>
      <c r="B10" s="15">
        <f>SUMIF('Property Unit Count'!$C$6:$C$47,A10,'Property Unit Count'!$D$6:$D$47)</f>
        <v/>
      </c>
    </row>
    <row r="11">
      <c r="A11" s="16" t="inlineStr">
        <is>
          <t>TX</t>
        </is>
      </c>
      <c r="B11" s="17">
        <f>SUMIF('Property Unit Count'!$C$6:$C$47,A11,'Property Unit Count'!$D$6:$D$47)</f>
        <v/>
      </c>
    </row>
    <row r="12">
      <c r="A12" s="14" t="inlineStr">
        <is>
          <t>VA</t>
        </is>
      </c>
      <c r="B12" s="15">
        <f>SUMIF('Property Unit Count'!$C$6:$C$47,A12,'Property Unit Count'!$D$6:$D$47)</f>
        <v/>
      </c>
    </row>
    <row r="13">
      <c r="A13" s="18" t="inlineStr">
        <is>
          <t>Portfolio Total</t>
        </is>
      </c>
      <c r="B13" s="18">
        <f>SUM(B4:B12)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2026-08-10T20:33:57Z</dcterms:created>
  <dcterms:modified xmlns:dcterms="http://purl.org/dc/terms/" xmlns:xsi="http://www.w3.org/2001/XMLSchema-instance" xsi:type="dcterms:W3CDTF">2026-08-10T20:33:58Z</dcterms:modified>
</cp:coreProperties>
</file>