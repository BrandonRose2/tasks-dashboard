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3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71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auto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color auto="1"/>
      <sz val="10"/>
    </font>
    <font>
      <name val="Calibri"/>
      <color auto="1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6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Californian FB"/>
      <b val="1"/>
      <color theme="0"/>
      <sz val="16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4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1F1F1F"/>
      <sz val="16"/>
    </font>
    <font>
      <name val="Calibri"/>
      <b val="1"/>
      <color rgb="FFC00000"/>
      <sz val="16"/>
    </font>
    <font>
      <name val="Calibri"/>
      <b val="1"/>
      <color rgb="FFCC0000"/>
      <sz val="10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rgb="FF555555"/>
      <sz val="11"/>
    </font>
    <font>
      <name val="Calibri"/>
      <b val="1"/>
      <color theme="7" tint="0.6"/>
      <sz val="16"/>
    </font>
    <font>
      <name val="Calibri"/>
      <b val="1"/>
      <color theme="0"/>
      <sz val="10"/>
    </font>
    <font>
      <name val="Calibri"/>
      <b val="1"/>
      <color rgb="FF4D9500"/>
      <sz val="16"/>
    </font>
    <font>
      <name val="Calibri"/>
      <color theme="1"/>
      <sz val="16"/>
      <scheme val="minor"/>
    </font>
    <font>
      <name val="Calibri"/>
      <i val="1"/>
      <color rgb="FF555555"/>
      <sz val="8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1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6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8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5"/>
      </patternFill>
    </fill>
    <fill>
      <patternFill patternType="solid">
        <fgColor rgb="FFE36C09"/>
      </patternFill>
    </fill>
    <fill>
      <patternFill patternType="solid">
        <fgColor theme="3" tint="-0.25"/>
      </patternFill>
    </fill>
    <fill>
      <patternFill patternType="solid">
        <fgColor rgb="FFFCE4D6"/>
      </patternFill>
    </fill>
    <fill>
      <patternFill patternType="solid">
        <fgColor theme="1" tint="0.3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rgb="FFFF9900"/>
      </patternFill>
    </fill>
  </fills>
  <borders count="51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 style="thin">
        <color rgb="FFCCCCCC"/>
      </right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/>
      <right style="thin">
        <color rgb="FFCCCCCC"/>
      </right>
      <top/>
      <bottom/>
    </border>
    <border>
      <left/>
      <right style="thin">
        <color rgb="FFCCCCCC"/>
      </right>
      <top/>
      <bottom style="medium">
        <color rgb="FF000000"/>
      </bottom>
    </border>
    <border>
      <left/>
      <right style="thin">
        <color rgb="FFCCCCCC"/>
      </right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1"/>
  </cellStyleXfs>
  <cellXfs count="402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0" fillId="6" borderId="1" pivotButton="0" quotePrefix="0" xfId="0"/>
    <xf numFmtId="0" fontId="0" fillId="7" borderId="2" applyAlignment="1" pivotButton="0" quotePrefix="0" xfId="0">
      <alignment horizontal="center" vertical="bottom"/>
    </xf>
    <xf numFmtId="0" fontId="0" fillId="7" borderId="2" pivotButton="0" quotePrefix="0" xfId="0"/>
    <xf numFmtId="0" fontId="4" fillId="7" borderId="2" pivotButton="0" quotePrefix="0" xfId="0"/>
    <xf numFmtId="0" fontId="0" fillId="7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8" borderId="4" applyAlignment="1" pivotButton="0" quotePrefix="0" xfId="0">
      <alignment horizontal="center" vertical="center"/>
    </xf>
    <xf numFmtId="0" fontId="1" fillId="9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0" fillId="8" borderId="1" pivotButton="0" quotePrefix="0" xfId="0"/>
    <xf numFmtId="0" fontId="8" fillId="10" borderId="5" applyAlignment="1" pivotButton="0" quotePrefix="0" xfId="0">
      <alignment horizontal="center" vertical="center"/>
    </xf>
    <xf numFmtId="0" fontId="0" fillId="0" borderId="5" pivotButton="0" quotePrefix="0" xfId="0"/>
    <xf numFmtId="0" fontId="9" fillId="3" borderId="4" applyAlignment="1" pivotButton="0" quotePrefix="0" xfId="0">
      <alignment horizontal="center" vertical="center" wrapText="1"/>
    </xf>
    <xf numFmtId="164" fontId="10" fillId="8" borderId="4" applyAlignment="1" pivotButton="0" quotePrefix="0" xfId="0">
      <alignment horizontal="center" vertical="center"/>
    </xf>
    <xf numFmtId="0" fontId="10" fillId="11" borderId="4" applyAlignment="1" pivotButton="0" quotePrefix="0" xfId="0">
      <alignment horizontal="left" vertical="center"/>
    </xf>
    <xf numFmtId="0" fontId="11" fillId="11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2" fillId="13" borderId="4" applyAlignment="1" pivotButton="0" quotePrefix="0" xfId="0">
      <alignment horizontal="left" vertical="center"/>
    </xf>
    <xf numFmtId="0" fontId="13" fillId="13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0" fontId="14" fillId="13" borderId="4" applyAlignment="1" pivotButton="0" quotePrefix="0" xfId="0">
      <alignment horizontal="left" vertical="center"/>
    </xf>
    <xf numFmtId="0" fontId="10" fillId="15" borderId="4" applyAlignment="1" pivotButton="0" quotePrefix="0" xfId="0">
      <alignment horizontal="left" vertical="center"/>
    </xf>
    <xf numFmtId="0" fontId="11" fillId="15" borderId="4" applyAlignment="1" pivotButton="0" quotePrefix="0" xfId="0">
      <alignment horizontal="center" vertical="center"/>
    </xf>
    <xf numFmtId="0" fontId="12" fillId="15" borderId="4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14" fillId="15" borderId="4" applyAlignment="1" pivotButton="0" quotePrefix="0" xfId="0">
      <alignment horizontal="left" vertical="center"/>
    </xf>
    <xf numFmtId="0" fontId="10" fillId="16" borderId="4" applyAlignment="1" pivotButton="0" quotePrefix="0" xfId="0">
      <alignment horizontal="left" vertical="center"/>
    </xf>
    <xf numFmtId="0" fontId="11" fillId="16" borderId="4" applyAlignment="1" pivotButton="0" quotePrefix="0" xfId="0">
      <alignment horizontal="center" vertical="center"/>
    </xf>
    <xf numFmtId="0" fontId="10" fillId="17" borderId="4" applyAlignment="1" pivotButton="0" quotePrefix="0" xfId="0">
      <alignment horizontal="left" vertical="center"/>
    </xf>
    <xf numFmtId="0" fontId="11" fillId="17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13" fillId="2" borderId="4" applyAlignment="1" pivotButton="0" quotePrefix="0" xfId="0">
      <alignment horizontal="center" vertical="center"/>
    </xf>
    <xf numFmtId="0" fontId="14" fillId="2" borderId="4" applyAlignment="1" pivotButton="0" quotePrefix="0" xfId="0">
      <alignment horizontal="left" vertical="center"/>
    </xf>
    <xf numFmtId="0" fontId="12" fillId="15" borderId="4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0" fillId="7" borderId="4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164" fontId="10" fillId="2" borderId="4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6" fillId="3" borderId="4" applyAlignment="1" pivotButton="0" quotePrefix="0" xfId="0">
      <alignment horizontal="center" vertical="center"/>
    </xf>
    <xf numFmtId="0" fontId="17" fillId="3" borderId="4" applyAlignment="1" pivotButton="0" quotePrefix="0" xfId="0">
      <alignment horizontal="right" vertical="center"/>
    </xf>
    <xf numFmtId="0" fontId="1" fillId="5" borderId="4" applyAlignment="1" pivotButton="0" quotePrefix="0" xfId="0">
      <alignment horizontal="center" vertical="center"/>
    </xf>
    <xf numFmtId="0" fontId="18" fillId="18" borderId="4" applyAlignment="1" pivotButton="0" quotePrefix="0" xfId="0">
      <alignment horizontal="center" vertical="center"/>
    </xf>
    <xf numFmtId="0" fontId="19" fillId="19" borderId="4" applyAlignment="1" pivotButton="0" quotePrefix="0" xfId="0">
      <alignment horizontal="left" vertical="center" wrapText="1"/>
    </xf>
    <xf numFmtId="0" fontId="20" fillId="3" borderId="4" applyAlignment="1" pivotButton="0" quotePrefix="0" xfId="0">
      <alignment horizontal="center" vertical="center" wrapText="1"/>
    </xf>
    <xf numFmtId="0" fontId="21" fillId="3" borderId="4" applyAlignment="1" pivotButton="0" quotePrefix="0" xfId="0">
      <alignment horizontal="center" vertical="center" wrapText="1"/>
    </xf>
    <xf numFmtId="0" fontId="22" fillId="3" borderId="4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24" fillId="20" borderId="4" applyAlignment="1" pivotButton="0" quotePrefix="0" xfId="0">
      <alignment horizontal="center" vertical="center"/>
    </xf>
    <xf numFmtId="0" fontId="25" fillId="20" borderId="4" applyAlignment="1" pivotButton="0" quotePrefix="0" xfId="0">
      <alignment horizontal="center" vertical="center"/>
    </xf>
    <xf numFmtId="0" fontId="26" fillId="20" borderId="4" applyAlignment="1" pivotButton="0" quotePrefix="0" xfId="0">
      <alignment horizontal="center" vertical="center"/>
    </xf>
    <xf numFmtId="0" fontId="27" fillId="14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29" fillId="14" borderId="4" applyAlignment="1" pivotButton="0" quotePrefix="0" xfId="0">
      <alignment horizontal="center" vertical="center"/>
    </xf>
    <xf numFmtId="0" fontId="30" fillId="14" borderId="4" applyAlignment="1" pivotButton="0" quotePrefix="0" xfId="0">
      <alignment horizontal="center" vertical="center"/>
    </xf>
    <xf numFmtId="0" fontId="31" fillId="14" borderId="4" applyAlignment="1" pivotButton="0" quotePrefix="0" xfId="0">
      <alignment horizontal="center" vertical="center"/>
    </xf>
    <xf numFmtId="0" fontId="32" fillId="14" borderId="4" applyAlignment="1" pivotButton="0" quotePrefix="0" xfId="0">
      <alignment horizontal="left" vertical="center" wrapText="1"/>
    </xf>
    <xf numFmtId="0" fontId="33" fillId="14" borderId="4" applyAlignment="1" pivotButton="0" quotePrefix="0" xfId="0">
      <alignment horizontal="left" vertical="center" wrapText="1"/>
    </xf>
    <xf numFmtId="0" fontId="27" fillId="21" borderId="4" applyAlignment="1" pivotButton="0" quotePrefix="0" xfId="0">
      <alignment horizontal="center" vertical="center"/>
    </xf>
    <xf numFmtId="0" fontId="6" fillId="22" borderId="4" applyAlignment="1" pivotButton="0" quotePrefix="0" xfId="0">
      <alignment horizontal="center" vertical="center"/>
    </xf>
    <xf numFmtId="0" fontId="34" fillId="21" borderId="4" applyAlignment="1" pivotButton="0" quotePrefix="0" xfId="0">
      <alignment horizontal="center" vertical="center"/>
    </xf>
    <xf numFmtId="0" fontId="35" fillId="21" borderId="4" applyAlignment="1" pivotButton="0" quotePrefix="0" xfId="0">
      <alignment horizontal="center" vertical="center"/>
    </xf>
    <xf numFmtId="0" fontId="30" fillId="21" borderId="4" applyAlignment="1" pivotButton="0" quotePrefix="0" xfId="0">
      <alignment horizontal="center" vertical="center"/>
    </xf>
    <xf numFmtId="0" fontId="31" fillId="21" borderId="4" applyAlignment="1" pivotButton="0" quotePrefix="0" xfId="0">
      <alignment horizontal="center" vertical="center"/>
    </xf>
    <xf numFmtId="0" fontId="36" fillId="23" borderId="4" applyAlignment="1" pivotButton="0" quotePrefix="0" xfId="0">
      <alignment horizontal="center" vertical="center"/>
    </xf>
    <xf numFmtId="0" fontId="32" fillId="21" borderId="4" applyAlignment="1" pivotButton="0" quotePrefix="0" xfId="0">
      <alignment horizontal="left" vertical="center" wrapText="1"/>
    </xf>
    <xf numFmtId="0" fontId="33" fillId="21" borderId="4" applyAlignment="1" pivotButton="0" quotePrefix="0" xfId="0">
      <alignment horizontal="left" vertical="center" wrapText="1"/>
    </xf>
    <xf numFmtId="0" fontId="27" fillId="21" borderId="8" applyAlignment="1" pivotButton="0" quotePrefix="0" xfId="0">
      <alignment horizontal="center" vertical="center"/>
    </xf>
    <xf numFmtId="0" fontId="6" fillId="22" borderId="8" applyAlignment="1" pivotButton="0" quotePrefix="0" xfId="0">
      <alignment horizontal="center" vertical="center"/>
    </xf>
    <xf numFmtId="0" fontId="34" fillId="21" borderId="8" applyAlignment="1" pivotButton="0" quotePrefix="0" xfId="0">
      <alignment horizontal="center" vertical="center"/>
    </xf>
    <xf numFmtId="0" fontId="0" fillId="0" borderId="9" pivotButton="0" quotePrefix="0" xfId="0"/>
    <xf numFmtId="0" fontId="35" fillId="21" borderId="8" applyAlignment="1" pivotButton="0" quotePrefix="0" xfId="0">
      <alignment horizontal="center" vertical="center"/>
    </xf>
    <xf numFmtId="0" fontId="30" fillId="21" borderId="8" applyAlignment="1" pivotButton="0" quotePrefix="0" xfId="0">
      <alignment horizontal="center" vertical="center"/>
    </xf>
    <xf numFmtId="0" fontId="31" fillId="21" borderId="8" applyAlignment="1" pivotButton="0" quotePrefix="0" xfId="0">
      <alignment horizontal="center" vertical="center"/>
    </xf>
    <xf numFmtId="0" fontId="37" fillId="24" borderId="8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 wrapText="1"/>
    </xf>
    <xf numFmtId="0" fontId="33" fillId="21" borderId="8" applyAlignment="1" pivotButton="0" quotePrefix="0" xfId="0">
      <alignment horizontal="left" vertical="center" wrapText="1"/>
    </xf>
    <xf numFmtId="0" fontId="29" fillId="11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38" fillId="23" borderId="11" applyAlignment="1" pivotButton="0" quotePrefix="0" xfId="0">
      <alignment horizontal="center" vertical="center"/>
    </xf>
    <xf numFmtId="0" fontId="39" fillId="25" borderId="12" applyAlignment="1" pivotButton="0" quotePrefix="0" xfId="0">
      <alignment horizontal="center" vertical="center" textRotation="255"/>
    </xf>
    <xf numFmtId="0" fontId="40" fillId="11" borderId="11" applyAlignment="1" pivotButton="0" quotePrefix="0" xfId="0">
      <alignment horizontal="center" vertical="center"/>
    </xf>
    <xf numFmtId="0" fontId="35" fillId="11" borderId="11" applyAlignment="1" pivotButton="0" quotePrefix="0" xfId="0">
      <alignment horizontal="center" vertical="center"/>
    </xf>
    <xf numFmtId="0" fontId="34" fillId="11" borderId="11" applyAlignment="1" pivotButton="0" quotePrefix="0" xfId="0">
      <alignment horizontal="center" vertical="center"/>
    </xf>
    <xf numFmtId="165" fontId="29" fillId="26" borderId="11" applyAlignment="1" pivotButton="0" quotePrefix="0" xfId="0">
      <alignment horizontal="center" vertical="center"/>
    </xf>
    <xf numFmtId="0" fontId="41" fillId="11" borderId="11" applyAlignment="1" pivotButton="0" quotePrefix="0" xfId="0">
      <alignment horizontal="center" vertical="center"/>
    </xf>
    <xf numFmtId="0" fontId="42" fillId="11" borderId="11" applyAlignment="1" pivotButton="0" quotePrefix="0" xfId="0">
      <alignment horizontal="center" vertical="center"/>
    </xf>
    <xf numFmtId="0" fontId="43" fillId="11" borderId="11" applyAlignment="1" pivotButton="0" quotePrefix="0" xfId="0">
      <alignment horizontal="center" vertical="center"/>
    </xf>
    <xf numFmtId="0" fontId="44" fillId="23" borderId="11" applyAlignment="1" pivotButton="0" quotePrefix="0" xfId="0">
      <alignment horizontal="center" vertical="center"/>
    </xf>
    <xf numFmtId="0" fontId="32" fillId="11" borderId="11" applyAlignment="1" pivotButton="0" quotePrefix="0" xfId="0">
      <alignment horizontal="left" vertical="center" wrapText="1"/>
    </xf>
    <xf numFmtId="0" fontId="33" fillId="11" borderId="13" applyAlignment="1" pivotButton="0" quotePrefix="0" xfId="0">
      <alignment horizontal="left" vertical="center" wrapText="1"/>
    </xf>
    <xf numFmtId="0" fontId="29" fillId="11" borderId="1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38" fillId="23" borderId="4" applyAlignment="1" pivotButton="0" quotePrefix="0" xfId="0">
      <alignment horizontal="center" vertical="center"/>
    </xf>
    <xf numFmtId="0" fontId="0" fillId="0" borderId="15" pivotButton="0" quotePrefix="0" xfId="0"/>
    <xf numFmtId="0" fontId="40" fillId="11" borderId="4" applyAlignment="1" pivotButton="0" quotePrefix="0" xfId="0">
      <alignment horizontal="center" vertical="center"/>
    </xf>
    <xf numFmtId="0" fontId="35" fillId="11" borderId="4" applyAlignment="1" pivotButton="0" quotePrefix="0" xfId="0">
      <alignment horizontal="center" vertical="center"/>
    </xf>
    <xf numFmtId="0" fontId="34" fillId="11" borderId="4" applyAlignment="1" pivotButton="0" quotePrefix="0" xfId="0">
      <alignment horizontal="center" vertical="center"/>
    </xf>
    <xf numFmtId="165" fontId="29" fillId="26" borderId="4" applyAlignment="1" pivotButton="0" quotePrefix="0" xfId="0">
      <alignment horizontal="center" vertical="center"/>
    </xf>
    <xf numFmtId="0" fontId="41" fillId="11" borderId="4" applyAlignment="1" pivotButton="0" quotePrefix="0" xfId="0">
      <alignment horizontal="center" vertical="center"/>
    </xf>
    <xf numFmtId="0" fontId="29" fillId="26" borderId="4" applyAlignment="1" pivotButton="0" quotePrefix="0" xfId="0">
      <alignment horizontal="center" vertical="center"/>
    </xf>
    <xf numFmtId="0" fontId="42" fillId="11" borderId="4" applyAlignment="1" pivotButton="0" quotePrefix="0" xfId="0">
      <alignment horizontal="center" vertical="center"/>
    </xf>
    <xf numFmtId="0" fontId="43" fillId="11" borderId="4" applyAlignment="1" pivotButton="0" quotePrefix="0" xfId="0">
      <alignment horizontal="center" vertical="center"/>
    </xf>
    <xf numFmtId="0" fontId="44" fillId="23" borderId="4" applyAlignment="1" pivotButton="0" quotePrefix="0" xfId="0">
      <alignment horizontal="center" vertical="center"/>
    </xf>
    <xf numFmtId="0" fontId="32" fillId="11" borderId="4" applyAlignment="1" pivotButton="0" quotePrefix="0" xfId="0">
      <alignment horizontal="left" vertical="center" wrapText="1"/>
    </xf>
    <xf numFmtId="0" fontId="33" fillId="11" borderId="16" applyAlignment="1" pivotButton="0" quotePrefix="0" xfId="0">
      <alignment horizontal="left" vertical="center" wrapText="1"/>
    </xf>
    <xf numFmtId="0" fontId="29" fillId="11" borderId="17" applyAlignment="1" pivotButton="0" quotePrefix="0" xfId="0">
      <alignment horizontal="center" vertical="center"/>
    </xf>
    <xf numFmtId="0" fontId="6" fillId="5" borderId="18" applyAlignment="1" pivotButton="0" quotePrefix="0" xfId="0">
      <alignment horizontal="center" vertical="center"/>
    </xf>
    <xf numFmtId="0" fontId="38" fillId="23" borderId="18" applyAlignment="1" pivotButton="0" quotePrefix="0" xfId="0">
      <alignment horizontal="center" vertical="center"/>
    </xf>
    <xf numFmtId="0" fontId="0" fillId="0" borderId="19" pivotButton="0" quotePrefix="0" xfId="0"/>
    <xf numFmtId="0" fontId="40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0" fontId="34" fillId="11" borderId="18" applyAlignment="1" pivotButton="0" quotePrefix="0" xfId="0">
      <alignment horizontal="center" vertical="center"/>
    </xf>
    <xf numFmtId="165" fontId="29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32" fillId="11" borderId="18" applyAlignment="1" pivotButton="0" quotePrefix="0" xfId="0">
      <alignment horizontal="left" vertical="center" wrapText="1"/>
    </xf>
    <xf numFmtId="0" fontId="33" fillId="11" borderId="20" applyAlignment="1" pivotButton="0" quotePrefix="0" xfId="0">
      <alignment horizontal="left" vertical="center" wrapText="1"/>
    </xf>
    <xf numFmtId="0" fontId="27" fillId="13" borderId="21" applyAlignment="1" pivotButton="0" quotePrefix="0" xfId="0">
      <alignment horizontal="center" vertical="center"/>
    </xf>
    <xf numFmtId="0" fontId="6" fillId="27" borderId="21" applyAlignment="1" pivotButton="0" quotePrefix="0" xfId="0">
      <alignment horizontal="center" vertical="center"/>
    </xf>
    <xf numFmtId="0" fontId="34" fillId="13" borderId="21" applyAlignment="1" pivotButton="0" quotePrefix="0" xfId="0">
      <alignment horizontal="center" vertical="center"/>
    </xf>
    <xf numFmtId="0" fontId="0" fillId="0" borderId="22" pivotButton="0" quotePrefix="0" xfId="0"/>
    <xf numFmtId="0" fontId="6" fillId="5" borderId="21" applyAlignment="1" pivotButton="0" quotePrefix="0" xfId="0">
      <alignment horizontal="center" vertical="center"/>
    </xf>
    <xf numFmtId="0" fontId="45" fillId="13" borderId="21" applyAlignment="1" pivotButton="0" quotePrefix="0" xfId="0">
      <alignment horizontal="left" vertical="center" wrapText="1"/>
    </xf>
    <xf numFmtId="0" fontId="46" fillId="13" borderId="21" applyAlignment="1" pivotButton="0" quotePrefix="0" xfId="0">
      <alignment horizontal="left" vertical="center" wrapText="1"/>
    </xf>
    <xf numFmtId="0" fontId="27" fillId="10" borderId="4" applyAlignment="1" pivotButton="0" quotePrefix="0" xfId="0">
      <alignment horizontal="center" vertical="center"/>
    </xf>
    <xf numFmtId="0" fontId="6" fillId="27" borderId="4" applyAlignment="1" pivotButton="0" quotePrefix="0" xfId="0">
      <alignment horizontal="center" vertical="center"/>
    </xf>
    <xf numFmtId="0" fontId="34" fillId="10" borderId="4" applyAlignment="1" pivotButton="0" quotePrefix="0" xfId="0">
      <alignment horizontal="center" vertical="center"/>
    </xf>
    <xf numFmtId="0" fontId="47" fillId="27" borderId="4" applyAlignment="1" pivotButton="0" quotePrefix="0" xfId="0">
      <alignment horizontal="center" vertical="center"/>
    </xf>
    <xf numFmtId="0" fontId="45" fillId="10" borderId="4" applyAlignment="1" pivotButton="0" quotePrefix="0" xfId="0">
      <alignment horizontal="left" vertical="center" wrapText="1"/>
    </xf>
    <xf numFmtId="0" fontId="46" fillId="10" borderId="4" applyAlignment="1" pivotButton="0" quotePrefix="0" xfId="0">
      <alignment horizontal="left" vertical="center" wrapText="1"/>
    </xf>
    <xf numFmtId="0" fontId="48" fillId="18" borderId="4" applyAlignment="1" pivotButton="0" quotePrefix="0" xfId="0">
      <alignment horizontal="center" vertical="center"/>
    </xf>
    <xf numFmtId="0" fontId="25" fillId="3" borderId="4" applyAlignment="1" pivotButton="0" quotePrefix="0" xfId="0">
      <alignment horizontal="center" vertical="center"/>
    </xf>
    <xf numFmtId="0" fontId="49" fillId="18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/>
    </xf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52" fillId="0" borderId="1" applyAlignment="1" pivotButton="0" quotePrefix="0" xfId="0">
      <alignment horizontal="left" vertical="center"/>
    </xf>
    <xf numFmtId="0" fontId="4" fillId="0" borderId="1" pivotButton="0" quotePrefix="0" xfId="0"/>
    <xf numFmtId="0" fontId="16" fillId="3" borderId="23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17" fillId="3" borderId="23" applyAlignment="1" pivotButton="0" quotePrefix="0" xfId="0">
      <alignment horizontal="right" vertical="center"/>
    </xf>
    <xf numFmtId="0" fontId="1" fillId="5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53" fillId="18" borderId="23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 wrapText="1"/>
    </xf>
    <xf numFmtId="0" fontId="20" fillId="3" borderId="29" applyAlignment="1" pivotButton="0" quotePrefix="0" xfId="0">
      <alignment horizontal="center" vertical="center" wrapText="1"/>
    </xf>
    <xf numFmtId="0" fontId="0" fillId="0" borderId="30" pivotButton="0" quotePrefix="0" xfId="0"/>
    <xf numFmtId="0" fontId="21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/>
    </xf>
    <xf numFmtId="0" fontId="56" fillId="3" borderId="29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55" fillId="3" borderId="29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24" fillId="20" borderId="23" applyAlignment="1" pivotButton="0" quotePrefix="0" xfId="0">
      <alignment horizontal="center" vertical="center"/>
    </xf>
    <xf numFmtId="0" fontId="25" fillId="20" borderId="23" applyAlignment="1" pivotButton="0" quotePrefix="0" xfId="0">
      <alignment horizontal="center" vertical="center"/>
    </xf>
    <xf numFmtId="0" fontId="57" fillId="20" borderId="26" applyAlignment="1" pivotButton="0" quotePrefix="0" xfId="0">
      <alignment horizontal="center" vertical="center"/>
    </xf>
    <xf numFmtId="0" fontId="27" fillId="14" borderId="23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/>
    </xf>
    <xf numFmtId="0" fontId="29" fillId="14" borderId="23" applyAlignment="1" pivotButton="0" quotePrefix="0" xfId="0">
      <alignment horizontal="center" vertical="center"/>
    </xf>
    <xf numFmtId="0" fontId="30" fillId="14" borderId="23" applyAlignment="1" pivotButton="0" quotePrefix="0" xfId="0">
      <alignment horizontal="center" vertical="center"/>
    </xf>
    <xf numFmtId="0" fontId="31" fillId="14" borderId="23" applyAlignment="1" pivotButton="0" quotePrefix="0" xfId="0">
      <alignment horizontal="center" vertical="center"/>
    </xf>
    <xf numFmtId="0" fontId="58" fillId="14" borderId="23" applyAlignment="1" pivotButton="0" quotePrefix="0" xfId="0">
      <alignment horizontal="left" vertical="center" wrapText="1"/>
    </xf>
    <xf numFmtId="0" fontId="33" fillId="14" borderId="23" applyAlignment="1" pivotButton="0" quotePrefix="0" xfId="0">
      <alignment horizontal="left" vertical="center" wrapText="1"/>
    </xf>
    <xf numFmtId="0" fontId="27" fillId="21" borderId="23" applyAlignment="1" pivotButton="0" quotePrefix="0" xfId="0">
      <alignment horizontal="center" vertical="center"/>
    </xf>
    <xf numFmtId="0" fontId="6" fillId="22" borderId="31" applyAlignment="1" pivotButton="0" quotePrefix="0" xfId="0">
      <alignment horizontal="center" vertical="center"/>
    </xf>
    <xf numFmtId="0" fontId="34" fillId="21" borderId="23" applyAlignment="1" pivotButton="0" quotePrefix="0" xfId="0">
      <alignment horizontal="center" vertical="center"/>
    </xf>
    <xf numFmtId="0" fontId="35" fillId="21" borderId="25" applyAlignment="1" pivotButton="0" quotePrefix="0" xfId="0">
      <alignment horizontal="center" vertical="center"/>
    </xf>
    <xf numFmtId="0" fontId="35" fillId="21" borderId="23" applyAlignment="1" pivotButton="0" quotePrefix="0" xfId="0">
      <alignment horizontal="center" vertical="center"/>
    </xf>
    <xf numFmtId="0" fontId="30" fillId="21" borderId="23" applyAlignment="1" pivotButton="0" quotePrefix="0" xfId="0">
      <alignment horizontal="center" vertical="center"/>
    </xf>
    <xf numFmtId="0" fontId="31" fillId="21" borderId="23" applyAlignment="1" pivotButton="0" quotePrefix="0" xfId="0">
      <alignment horizontal="center" vertical="center"/>
    </xf>
    <xf numFmtId="0" fontId="36" fillId="23" borderId="23" applyAlignment="1" pivotButton="0" quotePrefix="0" xfId="0">
      <alignment horizontal="center" vertical="center"/>
    </xf>
    <xf numFmtId="0" fontId="58" fillId="21" borderId="23" applyAlignment="1" pivotButton="0" quotePrefix="0" xfId="0">
      <alignment horizontal="left" vertical="center" wrapText="1"/>
    </xf>
    <xf numFmtId="0" fontId="33" fillId="21" borderId="23" applyAlignment="1" pivotButton="0" quotePrefix="0" xfId="0">
      <alignment horizontal="left" vertical="center" wrapText="1"/>
    </xf>
    <xf numFmtId="0" fontId="37" fillId="24" borderId="23" applyAlignment="1" pivotButton="0" quotePrefix="0" xfId="0">
      <alignment horizontal="center" vertical="center"/>
    </xf>
    <xf numFmtId="0" fontId="29" fillId="11" borderId="23" applyAlignment="1" pivotButton="0" quotePrefix="0" xfId="0">
      <alignment horizontal="center" vertical="center"/>
    </xf>
    <xf numFmtId="0" fontId="6" fillId="5" borderId="23" applyAlignment="1" pivotButton="0" quotePrefix="0" xfId="0">
      <alignment horizontal="center" vertical="center"/>
    </xf>
    <xf numFmtId="0" fontId="59" fillId="23" borderId="29" applyAlignment="1" pivotButton="0" quotePrefix="0" xfId="0">
      <alignment horizontal="center" vertical="center"/>
    </xf>
    <xf numFmtId="0" fontId="39" fillId="25" borderId="29" applyAlignment="1" pivotButton="0" quotePrefix="0" xfId="0">
      <alignment horizontal="center" vertical="center" textRotation="255"/>
    </xf>
    <xf numFmtId="0" fontId="40" fillId="11" borderId="23" applyAlignment="1" pivotButton="0" quotePrefix="0" xfId="0">
      <alignment horizontal="center" vertical="center"/>
    </xf>
    <xf numFmtId="0" fontId="35" fillId="11" borderId="23" applyAlignment="1" pivotButton="0" quotePrefix="0" xfId="0">
      <alignment horizontal="center" vertical="center"/>
    </xf>
    <xf numFmtId="0" fontId="34" fillId="11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41" fillId="11" borderId="23" applyAlignment="1" pivotButton="0" quotePrefix="0" xfId="0">
      <alignment horizontal="center" vertical="center"/>
    </xf>
    <xf numFmtId="0" fontId="42" fillId="11" borderId="23" applyAlignment="1" pivotButton="0" quotePrefix="0" xfId="0">
      <alignment horizontal="center" vertical="center"/>
    </xf>
    <xf numFmtId="0" fontId="43" fillId="11" borderId="23" applyAlignment="1" pivotButton="0" quotePrefix="0" xfId="0">
      <alignment horizontal="center" vertical="center"/>
    </xf>
    <xf numFmtId="0" fontId="44" fillId="23" borderId="23" applyAlignment="1" pivotButton="0" quotePrefix="0" xfId="0">
      <alignment horizontal="center" vertical="center"/>
    </xf>
    <xf numFmtId="0" fontId="58" fillId="11" borderId="23" applyAlignment="1" pivotButton="0" quotePrefix="0" xfId="0">
      <alignment horizontal="left" vertical="center" wrapText="1"/>
    </xf>
    <xf numFmtId="0" fontId="33" fillId="11" borderId="23" applyAlignment="1" pivotButton="0" quotePrefix="0" xfId="0">
      <alignment horizontal="left" vertical="center" wrapText="1"/>
    </xf>
    <xf numFmtId="0" fontId="59" fillId="23" borderId="23" applyAlignment="1" pivotButton="0" quotePrefix="0" xfId="0">
      <alignment horizontal="center" vertical="center"/>
    </xf>
    <xf numFmtId="0" fontId="0" fillId="0" borderId="32" pivotButton="0" quotePrefix="0" xfId="0"/>
    <xf numFmtId="0" fontId="59" fillId="23" borderId="26" applyAlignment="1" pivotButton="0" quotePrefix="0" xfId="0">
      <alignment horizontal="center" vertical="center"/>
    </xf>
    <xf numFmtId="0" fontId="0" fillId="0" borderId="29" pivotButton="0" quotePrefix="0" xfId="0"/>
    <xf numFmtId="0" fontId="29" fillId="26" borderId="23" applyAlignment="1" pivotButton="0" quotePrefix="0" xfId="0">
      <alignment horizontal="center" vertical="center"/>
    </xf>
    <xf numFmtId="0" fontId="27" fillId="13" borderId="23" applyAlignment="1" pivotButton="0" quotePrefix="0" xfId="0">
      <alignment horizontal="center" vertical="center"/>
    </xf>
    <xf numFmtId="0" fontId="6" fillId="27" borderId="31" applyAlignment="1" pivotButton="0" quotePrefix="0" xfId="0">
      <alignment horizontal="center" vertical="center"/>
    </xf>
    <xf numFmtId="0" fontId="34" fillId="13" borderId="23" applyAlignment="1" pivotButton="0" quotePrefix="0" xfId="0">
      <alignment horizontal="center" vertical="center"/>
    </xf>
    <xf numFmtId="0" fontId="27" fillId="13" borderId="25" applyAlignment="1" pivotButton="0" quotePrefix="0" xfId="0">
      <alignment horizontal="center" vertical="center"/>
    </xf>
    <xf numFmtId="0" fontId="53" fillId="13" borderId="23" applyAlignment="1" pivotButton="0" quotePrefix="0" xfId="0">
      <alignment horizontal="left" vertical="center" wrapText="1"/>
    </xf>
    <xf numFmtId="0" fontId="46" fillId="13" borderId="23" applyAlignment="1" pivotButton="0" quotePrefix="0" xfId="0">
      <alignment horizontal="left" vertical="center" wrapText="1"/>
    </xf>
    <xf numFmtId="0" fontId="27" fillId="10" borderId="23" applyAlignment="1" pivotButton="0" quotePrefix="0" xfId="0">
      <alignment horizontal="center" vertical="center"/>
    </xf>
    <xf numFmtId="0" fontId="34" fillId="10" borderId="23" applyAlignment="1" pivotButton="0" quotePrefix="0" xfId="0">
      <alignment horizontal="center" vertical="center"/>
    </xf>
    <xf numFmtId="0" fontId="27" fillId="10" borderId="25" applyAlignment="1" pivotButton="0" quotePrefix="0" xfId="0">
      <alignment horizontal="center" vertical="center"/>
    </xf>
    <xf numFmtId="0" fontId="47" fillId="27" borderId="23" applyAlignment="1" pivotButton="0" quotePrefix="0" xfId="0">
      <alignment horizontal="center" vertical="center"/>
    </xf>
    <xf numFmtId="0" fontId="53" fillId="10" borderId="23" applyAlignment="1" pivotButton="0" quotePrefix="0" xfId="0">
      <alignment horizontal="left" vertical="center" wrapText="1"/>
    </xf>
    <xf numFmtId="0" fontId="46" fillId="10" borderId="23" applyAlignment="1" pivotButton="0" quotePrefix="0" xfId="0">
      <alignment horizontal="left" vertical="center" wrapText="1"/>
    </xf>
    <xf numFmtId="0" fontId="58" fillId="18" borderId="1" applyAlignment="1" pivotButton="0" quotePrefix="0" xfId="0">
      <alignment horizontal="center" vertical="center"/>
    </xf>
    <xf numFmtId="0" fontId="25" fillId="3" borderId="1" applyAlignment="1" pivotButton="0" quotePrefix="0" xfId="0">
      <alignment horizontal="center" vertical="center"/>
    </xf>
    <xf numFmtId="0" fontId="53" fillId="18" borderId="1" applyAlignment="1" pivotButton="0" quotePrefix="0" xfId="0">
      <alignment horizontal="center" vertical="center"/>
    </xf>
    <xf numFmtId="0" fontId="29" fillId="14" borderId="1" applyAlignment="1" pivotButton="0" quotePrefix="0" xfId="0">
      <alignment horizontal="center" vertical="center"/>
    </xf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3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0" fontId="1" fillId="5" borderId="23" applyAlignment="1" pivotButton="0" quotePrefix="0" xfId="0">
      <alignment horizontal="center" vertical="center"/>
    </xf>
    <xf numFmtId="0" fontId="60" fillId="18" borderId="23" applyAlignment="1" pivotButton="0" quotePrefix="0" xfId="0">
      <alignment horizontal="center" vertical="center"/>
    </xf>
    <xf numFmtId="0" fontId="20" fillId="3" borderId="23" applyAlignment="1" pivotButton="0" quotePrefix="0" xfId="0">
      <alignment horizontal="center" vertical="center" wrapText="1"/>
    </xf>
    <xf numFmtId="0" fontId="21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/>
    </xf>
    <xf numFmtId="0" fontId="56" fillId="3" borderId="23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center" vertical="center" wrapText="1"/>
    </xf>
    <xf numFmtId="0" fontId="55" fillId="3" borderId="23" applyAlignment="1" pivotButton="0" quotePrefix="0" xfId="0">
      <alignment horizontal="center" vertical="center" wrapText="1"/>
    </xf>
    <xf numFmtId="0" fontId="6" fillId="3" borderId="23" applyAlignment="1" pivotButton="0" quotePrefix="0" xfId="0">
      <alignment horizontal="center" vertical="center" wrapText="1"/>
    </xf>
    <xf numFmtId="0" fontId="57" fillId="20" borderId="23" applyAlignment="1" pivotButton="0" quotePrefix="0" xfId="0">
      <alignment horizontal="center" vertical="center"/>
    </xf>
    <xf numFmtId="0" fontId="6" fillId="22" borderId="23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0" fontId="39" fillId="25" borderId="23" applyAlignment="1" pivotButton="0" quotePrefix="0" xfId="0">
      <alignment horizontal="center" vertical="center" textRotation="255"/>
    </xf>
    <xf numFmtId="0" fontId="31" fillId="11" borderId="23" applyAlignment="1" pivotButton="0" quotePrefix="0" xfId="0">
      <alignment horizontal="center" vertical="center"/>
    </xf>
    <xf numFmtId="0" fontId="30" fillId="11" borderId="23" applyAlignment="1" pivotButton="0" quotePrefix="0" xfId="0">
      <alignment horizontal="center" vertical="center"/>
    </xf>
    <xf numFmtId="0" fontId="6" fillId="24" borderId="23" applyAlignment="1" pivotButton="0" quotePrefix="0" xfId="0">
      <alignment horizontal="center" vertical="center"/>
    </xf>
    <xf numFmtId="0" fontId="6" fillId="27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4" pivotButton="0" quotePrefix="0" xfId="0"/>
    <xf numFmtId="0" fontId="61" fillId="3" borderId="23" applyAlignment="1" pivotButton="0" quotePrefix="0" xfId="0">
      <alignment horizontal="right" vertical="center"/>
    </xf>
    <xf numFmtId="0" fontId="60" fillId="19" borderId="23" applyAlignment="1" pivotButton="0" quotePrefix="0" xfId="0">
      <alignment horizontal="left" vertical="center" wrapText="1"/>
    </xf>
    <xf numFmtId="0" fontId="55" fillId="3" borderId="23" applyAlignment="1" pivotButton="0" quotePrefix="0" xfId="0">
      <alignment vertical="center"/>
    </xf>
    <xf numFmtId="0" fontId="21" fillId="3" borderId="23" applyAlignment="1" pivotButton="0" quotePrefix="0" xfId="0">
      <alignment vertical="center" wrapText="1"/>
    </xf>
    <xf numFmtId="165" fontId="28" fillId="20" borderId="23" applyAlignment="1" pivotButton="0" quotePrefix="0" xfId="0">
      <alignment horizontal="center" vertical="center" wrapText="1"/>
    </xf>
    <xf numFmtId="0" fontId="27" fillId="21" borderId="23" applyAlignment="1" pivotButton="0" quotePrefix="0" xfId="0">
      <alignment horizontal="center" vertical="center" wrapText="1"/>
    </xf>
    <xf numFmtId="0" fontId="62" fillId="23" borderId="23" applyAlignment="1" pivotButton="0" quotePrefix="0" xfId="0">
      <alignment horizontal="center" vertical="center"/>
    </xf>
    <xf numFmtId="0" fontId="9" fillId="28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 wrapText="1"/>
    </xf>
    <xf numFmtId="0" fontId="27" fillId="13" borderId="23" applyAlignment="1" pivotButton="0" quotePrefix="0" xfId="0">
      <alignment horizontal="center" vertical="center" wrapText="1"/>
    </xf>
    <xf numFmtId="0" fontId="47" fillId="27" borderId="23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bottom" wrapText="1"/>
    </xf>
    <xf numFmtId="166" fontId="63" fillId="26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center" vertical="center"/>
    </xf>
    <xf numFmtId="0" fontId="28" fillId="20" borderId="23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0" fontId="54" fillId="19" borderId="23" applyAlignment="1" pivotButton="0" quotePrefix="0" xfId="0">
      <alignment horizontal="left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0" fontId="9" fillId="29" borderId="23" applyAlignment="1" pivotButton="0" quotePrefix="0" xfId="0">
      <alignment horizontal="center" vertical="center"/>
    </xf>
    <xf numFmtId="0" fontId="9" fillId="24" borderId="23" applyAlignment="1" pivotButton="0" quotePrefix="0" xfId="0">
      <alignment horizontal="center" vertical="center"/>
    </xf>
    <xf numFmtId="164" fontId="0" fillId="0" borderId="1" pivotButton="0" quotePrefix="0" xfId="0"/>
    <xf numFmtId="0" fontId="16" fillId="3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0" fontId="60" fillId="18" borderId="1" applyAlignment="1" pivotButton="0" quotePrefix="0" xfId="0">
      <alignment horizontal="left" vertical="center"/>
    </xf>
    <xf numFmtId="0" fontId="54" fillId="19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55" fillId="3" borderId="1" applyAlignment="1" pivotButton="0" quotePrefix="0" xfId="0">
      <alignment horizontal="center" vertical="center" wrapText="1"/>
    </xf>
    <xf numFmtId="0" fontId="24" fillId="20" borderId="1" applyAlignment="1" pivotButton="0" quotePrefix="0" xfId="0">
      <alignment horizontal="center" vertical="center"/>
    </xf>
    <xf numFmtId="0" fontId="25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/>
    </xf>
    <xf numFmtId="0" fontId="57" fillId="20" borderId="1" applyAlignment="1" pivotButton="0" quotePrefix="0" xfId="0">
      <alignment horizontal="center" vertical="center"/>
    </xf>
    <xf numFmtId="166" fontId="28" fillId="20" borderId="1" applyAlignment="1" pivotButton="0" quotePrefix="0" xfId="0">
      <alignment horizontal="center" vertical="center"/>
    </xf>
    <xf numFmtId="0" fontId="57" fillId="20" borderId="1" applyAlignment="1" pivotButton="0" quotePrefix="0" xfId="0">
      <alignment horizontal="left" vertical="center" wrapText="1"/>
    </xf>
    <xf numFmtId="0" fontId="27" fillId="21" borderId="1" applyAlignment="1" pivotButton="0" quotePrefix="0" xfId="0">
      <alignment horizontal="center" vertical="center"/>
    </xf>
    <xf numFmtId="0" fontId="6" fillId="22" borderId="1" applyAlignment="1" pivotButton="0" quotePrefix="0" xfId="0">
      <alignment horizontal="center" vertical="center"/>
    </xf>
    <xf numFmtId="0" fontId="34" fillId="21" borderId="1" applyAlignment="1" pivotButton="0" quotePrefix="0" xfId="0">
      <alignment horizontal="left" vertical="center"/>
    </xf>
    <xf numFmtId="0" fontId="27" fillId="21" borderId="1" applyAlignment="1" pivotButton="0" quotePrefix="0" xfId="0">
      <alignment horizontal="left" vertical="center"/>
    </xf>
    <xf numFmtId="0" fontId="36" fillId="23" borderId="1" applyAlignment="1" pivotButton="0" quotePrefix="0" xfId="0">
      <alignment horizontal="center" vertical="center"/>
    </xf>
    <xf numFmtId="0" fontId="27" fillId="21" borderId="1" applyAlignment="1" pivotButton="0" quotePrefix="0" xfId="0">
      <alignment horizontal="left" vertical="center" wrapText="1"/>
    </xf>
    <xf numFmtId="0" fontId="37" fillId="24" borderId="1" applyAlignment="1" pivotButton="0" quotePrefix="0" xfId="0">
      <alignment horizontal="center" vertical="center"/>
    </xf>
    <xf numFmtId="0" fontId="29" fillId="11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9" fillId="23" borderId="1" applyAlignment="1" pivotButton="0" quotePrefix="0" xfId="0">
      <alignment horizontal="left" vertical="center"/>
    </xf>
    <xf numFmtId="0" fontId="39" fillId="25" borderId="1" applyAlignment="1" pivotButton="0" quotePrefix="0" xfId="0">
      <alignment horizontal="center" vertical="center" textRotation="255"/>
    </xf>
    <xf numFmtId="0" fontId="27" fillId="11" borderId="1" applyAlignment="1" pivotButton="0" quotePrefix="0" xfId="0">
      <alignment horizontal="left" vertical="center"/>
    </xf>
    <xf numFmtId="0" fontId="27" fillId="11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23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center" vertical="center"/>
    </xf>
    <xf numFmtId="0" fontId="6" fillId="27" borderId="1" applyAlignment="1" pivotButton="0" quotePrefix="0" xfId="0">
      <alignment horizontal="center" vertical="center"/>
    </xf>
    <xf numFmtId="0" fontId="34" fillId="13" borderId="1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0" fontId="27" fillId="10" borderId="1" applyAlignment="1" pivotButton="0" quotePrefix="0" xfId="0">
      <alignment horizontal="center" vertical="center"/>
    </xf>
    <xf numFmtId="0" fontId="34" fillId="10" borderId="1" applyAlignment="1" pivotButton="0" quotePrefix="0" xfId="0">
      <alignment horizontal="left" vertical="center"/>
    </xf>
    <xf numFmtId="166" fontId="47" fillId="27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left" vertical="center"/>
    </xf>
    <xf numFmtId="0" fontId="65" fillId="18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66" fillId="18" borderId="1" applyAlignment="1" pivotButton="0" quotePrefix="0" xfId="0">
      <alignment horizontal="left" vertical="center"/>
    </xf>
    <xf numFmtId="0" fontId="67" fillId="18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  <xf numFmtId="0" fontId="69" fillId="30" borderId="1" applyAlignment="1" pivotButton="0" quotePrefix="0" xfId="0">
      <alignment horizontal="center" vertical="center"/>
    </xf>
    <xf numFmtId="0" fontId="6" fillId="24" borderId="1" applyAlignment="1" pivotButton="0" quotePrefix="0" xfId="0">
      <alignment horizontal="center" vertical="center"/>
    </xf>
    <xf numFmtId="0" fontId="70" fillId="3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4" pivotButton="0" quotePrefix="0" xfId="0"/>
    <xf numFmtId="164" fontId="10" fillId="8" borderId="4" applyAlignment="1" pivotButton="0" quotePrefix="0" xfId="0">
      <alignment horizontal="center" vertical="center"/>
    </xf>
    <xf numFmtId="164" fontId="10" fillId="12" borderId="4" applyAlignment="1" pivotButton="0" quotePrefix="0" xfId="0">
      <alignment horizontal="center" vertical="center"/>
    </xf>
    <xf numFmtId="165" fontId="12" fillId="14" borderId="4" applyAlignment="1" pivotButton="0" quotePrefix="0" xfId="0">
      <alignment horizontal="center" vertical="center"/>
    </xf>
    <xf numFmtId="165" fontId="12" fillId="2" borderId="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4" fontId="10" fillId="2" borderId="4" applyAlignment="1" pivotButton="0" quotePrefix="0" xfId="0">
      <alignment horizontal="center" vertical="center"/>
    </xf>
    <xf numFmtId="165" fontId="28" fillId="20" borderId="4" applyAlignment="1" pivotButton="0" quotePrefix="0" xfId="0">
      <alignment horizontal="center" vertical="center"/>
    </xf>
    <xf numFmtId="0" fontId="0" fillId="0" borderId="36" pivotButton="0" quotePrefix="0" xfId="0"/>
    <xf numFmtId="165" fontId="29" fillId="26" borderId="11" applyAlignment="1" pivotButton="0" quotePrefix="0" xfId="0">
      <alignment horizontal="center" vertical="center"/>
    </xf>
    <xf numFmtId="0" fontId="0" fillId="0" borderId="39" pivotButton="0" quotePrefix="0" xfId="0"/>
    <xf numFmtId="165" fontId="29" fillId="26" borderId="4" applyAlignment="1" pivotButton="0" quotePrefix="0" xfId="0">
      <alignment horizontal="center" vertical="center"/>
    </xf>
    <xf numFmtId="0" fontId="0" fillId="0" borderId="40" pivotButton="0" quotePrefix="0" xfId="0"/>
    <xf numFmtId="165" fontId="29" fillId="26" borderId="18" applyAlignment="1" pivotButton="0" quotePrefix="0" xfId="0">
      <alignment horizontal="center" vertical="center"/>
    </xf>
    <xf numFmtId="0" fontId="0" fillId="0" borderId="41" pivotButton="0" quotePrefix="0" xfId="0"/>
    <xf numFmtId="164" fontId="28" fillId="20" borderId="4" applyAlignment="1" pivotButton="0" quotePrefix="0" xfId="0">
      <alignment horizontal="center" vertical="center"/>
    </xf>
    <xf numFmtId="164" fontId="50" fillId="13" borderId="4" applyAlignment="1" pivotButton="0" quotePrefix="0" xfId="0">
      <alignment horizontal="center" vertical="center"/>
    </xf>
    <xf numFmtId="164" fontId="51" fillId="26" borderId="4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5" pivotButton="0" quotePrefix="0" xfId="0"/>
    <xf numFmtId="165" fontId="28" fillId="20" borderId="23" applyAlignment="1" pivotButton="0" quotePrefix="0" xfId="0">
      <alignment horizontal="center" vertical="center"/>
    </xf>
    <xf numFmtId="165" fontId="29" fillId="26" borderId="23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166" fontId="25" fillId="20" borderId="1" applyAlignment="1" pivotButton="0" quotePrefix="0" xfId="0">
      <alignment horizontal="center" vertical="center"/>
    </xf>
    <xf numFmtId="166" fontId="34" fillId="13" borderId="33" applyAlignment="1" pivotButton="0" quotePrefix="0" xfId="0">
      <alignment horizontal="center" vertical="center"/>
    </xf>
    <xf numFmtId="0" fontId="0" fillId="0" borderId="35" pivotButton="0" quotePrefix="0" xfId="0"/>
    <xf numFmtId="164" fontId="51" fillId="26" borderId="1" applyAlignment="1" pivotButton="0" quotePrefix="0" xfId="0">
      <alignment horizontal="center" vertical="center"/>
    </xf>
    <xf numFmtId="166" fontId="34" fillId="13" borderId="1" applyAlignment="1" pivotButton="0" quotePrefix="0" xfId="0">
      <alignment horizontal="center" vertical="center"/>
    </xf>
    <xf numFmtId="165" fontId="27" fillId="21" borderId="23" applyAlignment="1" pivotButton="0" quotePrefix="0" xfId="0">
      <alignment horizontal="center" vertical="center"/>
    </xf>
    <xf numFmtId="166" fontId="51" fillId="26" borderId="1" applyAlignment="1" pivotButton="0" quotePrefix="0" xfId="0">
      <alignment horizontal="center" vertical="center"/>
    </xf>
    <xf numFmtId="165" fontId="28" fillId="20" borderId="23" applyAlignment="1" pivotButton="0" quotePrefix="0" xfId="0">
      <alignment horizontal="center" vertical="center" wrapText="1"/>
    </xf>
    <xf numFmtId="165" fontId="29" fillId="26" borderId="23" applyAlignment="1" pivotButton="0" quotePrefix="0" xfId="0">
      <alignment horizontal="center" vertical="center" wrapText="1"/>
    </xf>
    <xf numFmtId="166" fontId="63" fillId="26" borderId="1" applyAlignment="1" pivotButton="0" quotePrefix="0" xfId="0">
      <alignment horizontal="center" vertical="center"/>
    </xf>
    <xf numFmtId="164" fontId="47" fillId="27" borderId="23" applyAlignment="1" pivotButton="0" quotePrefix="0" xfId="0">
      <alignment horizontal="left" vertical="center" indent="4"/>
    </xf>
    <xf numFmtId="164" fontId="27" fillId="10" borderId="23" applyAlignment="1" pivotButton="0" quotePrefix="0" xfId="0">
      <alignment horizontal="left" vertical="center" indent="4"/>
    </xf>
    <xf numFmtId="164" fontId="28" fillId="20" borderId="1" applyAlignment="1" pivotButton="0" quotePrefix="0" xfId="0">
      <alignment horizontal="center" vertical="center"/>
    </xf>
    <xf numFmtId="164" fontId="50" fillId="13" borderId="1" applyAlignment="1" pivotButton="0" quotePrefix="0" xfId="0">
      <alignment horizontal="center" vertical="center"/>
    </xf>
    <xf numFmtId="164" fontId="64" fillId="0" borderId="1" applyAlignment="1" pivotButton="0" quotePrefix="0" xfId="0">
      <alignment horizontal="center" vertical="bottom"/>
    </xf>
    <xf numFmtId="167" fontId="51" fillId="26" borderId="1" applyAlignment="1" pivotButton="0" quotePrefix="0" xfId="0">
      <alignment horizontal="center" vertical="center"/>
    </xf>
    <xf numFmtId="167" fontId="63" fillId="26" borderId="1" applyAlignment="1" pivotButton="0" quotePrefix="0" xfId="0">
      <alignment horizontal="center" vertical="center"/>
    </xf>
    <xf numFmtId="165" fontId="47" fillId="27" borderId="23" applyAlignment="1" pivotButton="0" quotePrefix="0" xfId="0">
      <alignment horizontal="center" vertical="center"/>
    </xf>
    <xf numFmtId="164" fontId="25" fillId="20" borderId="1" applyAlignment="1" pivotButton="0" quotePrefix="0" xfId="0">
      <alignment horizontal="center" vertical="center"/>
    </xf>
    <xf numFmtId="165" fontId="34" fillId="13" borderId="1" applyAlignment="1" pivotButton="0" quotePrefix="0" xfId="0">
      <alignment horizontal="center" vertical="center"/>
    </xf>
    <xf numFmtId="164" fontId="34" fillId="13" borderId="1" applyAlignment="1" pivotButton="0" quotePrefix="0" xfId="0">
      <alignment horizontal="center" vertical="center"/>
    </xf>
    <xf numFmtId="164" fontId="63" fillId="26" borderId="1" applyAlignment="1" pivotButton="0" quotePrefix="0" xfId="0">
      <alignment horizontal="center" vertical="center"/>
    </xf>
    <xf numFmtId="164" fontId="0" fillId="0" borderId="1" pivotButton="0" quotePrefix="0" xfId="0"/>
    <xf numFmtId="166" fontId="28" fillId="20" borderId="1" applyAlignment="1" pivotButton="0" quotePrefix="0" xfId="0">
      <alignment horizontal="center" vertical="center"/>
    </xf>
    <xf numFmtId="166" fontId="29" fillId="26" borderId="1" applyAlignment="1" pivotButton="0" quotePrefix="0" xfId="0">
      <alignment horizontal="center" vertical="center"/>
    </xf>
    <xf numFmtId="166" fontId="47" fillId="27" borderId="1" applyAlignment="1" pivotButton="0" quotePrefix="0" xfId="0">
      <alignment horizontal="center" vertical="center"/>
    </xf>
    <xf numFmtId="166" fontId="68" fillId="21" borderId="1" applyAlignment="1" pivotButton="0" quotePrefix="0" xfId="0">
      <alignment horizontal="center" vertical="center"/>
    </xf>
    <xf numFmtId="166" fontId="68" fillId="11" borderId="1" applyAlignment="1" pivotButton="0" quotePrefix="0" xfId="0">
      <alignment horizontal="center" vertical="center"/>
    </xf>
    <xf numFmtId="166" fontId="68" fillId="26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topLeftCell="A1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421875" customWidth="1" style="273" min="1" max="1"/>
    <col width="24.57421875" customWidth="1" style="273" min="2" max="2"/>
    <col width="16.57421875" customWidth="1" style="273" min="3" max="3"/>
    <col width="8.7109375" customWidth="1" style="273" min="4" max="4"/>
    <col width="5.00390625" customWidth="1" style="273" min="5" max="5"/>
    <col width="17.140625" customWidth="1" style="273" min="6" max="6"/>
    <col width="19.8515625" customWidth="1" style="273" min="7" max="7"/>
    <col width="19.140625" customWidth="1" style="273" min="8" max="8"/>
    <col width="37.421875" customWidth="1" style="273" min="9" max="9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1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 ht="27.75" customFormat="1" customHeight="1" s="273">
      <c r="A8" s="7" t="inlineStr">
        <is>
          <t>APARTMENT CORP — COMPETITIVE RENT COMP ANALYSIS 2026</t>
        </is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</row>
    <row r="9" ht="44.25" customFormat="1" customHeight="1" s="273">
      <c r="A9" s="9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</row>
    <row r="10" ht="15" customFormat="1" customHeight="1" s="273">
      <c r="A10" s="10" t="inlineStr">
        <is>
          <t>#</t>
        </is>
      </c>
      <c r="B10" s="10" t="inlineStr">
        <is>
          <t>Property Name</t>
        </is>
      </c>
      <c r="C10" s="10" t="inlineStr">
        <is>
          <t>City, State</t>
        </is>
      </c>
      <c r="D10" s="10" t="inlineStr">
        <is>
          <t>Year Built</t>
        </is>
      </c>
      <c r="E10" s="10" t="inlineStr">
        <is>
          <t>Units</t>
        </is>
      </c>
      <c r="F10" s="10" t="inlineStr">
        <is>
          <t>Program</t>
        </is>
      </c>
      <c r="G10" s="10" t="inlineStr">
        <is>
          <t>Sheet Name</t>
        </is>
      </c>
      <c r="H10" s="10" t="inlineStr">
        <is>
          <t>Bedroom Mix</t>
        </is>
      </c>
      <c r="I10" s="11" t="inlineStr">
        <is>
          <t>Comp Types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</row>
    <row r="11" ht="15" customFormat="1" customHeight="1" s="273">
      <c r="A11" s="12" t="n">
        <v>1</v>
      </c>
      <c r="B11" s="13" t="inlineStr">
        <is>
          <t>Boca Ciega</t>
        </is>
      </c>
      <c r="C11" s="13" t="inlineStr">
        <is>
          <t>St. Petersburg, FL</t>
        </is>
      </c>
      <c r="D11" s="12" t="n">
        <v>1974</v>
      </c>
      <c r="E11" s="12" t="n">
        <v>109</v>
      </c>
      <c r="F11" s="13" t="inlineStr">
        <is>
          <t>Layered HUD/LIHTC</t>
        </is>
      </c>
      <c r="G11" s="13" t="inlineStr">
        <is>
          <t>21 - Boca Ciega</t>
        </is>
      </c>
      <c r="H11" s="13" t="inlineStr">
        <is>
          <t>2BR / 3BR</t>
        </is>
      </c>
      <c r="I11" s="13" t="inlineStr">
        <is>
          <t>3 Affordable (Green) + 6 Market Rate (Blue)</t>
        </is>
      </c>
      <c r="J11" s="14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</row>
    <row r="12" ht="15" customFormat="1" customHeight="1" s="273">
      <c r="A12" s="15" t="n">
        <v>2</v>
      </c>
      <c r="B12" s="16" t="inlineStr">
        <is>
          <t>Jefferson Arms</t>
        </is>
      </c>
      <c r="C12" s="16" t="inlineStr">
        <is>
          <t>Monticello, FL</t>
        </is>
      </c>
      <c r="D12" s="15" t="n">
        <v>1971</v>
      </c>
      <c r="E12" s="15" t="n">
        <v>75</v>
      </c>
      <c r="F12" s="17" t="inlineStr">
        <is>
          <t>Section 8/HUD</t>
        </is>
      </c>
      <c r="G12" s="16" t="inlineStr">
        <is>
          <t>13 - Jefferson</t>
        </is>
      </c>
      <c r="H12" s="16" t="inlineStr">
        <is>
          <t>2BR / 3BR</t>
        </is>
      </c>
      <c r="I12" s="16" t="inlineStr">
        <is>
          <t>3 Affordable (Green) + 6 Market Rate (Blue)</t>
        </is>
      </c>
      <c r="J12" s="1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 ht="15" customFormat="1" customHeight="1" s="273">
      <c r="A13" s="15" t="n">
        <v>3</v>
      </c>
      <c r="B13" s="16" t="inlineStr">
        <is>
          <t>Opa Locka 135th St</t>
        </is>
      </c>
      <c r="C13" s="16" t="inlineStr">
        <is>
          <t>Opa Locka, FL</t>
        </is>
      </c>
      <c r="D13" s="15" t="n">
        <v>1968</v>
      </c>
      <c r="E13" s="15" t="n">
        <v>65</v>
      </c>
      <c r="F13" s="17" t="inlineStr">
        <is>
          <t>Section 8/HUD</t>
        </is>
      </c>
      <c r="G13" s="16" t="inlineStr">
        <is>
          <t>18 - Opa Locka</t>
        </is>
      </c>
      <c r="H13" s="16" t="inlineStr">
        <is>
          <t>1BR / 2BR / 3BR</t>
        </is>
      </c>
      <c r="I13" s="16" t="inlineStr">
        <is>
          <t>3 Affordable (Green) + 6 Market Rate (Blue)</t>
        </is>
      </c>
      <c r="J13" s="1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</row>
    <row r="14" ht="15" customFormat="1" customHeight="1" s="273">
      <c r="A14" s="15" t="n">
        <v>4</v>
      </c>
      <c r="B14" s="16" t="inlineStr">
        <is>
          <t>Macedonia Garden</t>
        </is>
      </c>
      <c r="C14" s="16" t="inlineStr">
        <is>
          <t>Panama City, FL</t>
        </is>
      </c>
      <c r="D14" s="15" t="n">
        <v>1969</v>
      </c>
      <c r="E14" s="15" t="n">
        <v>100</v>
      </c>
      <c r="F14" s="17" t="inlineStr">
        <is>
          <t>Section 8/HUD</t>
        </is>
      </c>
      <c r="G14" s="16" t="inlineStr">
        <is>
          <t>14 - Macedonia</t>
        </is>
      </c>
      <c r="H14" s="16" t="inlineStr">
        <is>
          <t>2BR / 3BR</t>
        </is>
      </c>
      <c r="I14" s="16" t="inlineStr">
        <is>
          <t>3 Affordable (Green) + 6 Market Rate (Blue)</t>
        </is>
      </c>
      <c r="J14" s="1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</row>
    <row r="15" ht="15" customFormat="1" customHeight="1" s="273">
      <c r="A15" s="15" t="n">
        <v>5</v>
      </c>
      <c r="B15" s="16" t="inlineStr">
        <is>
          <t>Coral Village</t>
        </is>
      </c>
      <c r="C15" s="16" t="inlineStr">
        <is>
          <t>Cape Coral, FL</t>
        </is>
      </c>
      <c r="D15" s="15" t="n">
        <v>1999</v>
      </c>
      <c r="E15" s="15" t="n">
        <v>72</v>
      </c>
      <c r="F15" s="17" t="inlineStr">
        <is>
          <t>Section 8/HUD</t>
        </is>
      </c>
      <c r="G15" s="16" t="inlineStr">
        <is>
          <t>48 - Coral Village</t>
        </is>
      </c>
      <c r="H15" s="16" t="inlineStr">
        <is>
          <t>1BR / 2BR</t>
        </is>
      </c>
      <c r="I15" s="16" t="inlineStr">
        <is>
          <t>3 Affordable (Green) + 6 Market Rate (Blue)</t>
        </is>
      </c>
      <c r="J15" s="1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</row>
    <row r="16" ht="15" customFormat="1" customHeight="1" s="273">
      <c r="A16" s="15" t="n">
        <v>6</v>
      </c>
      <c r="B16" s="16" t="inlineStr">
        <is>
          <t>Holiday Apts</t>
        </is>
      </c>
      <c r="C16" s="16" t="inlineStr">
        <is>
          <t>Natchez, MS</t>
        </is>
      </c>
      <c r="D16" s="15" t="n">
        <v>1951</v>
      </c>
      <c r="E16" s="15" t="n">
        <v>115</v>
      </c>
      <c r="F16" s="17" t="inlineStr">
        <is>
          <t>Section 8/HUD</t>
        </is>
      </c>
      <c r="G16" s="16" t="inlineStr">
        <is>
          <t>15 - Holiday</t>
        </is>
      </c>
      <c r="H16" s="16" t="inlineStr">
        <is>
          <t>2BR / 3BR / 4BR / 5BR</t>
        </is>
      </c>
      <c r="I16" s="16" t="inlineStr">
        <is>
          <t>3 Affordable (Green) + 6 Market Rate (Blue)</t>
        </is>
      </c>
      <c r="J16" s="1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</row>
    <row r="17" ht="15" customFormat="1" customHeight="1" s="273">
      <c r="A17" s="15" t="n">
        <v>7</v>
      </c>
      <c r="B17" s="16" t="inlineStr">
        <is>
          <t>Cumberland</t>
        </is>
      </c>
      <c r="C17" s="16" t="inlineStr">
        <is>
          <t>Crystal Springs, MS</t>
        </is>
      </c>
      <c r="D17" s="15" t="n">
        <v>1985</v>
      </c>
      <c r="E17" s="15" t="n">
        <v>68</v>
      </c>
      <c r="F17" s="17" t="inlineStr">
        <is>
          <t>Section 8/HUD</t>
        </is>
      </c>
      <c r="G17" s="16" t="inlineStr">
        <is>
          <t>16 - Cumberland</t>
        </is>
      </c>
      <c r="H17" s="16" t="inlineStr">
        <is>
          <t>1BR / 2BR / 3BR / 4BR</t>
        </is>
      </c>
      <c r="I17" s="16" t="inlineStr">
        <is>
          <t>3 Affordable (Green) + 6 Market Rate (Blue)</t>
        </is>
      </c>
      <c r="J17" s="1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</row>
    <row r="18" ht="15" customFormat="1" customHeight="1" s="273">
      <c r="A18" s="15" t="n">
        <v>8</v>
      </c>
      <c r="B18" s="16" t="inlineStr">
        <is>
          <t>Village Green</t>
        </is>
      </c>
      <c r="C18" s="16" t="inlineStr">
        <is>
          <t>Natchez, MS</t>
        </is>
      </c>
      <c r="D18" s="15" t="n">
        <v>1977</v>
      </c>
      <c r="E18" s="15" t="n">
        <v>80</v>
      </c>
      <c r="F18" s="17" t="inlineStr">
        <is>
          <t>Section 8/HUD</t>
        </is>
      </c>
      <c r="G18" s="16" t="inlineStr">
        <is>
          <t>17 - Village Green</t>
        </is>
      </c>
      <c r="H18" s="16" t="inlineStr">
        <is>
          <t>1BR / 2BR / 3BR</t>
        </is>
      </c>
      <c r="I18" s="16" t="inlineStr">
        <is>
          <t>3 Affordable (Green) + 6 Market Rate (Blue)</t>
        </is>
      </c>
      <c r="J18" s="1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</row>
    <row r="19" ht="15" customFormat="1" customHeight="1" s="273">
      <c r="A19" s="15" t="n">
        <v>9</v>
      </c>
      <c r="B19" s="16" t="inlineStr">
        <is>
          <t>Walnut Hill</t>
        </is>
      </c>
      <c r="C19" s="16" t="inlineStr">
        <is>
          <t>Natchez, MS</t>
        </is>
      </c>
      <c r="D19" s="15" t="n">
        <v>1975</v>
      </c>
      <c r="E19" s="15" t="n">
        <v>168</v>
      </c>
      <c r="F19" s="17" t="inlineStr">
        <is>
          <t>Section 8/HUD</t>
        </is>
      </c>
      <c r="G19" s="16" t="inlineStr">
        <is>
          <t>59 - Walnut Hill</t>
        </is>
      </c>
      <c r="H19" s="16" t="inlineStr">
        <is>
          <t>2BR / 3BR</t>
        </is>
      </c>
      <c r="I19" s="16" t="inlineStr">
        <is>
          <t>3 Affordable (Green) + 6 Market Rate (Blue)</t>
        </is>
      </c>
      <c r="J19" s="1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</row>
    <row r="20" ht="15" customFormat="1" customHeight="1" s="273">
      <c r="A20" s="15" t="n">
        <v>10</v>
      </c>
      <c r="B20" s="16" t="inlineStr">
        <is>
          <t>River Pointe</t>
        </is>
      </c>
      <c r="C20" s="16" t="inlineStr">
        <is>
          <t>Columbus, OH</t>
        </is>
      </c>
      <c r="D20" s="15" t="n">
        <v>1996</v>
      </c>
      <c r="E20" s="15" t="n">
        <v>160</v>
      </c>
      <c r="F20" s="17" t="inlineStr">
        <is>
          <t>Section 8/HUD</t>
        </is>
      </c>
      <c r="G20" s="16" t="inlineStr">
        <is>
          <t>29 - River Pointe</t>
        </is>
      </c>
      <c r="H20" s="16" t="inlineStr">
        <is>
          <t>1BR / 2BR</t>
        </is>
      </c>
      <c r="I20" s="16" t="inlineStr">
        <is>
          <t>3 Affordable (Green) + 6 Market Rate (Blue)</t>
        </is>
      </c>
      <c r="J20" s="1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 ht="15" customFormat="1" customHeight="1" s="273">
      <c r="A21" s="12" t="n">
        <v>11</v>
      </c>
      <c r="B21" s="13" t="inlineStr">
        <is>
          <t>Breckenridge Village</t>
        </is>
      </c>
      <c r="C21" s="13" t="inlineStr">
        <is>
          <t>Ennis, TX</t>
        </is>
      </c>
      <c r="D21" s="12" t="n">
        <v>1997</v>
      </c>
      <c r="E21" s="12" t="n">
        <v>66</v>
      </c>
      <c r="F21" s="13" t="inlineStr">
        <is>
          <t>LIHTC</t>
        </is>
      </c>
      <c r="G21" s="13" t="inlineStr">
        <is>
          <t>12 - Breckenridge</t>
        </is>
      </c>
      <c r="H21" s="13" t="inlineStr">
        <is>
          <t>2BR / 4BR</t>
        </is>
      </c>
      <c r="I21" s="13" t="inlineStr">
        <is>
          <t>3 Affordable (Green) + 6 Market Rate (Blue)</t>
        </is>
      </c>
      <c r="J21" s="14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</row>
    <row r="22" ht="15" customFormat="1" customHeight="1" s="273">
      <c r="A22" s="12" t="n">
        <v>12</v>
      </c>
      <c r="B22" s="13" t="inlineStr">
        <is>
          <t>Lexington Arms</t>
        </is>
      </c>
      <c r="C22" s="13" t="inlineStr">
        <is>
          <t>Waxahachie, TX</t>
        </is>
      </c>
      <c r="D22" s="12" t="n">
        <v>1997</v>
      </c>
      <c r="E22" s="12" t="n">
        <v>61</v>
      </c>
      <c r="F22" s="13" t="inlineStr">
        <is>
          <t>LIHTC</t>
        </is>
      </c>
      <c r="G22" s="13" t="inlineStr">
        <is>
          <t>38 - Lexington</t>
        </is>
      </c>
      <c r="H22" s="13" t="inlineStr">
        <is>
          <t>2BR / 4BR</t>
        </is>
      </c>
      <c r="I22" s="13" t="inlineStr">
        <is>
          <t>3 Affordable (Green) + 6 Market Rate (Blue)</t>
        </is>
      </c>
      <c r="J22" s="14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</row>
    <row r="23" ht="15" customFormat="1" customHeight="1" s="273">
      <c r="A23" s="12" t="n">
        <v>13</v>
      </c>
      <c r="B23" s="13" t="inlineStr">
        <is>
          <t>Grace Townhomes</t>
        </is>
      </c>
      <c r="C23" s="13" t="inlineStr">
        <is>
          <t>Ennis, TX</t>
        </is>
      </c>
      <c r="D23" s="12" t="n">
        <v>2001</v>
      </c>
      <c r="E23" s="12" t="n">
        <v>112</v>
      </c>
      <c r="F23" s="13" t="inlineStr">
        <is>
          <t>LIHTC</t>
        </is>
      </c>
      <c r="G23" s="13" t="inlineStr">
        <is>
          <t>23 - Grace Townhomes</t>
        </is>
      </c>
      <c r="H23" s="13" t="inlineStr">
        <is>
          <t>1BR / 2BR / 3BR</t>
        </is>
      </c>
      <c r="I23" s="13" t="inlineStr">
        <is>
          <t>3 Affordable (Green) + 6 Market Rate (Blue)</t>
        </is>
      </c>
      <c r="J23" s="14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</row>
    <row r="24" ht="15" customFormat="1" customHeight="1" s="273">
      <c r="A24" s="12" t="n">
        <v>14</v>
      </c>
      <c r="B24" s="13" t="inlineStr">
        <is>
          <t>Grove Park Terrace</t>
        </is>
      </c>
      <c r="C24" s="13" t="inlineStr">
        <is>
          <t>Waxahachie, TX</t>
        </is>
      </c>
      <c r="D24" s="12" t="n">
        <v>1998</v>
      </c>
      <c r="E24" s="12" t="n">
        <v>60</v>
      </c>
      <c r="F24" s="13" t="inlineStr">
        <is>
          <t>Layered HUD/LIHTC</t>
        </is>
      </c>
      <c r="G24" s="13" t="inlineStr">
        <is>
          <t>46 - Grove Park</t>
        </is>
      </c>
      <c r="H24" s="13" t="inlineStr">
        <is>
          <t>1BR / 2BR / 3BR</t>
        </is>
      </c>
      <c r="I24" s="13" t="inlineStr">
        <is>
          <t>3 Affordable (Green) + 6 Market Rate (Blue)</t>
        </is>
      </c>
      <c r="J24" s="14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</row>
    <row r="25" ht="15" customFormat="1" customHeight="1" s="273">
      <c r="A25" s="12" t="n">
        <v>15</v>
      </c>
      <c r="B25" s="13" t="inlineStr">
        <is>
          <t>La Promesa</t>
        </is>
      </c>
      <c r="C25" s="13" t="inlineStr">
        <is>
          <t>Odessa, TX</t>
        </is>
      </c>
      <c r="D25" s="12" t="n">
        <v>1978</v>
      </c>
      <c r="E25" s="12" t="n">
        <v>136</v>
      </c>
      <c r="F25" s="13" t="inlineStr">
        <is>
          <t>Layered HUD/LIHTC</t>
        </is>
      </c>
      <c r="G25" s="13" t="inlineStr">
        <is>
          <t>60 - La Promesa</t>
        </is>
      </c>
      <c r="H25" s="13" t="inlineStr">
        <is>
          <t>2BR / 3BR</t>
        </is>
      </c>
      <c r="I25" s="13" t="inlineStr">
        <is>
          <t>3 Affordable (Green) + 6 Market Rate (Blue)</t>
        </is>
      </c>
      <c r="J25" s="14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</row>
    <row r="26" ht="15" customFormat="1" customHeight="1" s="273">
      <c r="A26" s="15" t="n">
        <v>16</v>
      </c>
      <c r="B26" s="16" t="inlineStr">
        <is>
          <t>New Wilmington Arms</t>
        </is>
      </c>
      <c r="C26" s="16" t="inlineStr">
        <is>
          <t>Compton, CA</t>
        </is>
      </c>
      <c r="D26" s="15" t="n">
        <v>1973</v>
      </c>
      <c r="E26" s="15" t="inlineStr">
        <is>
          <t>N/A</t>
        </is>
      </c>
      <c r="F26" s="17" t="inlineStr">
        <is>
          <t>Section 8/HUD</t>
        </is>
      </c>
      <c r="G26" s="16" t="inlineStr">
        <is>
          <t>3 - Wilmington</t>
        </is>
      </c>
      <c r="H26" s="16" t="inlineStr">
        <is>
          <t>1BR / 2BR / 3BR / 4BR</t>
        </is>
      </c>
      <c r="I26" s="16" t="inlineStr">
        <is>
          <t>3 Affordable (Green) + 6 Market Rate (Blue)</t>
        </is>
      </c>
      <c r="J26" s="1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</row>
    <row r="27" ht="15" customFormat="1" customHeight="1" s="273">
      <c r="A27" s="15" t="n">
        <v>17</v>
      </c>
      <c r="B27" s="16" t="inlineStr">
        <is>
          <t>Gates on Manhattan</t>
        </is>
      </c>
      <c r="C27" s="16" t="inlineStr">
        <is>
          <t>Harvey, LA</t>
        </is>
      </c>
      <c r="D27" s="15" t="n">
        <v>1968</v>
      </c>
      <c r="E27" s="15" t="n">
        <v>276</v>
      </c>
      <c r="F27" s="17" t="inlineStr">
        <is>
          <t>Section 8/HUD</t>
        </is>
      </c>
      <c r="G27" s="16" t="inlineStr">
        <is>
          <t>19 - Gates</t>
        </is>
      </c>
      <c r="H27" s="16" t="inlineStr">
        <is>
          <t>1BR / 2BR / 3BR</t>
        </is>
      </c>
      <c r="I27" s="16" t="inlineStr">
        <is>
          <t>3 Affordable (Green) + 6 Market Rate (Blue)</t>
        </is>
      </c>
      <c r="J27" s="1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</row>
    <row r="28" ht="15" customFormat="1" customHeight="1" s="273">
      <c r="A28" s="12" t="n">
        <v>18</v>
      </c>
      <c r="B28" s="13" t="inlineStr">
        <is>
          <t>Ruby Diamond</t>
        </is>
      </c>
      <c r="C28" s="13" t="inlineStr">
        <is>
          <t>Marrero, LA</t>
        </is>
      </c>
      <c r="D28" s="12" t="n">
        <v>2000</v>
      </c>
      <c r="E28" s="12" t="n">
        <v>73</v>
      </c>
      <c r="F28" s="13" t="inlineStr">
        <is>
          <t>LIHTC</t>
        </is>
      </c>
      <c r="G28" s="13" t="inlineStr">
        <is>
          <t>42 - Ruby</t>
        </is>
      </c>
      <c r="H28" s="13" t="inlineStr">
        <is>
          <t>3BR / 4BR</t>
        </is>
      </c>
      <c r="I28" s="13" t="inlineStr">
        <is>
          <t>3 Affordable (Green) + 6 Market Rate (Blue)</t>
        </is>
      </c>
      <c r="J28" s="14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</row>
    <row r="29" ht="15" customFormat="1" customHeight="1" s="273">
      <c r="A29" s="12" t="n">
        <v>19</v>
      </c>
      <c r="B29" s="13" t="inlineStr">
        <is>
          <t>Star Homes</t>
        </is>
      </c>
      <c r="C29" s="13" t="inlineStr">
        <is>
          <t>Marrero, LA</t>
        </is>
      </c>
      <c r="D29" s="12" t="n">
        <v>2000</v>
      </c>
      <c r="E29" s="12" t="n">
        <v>48</v>
      </c>
      <c r="F29" s="13" t="inlineStr">
        <is>
          <t>LIHTC</t>
        </is>
      </c>
      <c r="G29" s="13" t="inlineStr">
        <is>
          <t>39 - Star</t>
        </is>
      </c>
      <c r="H29" s="13" t="inlineStr">
        <is>
          <t>2BR / 3BR / 4BR</t>
        </is>
      </c>
      <c r="I29" s="13" t="inlineStr">
        <is>
          <t>3 Affordable (Green) + 6 Market Rate (Blue)</t>
        </is>
      </c>
      <c r="J29" s="14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 ht="15" customFormat="1" customHeight="1" s="273">
      <c r="A30" s="15" t="n">
        <v>20</v>
      </c>
      <c r="B30" s="16" t="inlineStr">
        <is>
          <t>Colonial Estates (Thibodaux)</t>
        </is>
      </c>
      <c r="C30" s="16" t="inlineStr">
        <is>
          <t>Thibodaux, LA</t>
        </is>
      </c>
      <c r="D30" s="15" t="n">
        <v>1975</v>
      </c>
      <c r="E30" s="15" t="n">
        <v>107</v>
      </c>
      <c r="F30" s="17" t="inlineStr">
        <is>
          <t>Section 8/HUD</t>
        </is>
      </c>
      <c r="G30" s="16" t="inlineStr">
        <is>
          <t>20 - Thibodaux</t>
        </is>
      </c>
      <c r="H30" s="16" t="inlineStr">
        <is>
          <t>1BR / 2BR / 3BR</t>
        </is>
      </c>
      <c r="I30" s="16" t="inlineStr">
        <is>
          <t>3 Affordable (Green) + 6 Market Rate (Blue)</t>
        </is>
      </c>
      <c r="J30" s="1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</row>
    <row r="31" ht="15" customFormat="1" customHeight="1" s="273">
      <c r="A31" s="15" t="n">
        <v>21</v>
      </c>
      <c r="B31" s="16" t="inlineStr">
        <is>
          <t>Marrero 3</t>
        </is>
      </c>
      <c r="C31" s="16" t="inlineStr">
        <is>
          <t>Harvey, LA</t>
        </is>
      </c>
      <c r="D31" s="15" t="n">
        <v>1968</v>
      </c>
      <c r="E31" s="15" t="n">
        <v>173</v>
      </c>
      <c r="F31" s="17" t="inlineStr">
        <is>
          <t>Section 8/HUD</t>
        </is>
      </c>
      <c r="G31" s="16" t="inlineStr">
        <is>
          <t>40 - Marrero</t>
        </is>
      </c>
      <c r="H31" s="16" t="inlineStr">
        <is>
          <t>3BR / 4BR</t>
        </is>
      </c>
      <c r="I31" s="16" t="inlineStr">
        <is>
          <t>3 Affordable (Green) + 6 Market Rate (Blue)</t>
        </is>
      </c>
      <c r="J31" s="1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</row>
    <row r="32" ht="15" customFormat="1" customHeight="1" s="273">
      <c r="A32" s="12" t="n">
        <v>22</v>
      </c>
      <c r="B32" s="13" t="inlineStr">
        <is>
          <t>Arbor Crest</t>
        </is>
      </c>
      <c r="C32" s="13" t="inlineStr">
        <is>
          <t>Quincy, FL</t>
        </is>
      </c>
      <c r="D32" s="12" t="n">
        <v>1995</v>
      </c>
      <c r="E32" s="12" t="n">
        <v>120</v>
      </c>
      <c r="F32" s="13" t="inlineStr">
        <is>
          <t>LIHTC</t>
        </is>
      </c>
      <c r="G32" s="13" t="inlineStr">
        <is>
          <t>37 - Arbor Crest</t>
        </is>
      </c>
      <c r="H32" s="13" t="inlineStr">
        <is>
          <t>1BR / 2BR / 3BR</t>
        </is>
      </c>
      <c r="I32" s="13" t="inlineStr">
        <is>
          <t>3 Affordable (Green) + 6 Market Rate (Blue)</t>
        </is>
      </c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</row>
    <row r="33" ht="15" customFormat="1" customHeight="1" s="273">
      <c r="A33" s="12" t="n">
        <v>23</v>
      </c>
      <c r="B33" s="13" t="inlineStr">
        <is>
          <t>Windsor/Yorkshire</t>
        </is>
      </c>
      <c r="C33" s="13" t="inlineStr">
        <is>
          <t>Shreveport, LA</t>
        </is>
      </c>
      <c r="D33" s="12" t="n">
        <v>1998</v>
      </c>
      <c r="E33" s="12" t="n">
        <v>134</v>
      </c>
      <c r="F33" s="13" t="inlineStr">
        <is>
          <t>LIHTC</t>
        </is>
      </c>
      <c r="G33" s="13" t="inlineStr">
        <is>
          <t>33 - Windsor-Yorkshire</t>
        </is>
      </c>
      <c r="H33" s="13" t="inlineStr">
        <is>
          <t>1BR / 2BR / 4BR</t>
        </is>
      </c>
      <c r="I33" s="13" t="inlineStr">
        <is>
          <t>3 Affordable (Green) + 6 Market Rate (Blue)</t>
        </is>
      </c>
      <c r="J33" s="1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</row>
    <row r="34" ht="15" customFormat="1" customHeight="1" s="273">
      <c r="A34" s="12" t="n">
        <v>24</v>
      </c>
      <c r="B34" s="13" t="inlineStr">
        <is>
          <t>North Pointe</t>
        </is>
      </c>
      <c r="C34" s="13" t="inlineStr">
        <is>
          <t>Bossier City, LA</t>
        </is>
      </c>
      <c r="D34" s="12" t="n">
        <v>2000</v>
      </c>
      <c r="E34" s="12" t="n">
        <v>27</v>
      </c>
      <c r="F34" s="13" t="inlineStr">
        <is>
          <t>LIHTC</t>
        </is>
      </c>
      <c r="G34" s="13" t="inlineStr">
        <is>
          <t>50 - North Pointe</t>
        </is>
      </c>
      <c r="H34" s="13" t="inlineStr">
        <is>
          <t>2BR / 3BR / 4BR</t>
        </is>
      </c>
      <c r="I34" s="13" t="inlineStr">
        <is>
          <t>3 Affordable (Green) + 6 Market Rate (Blue)</t>
        </is>
      </c>
      <c r="J34" s="1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</row>
    <row r="35" ht="15" customFormat="1" customHeight="1" s="273">
      <c r="A35" s="12" t="n">
        <v>25</v>
      </c>
      <c r="B35" s="13" t="inlineStr">
        <is>
          <t>Granite Bayou</t>
        </is>
      </c>
      <c r="C35" s="13" t="inlineStr">
        <is>
          <t>Baton Rouge, LA</t>
        </is>
      </c>
      <c r="D35" s="12" t="n">
        <v>2000</v>
      </c>
      <c r="E35" s="12" t="n">
        <v>60</v>
      </c>
      <c r="F35" s="13" t="inlineStr">
        <is>
          <t>LIHTC</t>
        </is>
      </c>
      <c r="G35" s="13" t="inlineStr">
        <is>
          <t>53 - Bayou Pointe</t>
        </is>
      </c>
      <c r="H35" s="13" t="inlineStr">
        <is>
          <t>3BR / 4BR</t>
        </is>
      </c>
      <c r="I35" s="13" t="inlineStr">
        <is>
          <t>3 Affordable (Green) + 6 Market Rate (Blue)</t>
        </is>
      </c>
      <c r="J35" s="1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</row>
    <row r="36" ht="15" customFormat="1" customHeight="1" s="273">
      <c r="A36" s="12" t="n">
        <v>26</v>
      </c>
      <c r="B36" s="13" t="inlineStr">
        <is>
          <t>St. Charles Place</t>
        </is>
      </c>
      <c r="C36" s="13" t="inlineStr">
        <is>
          <t>Lake Charles, LA</t>
        </is>
      </c>
      <c r="D36" s="12" t="n">
        <v>1995</v>
      </c>
      <c r="E36" s="12" t="n">
        <v>121</v>
      </c>
      <c r="F36" s="13" t="inlineStr">
        <is>
          <t>Layered HUD/LIHTC</t>
        </is>
      </c>
      <c r="G36" s="13" t="inlineStr">
        <is>
          <t>41 - St. Charles</t>
        </is>
      </c>
      <c r="H36" s="13" t="inlineStr">
        <is>
          <t>2BR / 3BR</t>
        </is>
      </c>
      <c r="I36" s="13" t="inlineStr">
        <is>
          <t>3 Affordable (Green) + 6 Market Rate (Blue)</t>
        </is>
      </c>
      <c r="J36" s="1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</row>
    <row r="37" ht="15" customFormat="1" customHeight="1" s="273">
      <c r="A37" s="15" t="n">
        <v>27</v>
      </c>
      <c r="B37" s="16" t="inlineStr">
        <is>
          <t>Pelican Bay</t>
        </is>
      </c>
      <c r="C37" s="16" t="inlineStr">
        <is>
          <t>Baton Rouge, LA</t>
        </is>
      </c>
      <c r="D37" s="15" t="n">
        <v>2001</v>
      </c>
      <c r="E37" s="15" t="n">
        <v>152</v>
      </c>
      <c r="F37" s="17" t="inlineStr">
        <is>
          <t>Section 8/HUD</t>
        </is>
      </c>
      <c r="G37" s="16" t="inlineStr">
        <is>
          <t>55 - Pelican Bay</t>
        </is>
      </c>
      <c r="H37" s="16" t="inlineStr">
        <is>
          <t>1BR / 2BR / 3BR / 4BR</t>
        </is>
      </c>
      <c r="I37" s="16" t="inlineStr">
        <is>
          <t>3 Affordable (Green) + 6 Market Rate (Blue)</t>
        </is>
      </c>
      <c r="J37" s="1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 ht="15" customFormat="1" customHeight="1" s="273">
      <c r="A38" s="15" t="n">
        <v>28</v>
      </c>
      <c r="B38" s="16" t="inlineStr">
        <is>
          <t>Howell Place</t>
        </is>
      </c>
      <c r="C38" s="16" t="inlineStr">
        <is>
          <t>Baton Rouge, LA</t>
        </is>
      </c>
      <c r="D38" s="15" t="n">
        <v>2001</v>
      </c>
      <c r="E38" s="15" t="n">
        <v>48</v>
      </c>
      <c r="F38" s="17" t="inlineStr">
        <is>
          <t>Section 8/HUD</t>
        </is>
      </c>
      <c r="G38" s="16" t="inlineStr">
        <is>
          <t>56 - Howell Place</t>
        </is>
      </c>
      <c r="H38" s="16" t="inlineStr">
        <is>
          <t>1BR / 2BR / 3BR / 4BR</t>
        </is>
      </c>
      <c r="I38" s="16" t="inlineStr">
        <is>
          <t>3 Affordable (Green) + 6 Market Rate (Blue)</t>
        </is>
      </c>
      <c r="J38" s="1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</row>
    <row r="39" ht="15" customFormat="1" customHeight="1" s="273">
      <c r="A39" s="15" t="n">
        <v>29</v>
      </c>
      <c r="B39" s="16" t="inlineStr">
        <is>
          <t>Pirates Bend</t>
        </is>
      </c>
      <c r="C39" s="16" t="inlineStr">
        <is>
          <t>Baton Rouge, LA</t>
        </is>
      </c>
      <c r="D39" s="15" t="n">
        <v>2001</v>
      </c>
      <c r="E39" s="15" t="n">
        <v>48</v>
      </c>
      <c r="F39" s="17" t="inlineStr">
        <is>
          <t>Section 8/HUD</t>
        </is>
      </c>
      <c r="G39" s="16" t="inlineStr">
        <is>
          <t>57 - Pirates Bend</t>
        </is>
      </c>
      <c r="H39" s="16" t="inlineStr">
        <is>
          <t>1BR / 2BR / 3BR / 4BR</t>
        </is>
      </c>
      <c r="I39" s="16" t="inlineStr">
        <is>
          <t>3 Affordable (Green) + 6 Market Rate (Blue)</t>
        </is>
      </c>
      <c r="J39" s="1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</row>
    <row r="40" ht="15" customFormat="1" customHeight="1" s="273">
      <c r="A40" s="15" t="n">
        <v>30</v>
      </c>
      <c r="B40" s="16" t="inlineStr">
        <is>
          <t>Anaheim</t>
        </is>
      </c>
      <c r="C40" s="16" t="inlineStr">
        <is>
          <t>Anaheim, CA</t>
        </is>
      </c>
      <c r="D40" s="15" t="n">
        <v>1980</v>
      </c>
      <c r="E40" s="15" t="n">
        <v>80</v>
      </c>
      <c r="F40" s="17" t="inlineStr">
        <is>
          <t>Section 8/HUD</t>
        </is>
      </c>
      <c r="G40" s="16" t="inlineStr">
        <is>
          <t>6 - Anaheim Gardens</t>
        </is>
      </c>
      <c r="H40" s="16" t="inlineStr">
        <is>
          <t>2BR / 3BR / 4BR</t>
        </is>
      </c>
      <c r="I40" s="16" t="inlineStr">
        <is>
          <t>3 Affordable (Green) + 6 Market Rate (Blue)</t>
        </is>
      </c>
      <c r="J40" s="1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</row>
    <row r="41" ht="15" customFormat="1" customHeight="1" s="273">
      <c r="A41" s="15" t="n">
        <v>31</v>
      </c>
      <c r="B41" s="16" t="inlineStr">
        <is>
          <t>Fairfax</t>
        </is>
      </c>
      <c r="C41" s="16" t="inlineStr">
        <is>
          <t>Los Angeles, CA</t>
        </is>
      </c>
      <c r="D41" s="15" t="n">
        <v>1965</v>
      </c>
      <c r="E41" s="15" t="n">
        <v>46</v>
      </c>
      <c r="F41" s="17" t="inlineStr">
        <is>
          <t>Section 8/HUD</t>
        </is>
      </c>
      <c r="G41" s="16" t="inlineStr">
        <is>
          <t>11 - Fairfax</t>
        </is>
      </c>
      <c r="H41" s="16" t="inlineStr">
        <is>
          <t>1BR</t>
        </is>
      </c>
      <c r="I41" s="16" t="inlineStr">
        <is>
          <t>3 Affordable (Green) + 6 Market Rate (Blue)</t>
        </is>
      </c>
      <c r="J41" s="1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</row>
    <row r="42" ht="15" customFormat="1" customHeight="1" s="273">
      <c r="A42" s="12" t="n">
        <v>32</v>
      </c>
      <c r="B42" s="13" t="inlineStr">
        <is>
          <t>Urban 1 &amp; 2</t>
        </is>
      </c>
      <c r="C42" s="13" t="inlineStr">
        <is>
          <t>Los Angeles, CA</t>
        </is>
      </c>
      <c r="D42" s="12" t="n">
        <v>1970</v>
      </c>
      <c r="E42" s="12" t="n">
        <v>60</v>
      </c>
      <c r="F42" s="13" t="inlineStr">
        <is>
          <t>LIHTC</t>
        </is>
      </c>
      <c r="G42" s="13" t="inlineStr">
        <is>
          <t>31 - Urban</t>
        </is>
      </c>
      <c r="H42" s="13" t="inlineStr">
        <is>
          <t>2BR</t>
        </is>
      </c>
      <c r="I42" s="13" t="inlineStr">
        <is>
          <t>3 Affordable (Green) + 6 Market Rate (Blue)</t>
        </is>
      </c>
      <c r="J42" s="1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</row>
    <row r="43" ht="15" customFormat="1" customHeight="1" s="273">
      <c r="A43" s="12" t="n">
        <v>33</v>
      </c>
      <c r="B43" s="13" t="inlineStr">
        <is>
          <t>Midtown Manor</t>
        </is>
      </c>
      <c r="C43" s="13" t="inlineStr">
        <is>
          <t>Los Angeles, CA</t>
        </is>
      </c>
      <c r="D43" s="12" t="n">
        <v>1970</v>
      </c>
      <c r="E43" s="12" t="n">
        <v>32</v>
      </c>
      <c r="F43" s="13" t="inlineStr">
        <is>
          <t>LIHTC</t>
        </is>
      </c>
      <c r="G43" s="13" t="inlineStr">
        <is>
          <t>2 - Midtown</t>
        </is>
      </c>
      <c r="H43" s="13" t="inlineStr">
        <is>
          <t>1BR</t>
        </is>
      </c>
      <c r="I43" s="13" t="inlineStr">
        <is>
          <t>3 Affordable (Green) + 6 Market Rate (Blue)</t>
        </is>
      </c>
      <c r="J43" s="1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</row>
    <row r="44" ht="15" customFormat="1" customHeight="1" s="273">
      <c r="A44" s="12" t="n">
        <v>34</v>
      </c>
      <c r="B44" s="13" t="inlineStr">
        <is>
          <t>Pacific Pointe</t>
        </is>
      </c>
      <c r="C44" s="13" t="inlineStr">
        <is>
          <t>Stockton, CA</t>
        </is>
      </c>
      <c r="D44" s="12" t="n">
        <v>1998</v>
      </c>
      <c r="E44" s="12" t="n">
        <v>80</v>
      </c>
      <c r="F44" s="13" t="inlineStr">
        <is>
          <t>LIHTC</t>
        </is>
      </c>
      <c r="G44" s="13" t="inlineStr">
        <is>
          <t>34 - Pacific Pointe</t>
        </is>
      </c>
      <c r="H44" s="13" t="inlineStr">
        <is>
          <t>1BR / 2BR</t>
        </is>
      </c>
      <c r="I44" s="13" t="inlineStr">
        <is>
          <t>3 Affordable (Green) + 6 Market Rate (Blue)</t>
        </is>
      </c>
      <c r="J44" s="1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</row>
    <row r="45" ht="15" customFormat="1" customHeight="1" s="273">
      <c r="A45" s="12" t="n">
        <v>35</v>
      </c>
      <c r="B45" s="13" t="inlineStr">
        <is>
          <t>Granite Ridge</t>
        </is>
      </c>
      <c r="C45" s="13" t="inlineStr">
        <is>
          <t>Stockton, CA</t>
        </is>
      </c>
      <c r="D45" s="12" t="n">
        <v>1998</v>
      </c>
      <c r="E45" s="12" t="n">
        <v>80</v>
      </c>
      <c r="F45" s="13" t="inlineStr">
        <is>
          <t>LIHTC</t>
        </is>
      </c>
      <c r="G45" s="13" t="inlineStr">
        <is>
          <t>28 - Granite Ridge</t>
        </is>
      </c>
      <c r="H45" s="13" t="inlineStr">
        <is>
          <t>1BR / 2BR</t>
        </is>
      </c>
      <c r="I45" s="13" t="inlineStr">
        <is>
          <t>3 Affordable (Green) + 6 Market Rate (Blue)</t>
        </is>
      </c>
      <c r="J45" s="1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 ht="15" customFormat="1" customHeight="1" s="273">
      <c r="A46" s="12" t="n">
        <v>36</v>
      </c>
      <c r="B46" s="13" t="inlineStr">
        <is>
          <t>Columbia Village</t>
        </is>
      </c>
      <c r="C46" s="13" t="inlineStr">
        <is>
          <t>Sonora, CA</t>
        </is>
      </c>
      <c r="D46" s="12" t="n">
        <v>2000</v>
      </c>
      <c r="E46" s="12" t="n">
        <v>80</v>
      </c>
      <c r="F46" s="13" t="inlineStr">
        <is>
          <t>LIHTC</t>
        </is>
      </c>
      <c r="G46" s="13" t="inlineStr">
        <is>
          <t>25 - Columbia</t>
        </is>
      </c>
      <c r="H46" s="13" t="inlineStr">
        <is>
          <t>1BR / 2BR / 3BR</t>
        </is>
      </c>
      <c r="I46" s="13" t="inlineStr">
        <is>
          <t>3 Affordable (Green) + 6 Market Rate (Blue)</t>
        </is>
      </c>
      <c r="J46" s="1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</row>
    <row r="47" ht="15" customFormat="1" customHeight="1" s="273">
      <c r="A47" s="12" t="n">
        <v>37</v>
      </c>
      <c r="B47" s="13" t="inlineStr">
        <is>
          <t>Forest View Senior</t>
        </is>
      </c>
      <c r="C47" s="13" t="inlineStr">
        <is>
          <t>Sonora, CA</t>
        </is>
      </c>
      <c r="D47" s="12" t="n">
        <v>2000</v>
      </c>
      <c r="E47" s="12" t="n">
        <v>60</v>
      </c>
      <c r="F47" s="13" t="inlineStr">
        <is>
          <t>LIHTC</t>
        </is>
      </c>
      <c r="G47" s="13" t="inlineStr">
        <is>
          <t>26 - Forest View</t>
        </is>
      </c>
      <c r="H47" s="13" t="inlineStr">
        <is>
          <t>1BR / 2BR / 3BR</t>
        </is>
      </c>
      <c r="I47" s="13" t="inlineStr">
        <is>
          <t>3 Affordable (Green) + 6 Market Rate (Blue)</t>
        </is>
      </c>
      <c r="J47" s="1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</row>
    <row r="48" ht="15" customFormat="1" customHeight="1" s="273">
      <c r="A48" s="12" t="n">
        <v>38</v>
      </c>
      <c r="B48" s="13" t="inlineStr">
        <is>
          <t>Oak Hills</t>
        </is>
      </c>
      <c r="C48" s="13" t="inlineStr">
        <is>
          <t>Jamestown, CA</t>
        </is>
      </c>
      <c r="D48" s="12" t="n">
        <v>2000</v>
      </c>
      <c r="E48" s="12" t="n">
        <v>80</v>
      </c>
      <c r="F48" s="13" t="inlineStr">
        <is>
          <t>LIHTC</t>
        </is>
      </c>
      <c r="G48" s="13" t="inlineStr">
        <is>
          <t>24 - Oak Hills</t>
        </is>
      </c>
      <c r="H48" s="13" t="inlineStr">
        <is>
          <t>2BR / 3BR</t>
        </is>
      </c>
      <c r="I48" s="13" t="inlineStr">
        <is>
          <t>3 Affordable (Green) + 6 Market Rate (Blue)</t>
        </is>
      </c>
      <c r="J48" s="1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</row>
    <row r="49" ht="15" customFormat="1" customHeight="1" s="273">
      <c r="A49" s="15" t="n">
        <v>39</v>
      </c>
      <c r="B49" s="16" t="inlineStr">
        <is>
          <t>River Garden</t>
        </is>
      </c>
      <c r="C49" s="16" t="inlineStr">
        <is>
          <t>Sonora, CA</t>
        </is>
      </c>
      <c r="D49" s="15" t="n">
        <v>1995</v>
      </c>
      <c r="E49" s="15" t="n">
        <v>123</v>
      </c>
      <c r="F49" s="17" t="inlineStr">
        <is>
          <t>Section 8/HUD</t>
        </is>
      </c>
      <c r="G49" s="16" t="inlineStr">
        <is>
          <t>58 - River Garden</t>
        </is>
      </c>
      <c r="H49" s="16" t="inlineStr">
        <is>
          <t>2BR / 3BR / 4BR / 5BR</t>
        </is>
      </c>
      <c r="I49" s="16" t="inlineStr">
        <is>
          <t>3 Affordable (Green) + 6 Market Rate (Blue)</t>
        </is>
      </c>
      <c r="J49" s="1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</row>
    <row r="50" ht="15" customFormat="1" customHeight="1" s="273">
      <c r="A50" s="12" t="n">
        <v>41</v>
      </c>
      <c r="B50" s="13" t="inlineStr">
        <is>
          <t>Silver Springs Terrace</t>
        </is>
      </c>
      <c r="C50" s="13" t="inlineStr">
        <is>
          <t>Hickory, NC</t>
        </is>
      </c>
      <c r="D50" s="12" t="n">
        <v>1971</v>
      </c>
      <c r="E50" s="12" t="n">
        <v>100</v>
      </c>
      <c r="F50" s="13" t="inlineStr">
        <is>
          <t>Layered HUD/LIHTC</t>
        </is>
      </c>
      <c r="G50" s="13" t="inlineStr">
        <is>
          <t>36 - Silver Springs</t>
        </is>
      </c>
      <c r="H50" s="13" t="inlineStr">
        <is>
          <t>1BR / 2BR / 3BR / 4BR</t>
        </is>
      </c>
      <c r="I50" s="13" t="inlineStr">
        <is>
          <t>3 Affordable (Green) + 6 Market Rate (Blue)</t>
        </is>
      </c>
      <c r="J50" s="1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</row>
    <row r="51" ht="15" customFormat="1" customHeight="1" s="273">
      <c r="A51" s="15" t="n">
        <v>42</v>
      </c>
      <c r="B51" s="16" t="inlineStr">
        <is>
          <t>Thomasville Church Homes</t>
        </is>
      </c>
      <c r="C51" s="16" t="inlineStr">
        <is>
          <t>Thomasville, NC</t>
        </is>
      </c>
      <c r="D51" s="15" t="n">
        <v>1975</v>
      </c>
      <c r="E51" s="15" t="n">
        <v>100</v>
      </c>
      <c r="F51" s="17" t="inlineStr">
        <is>
          <t>Section 8/HUD</t>
        </is>
      </c>
      <c r="G51" s="16" t="inlineStr">
        <is>
          <t>44 - Thomasville</t>
        </is>
      </c>
      <c r="H51" s="16" t="inlineStr">
        <is>
          <t>1BR / 2BR / 3BR / 4BR</t>
        </is>
      </c>
      <c r="I51" s="16" t="inlineStr">
        <is>
          <t>3 Affordable (Green) + 6 Market Rate (Blue)</t>
        </is>
      </c>
      <c r="J51" s="1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</row>
    <row r="52" ht="15" customFormat="1" customHeight="1" s="273">
      <c r="A52" s="12" t="n">
        <v>43</v>
      </c>
      <c r="B52" s="13" t="inlineStr">
        <is>
          <t>Crossroadsof Lee Summit</t>
        </is>
      </c>
      <c r="C52" s="13" t="n"/>
      <c r="D52" s="12" t="n"/>
      <c r="E52" s="12" t="n"/>
      <c r="F52" s="13" t="n"/>
      <c r="G52" s="13" t="n"/>
      <c r="H52" s="13" t="n"/>
      <c r="I52" s="13" t="n"/>
      <c r="J52" s="1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</row>
  </sheetData>
  <mergeCells count="3">
    <mergeCell ref="A9:J9"/>
    <mergeCell ref="A8:J8"/>
    <mergeCell ref="I10:J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3"/>
  <sheetViews>
    <sheetView showGridLines="0" topLeftCell="A1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2.421875" customWidth="1" style="273" min="1" max="1"/>
    <col width="15.00390625" customWidth="1" style="273" min="2" max="2"/>
    <col width="5.57421875" customWidth="1" style="273" min="3" max="3"/>
    <col width="5.8515625" customWidth="1" style="273" min="4" max="8"/>
    <col width="5.140625" customWidth="1" style="273" min="9" max="9"/>
    <col width="9.140625" customWidth="1" style="273" min="10" max="10"/>
    <col width="28.00390625" customWidth="1" style="273" min="11" max="11"/>
    <col width="10.57421875" customWidth="1" style="273" min="12" max="12"/>
    <col width="15.28125" customWidth="1" style="273" min="13" max="13"/>
    <col width="9.140625" customWidth="1" style="273" min="14" max="14"/>
    <col width="25.8515625" customWidth="1" style="273" min="15" max="15"/>
    <col width="10.57421875" customWidth="1" style="273" min="16" max="16"/>
    <col width="15.28125" customWidth="1" style="273" min="17" max="17"/>
    <col width="9.140625" customWidth="1" style="273" min="18" max="18"/>
    <col width="25.8515625" customWidth="1" style="273" min="19" max="19"/>
    <col width="10.57421875" customWidth="1" style="273" min="20" max="20"/>
    <col width="15.28125" customWidth="1" style="273" min="21" max="21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  <c r="AY1" s="4" t="n"/>
      <c r="AZ1" s="4" t="n"/>
      <c r="BA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  <c r="AY4" s="4" t="n"/>
      <c r="AZ4" s="4" t="n"/>
      <c r="BA4" s="4" t="n"/>
    </row>
    <row r="5" ht="21.7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</row>
    <row r="6" ht="21.75" customFormat="1" customHeight="1" s="273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  <c r="AP6" s="4" t="n"/>
      <c r="AQ6" s="4" t="n"/>
      <c r="AR6" s="4" t="n"/>
      <c r="AS6" s="4" t="n"/>
      <c r="AT6" s="4" t="n"/>
      <c r="AU6" s="4" t="n"/>
      <c r="AV6" s="4" t="n"/>
      <c r="AW6" s="4" t="n"/>
      <c r="AX6" s="4" t="n"/>
      <c r="AY6" s="4" t="n"/>
      <c r="AZ6" s="4" t="n"/>
      <c r="BA6" s="4" t="n"/>
    </row>
    <row r="7" ht="21.75" customFormat="1" customHeight="1" s="273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  <c r="AS7" s="4" t="n"/>
      <c r="AT7" s="4" t="n"/>
      <c r="AU7" s="4" t="n"/>
      <c r="AV7" s="4" t="n"/>
      <c r="AW7" s="4" t="n"/>
      <c r="AX7" s="4" t="n"/>
      <c r="AY7" s="4" t="n"/>
      <c r="AZ7" s="4" t="n"/>
      <c r="BA7" s="4" t="n"/>
    </row>
    <row r="8" ht="8.25" customFormat="1" customHeight="1" s="273">
      <c r="A8" s="273" t="n"/>
      <c r="B8" s="273" t="n"/>
      <c r="C8" s="273" t="n"/>
      <c r="D8" s="273" t="n"/>
      <c r="E8" s="273" t="n"/>
      <c r="F8" s="273" t="n"/>
      <c r="G8" s="273" t="n"/>
      <c r="H8" s="273" t="n"/>
      <c r="I8" s="273" t="n"/>
      <c r="J8" s="273" t="n"/>
      <c r="K8" s="273" t="n"/>
      <c r="L8" s="273" t="n"/>
      <c r="M8" s="273" t="n"/>
      <c r="N8" s="273" t="n"/>
      <c r="O8" s="273" t="n"/>
      <c r="P8" s="273" t="n"/>
      <c r="Q8" s="273" t="n"/>
      <c r="R8" s="273" t="n"/>
      <c r="S8" s="273" t="n"/>
      <c r="T8" s="273" t="n"/>
      <c r="U8" s="273" t="n"/>
    </row>
    <row r="9" ht="39.75" customFormat="1" customHeight="1" s="273">
      <c r="A9" s="19" t="inlineStr">
        <is>
          <t>As of June 2026  |  Enter rents here — values flow automatically to each building sheet</t>
        </is>
      </c>
      <c r="J9" s="20" t="n"/>
      <c r="K9" s="21" t="inlineStr">
        <is>
          <t>Property (Sheet Name)</t>
        </is>
      </c>
      <c r="L9" s="21" t="inlineStr">
        <is>
          <t>Bed Type</t>
        </is>
      </c>
      <c r="M9" s="21" t="inlineStr">
        <is>
          <t xml:space="preserve">Current Rent </t>
        </is>
      </c>
      <c r="N9" s="22" t="n"/>
      <c r="O9" s="21" t="inlineStr">
        <is>
          <t>Property (Sheet Name)</t>
        </is>
      </c>
      <c r="P9" s="21" t="inlineStr">
        <is>
          <t>Bed Type</t>
        </is>
      </c>
      <c r="Q9" s="21" t="inlineStr">
        <is>
          <t xml:space="preserve">Current Rent </t>
        </is>
      </c>
      <c r="R9" s="22" t="n"/>
      <c r="S9" s="21" t="inlineStr">
        <is>
          <t>Property (Sheet Name)</t>
        </is>
      </c>
      <c r="T9" s="21" t="inlineStr">
        <is>
          <t>Bed Type</t>
        </is>
      </c>
      <c r="U9" s="21" t="inlineStr">
        <is>
          <t xml:space="preserve">Current Rent </t>
        </is>
      </c>
    </row>
    <row r="10" ht="18" customFormat="1" customHeight="1" s="273">
      <c r="A10" s="23" t="inlineStr">
        <is>
          <t>As of June 2026  |  All values are live formula links — update rent on the building sheet and it updates here automatically</t>
        </is>
      </c>
      <c r="J10" s="24" t="n"/>
      <c r="K10" s="25" t="inlineStr">
        <is>
          <t>Same information that is in the table to the left.</t>
        </is>
      </c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</row>
    <row r="11" ht="27.75" customFormat="1" customHeight="1" s="273">
      <c r="A11" s="27" t="inlineStr">
        <is>
          <t>ID</t>
        </is>
      </c>
      <c r="B11" s="27" t="inlineStr">
        <is>
          <t>Property Name</t>
        </is>
      </c>
      <c r="C11" s="27" t="inlineStr">
        <is>
          <t>Studio
(0BD)</t>
        </is>
      </c>
      <c r="D11" s="27" t="inlineStr">
        <is>
          <t>1 Bed
(1BD)</t>
        </is>
      </c>
      <c r="E11" s="27" t="inlineStr">
        <is>
          <t>2 Bed
(2BD)</t>
        </is>
      </c>
      <c r="F11" s="27" t="inlineStr">
        <is>
          <t>3 Bed
(3BD)</t>
        </is>
      </c>
      <c r="G11" s="27" t="inlineStr">
        <is>
          <t>4 Bed
(4BD)</t>
        </is>
      </c>
      <c r="H11" s="27" t="inlineStr">
        <is>
          <t>5 Bed
(5BD)</t>
        </is>
      </c>
      <c r="I11" s="27" t="inlineStr">
        <is>
          <t>Notes</t>
        </is>
      </c>
      <c r="J11" s="346" t="n"/>
      <c r="K11" s="29" t="inlineStr">
        <is>
          <t>21 - Boca Ciega</t>
        </is>
      </c>
      <c r="L11" s="30" t="inlineStr">
        <is>
          <t>2BD</t>
        </is>
      </c>
      <c r="M11" s="347" t="n">
        <v>1736</v>
      </c>
      <c r="N11" s="346" t="n"/>
      <c r="O11" s="29" t="inlineStr">
        <is>
          <t>42 - Ruby</t>
        </is>
      </c>
      <c r="P11" s="30" t="inlineStr">
        <is>
          <t>3BD</t>
        </is>
      </c>
      <c r="Q11" s="347" t="n">
        <v>1223</v>
      </c>
      <c r="R11" s="346" t="n"/>
      <c r="S11" s="29" t="inlineStr">
        <is>
          <t>25 - Columbia</t>
        </is>
      </c>
      <c r="T11" s="30" t="inlineStr">
        <is>
          <t>2BD</t>
        </is>
      </c>
      <c r="U11" s="347" t="n">
        <v>1364</v>
      </c>
    </row>
    <row r="12" ht="21.75" customFormat="1" customHeight="1" s="273">
      <c r="A12" s="32" t="inlineStr">
        <is>
          <t>21</t>
        </is>
      </c>
      <c r="B12" s="33" t="inlineStr">
        <is>
          <t>Boca Ciega</t>
        </is>
      </c>
      <c r="C12" s="34" t="inlineStr">
        <is>
          <t>—</t>
        </is>
      </c>
      <c r="D12" s="34" t="inlineStr">
        <is>
          <t>—</t>
        </is>
      </c>
      <c r="E12" s="348" t="n">
        <v>1736</v>
      </c>
      <c r="F12" s="348" t="n">
        <v>2376</v>
      </c>
      <c r="G12" s="34" t="inlineStr">
        <is>
          <t>—</t>
        </is>
      </c>
      <c r="H12" s="34" t="inlineStr">
        <is>
          <t>—</t>
        </is>
      </c>
      <c r="I12" s="36" t="n"/>
      <c r="J12" s="346" t="n"/>
      <c r="K12" s="37" t="inlineStr">
        <is>
          <t>21 - Boca Ciega</t>
        </is>
      </c>
      <c r="L12" s="38" t="inlineStr">
        <is>
          <t>3BD</t>
        </is>
      </c>
      <c r="M12" s="347" t="n">
        <v>2376</v>
      </c>
      <c r="N12" s="346" t="n"/>
      <c r="O12" s="37" t="inlineStr">
        <is>
          <t>42 - Ruby</t>
        </is>
      </c>
      <c r="P12" s="38" t="inlineStr">
        <is>
          <t>4BD</t>
        </is>
      </c>
      <c r="Q12" s="347" t="n">
        <v>870</v>
      </c>
      <c r="R12" s="346" t="n"/>
      <c r="S12" s="37" t="inlineStr">
        <is>
          <t>25 - Columbia</t>
        </is>
      </c>
      <c r="T12" s="38" t="inlineStr">
        <is>
          <t>3BD</t>
        </is>
      </c>
      <c r="U12" s="347" t="n">
        <v>1577.5</v>
      </c>
    </row>
    <row r="13" ht="21.75" customFormat="1" customHeight="1" s="273">
      <c r="A13" s="32" t="inlineStr">
        <is>
          <t>13</t>
        </is>
      </c>
      <c r="B13" s="39" t="inlineStr">
        <is>
          <t>Jefferson</t>
        </is>
      </c>
      <c r="C13" s="40" t="inlineStr">
        <is>
          <t>—</t>
        </is>
      </c>
      <c r="D13" s="40" t="inlineStr">
        <is>
          <t>—</t>
        </is>
      </c>
      <c r="E13" s="348" t="n">
        <v>1020</v>
      </c>
      <c r="F13" s="348" t="n">
        <v>1150</v>
      </c>
      <c r="G13" s="40" t="inlineStr">
        <is>
          <t>—</t>
        </is>
      </c>
      <c r="H13" s="40" t="inlineStr">
        <is>
          <t>—</t>
        </is>
      </c>
      <c r="I13" s="41" t="n"/>
      <c r="J13" s="346" t="n"/>
      <c r="K13" s="29" t="inlineStr">
        <is>
          <t>13 - Jefferson</t>
        </is>
      </c>
      <c r="L13" s="30" t="inlineStr">
        <is>
          <t>2BD</t>
        </is>
      </c>
      <c r="M13" s="347" t="n">
        <v>1020</v>
      </c>
      <c r="N13" s="346" t="n"/>
      <c r="O13" s="37" t="inlineStr">
        <is>
          <t>39 - Star</t>
        </is>
      </c>
      <c r="P13" s="38" t="inlineStr">
        <is>
          <t>2BD</t>
        </is>
      </c>
      <c r="Q13" s="347" t="n">
        <v>894</v>
      </c>
      <c r="R13" s="346" t="n"/>
      <c r="S13" s="29" t="inlineStr">
        <is>
          <t>25 - Columbia</t>
        </is>
      </c>
      <c r="T13" s="30" t="inlineStr">
        <is>
          <t>4BD</t>
        </is>
      </c>
      <c r="U13" s="347" t="n">
        <v>1731</v>
      </c>
    </row>
    <row r="14" ht="21.75" customFormat="1" customHeight="1" s="273">
      <c r="A14" s="32" t="inlineStr">
        <is>
          <t>18</t>
        </is>
      </c>
      <c r="B14" s="33" t="inlineStr">
        <is>
          <t>Opa Locka</t>
        </is>
      </c>
      <c r="C14" s="34" t="inlineStr">
        <is>
          <t>—</t>
        </is>
      </c>
      <c r="D14" s="348" t="n">
        <v>1470</v>
      </c>
      <c r="E14" s="348" t="n">
        <v>1800</v>
      </c>
      <c r="F14" s="348" t="n">
        <v>2320</v>
      </c>
      <c r="G14" s="34" t="inlineStr">
        <is>
          <t>—</t>
        </is>
      </c>
      <c r="H14" s="34" t="inlineStr">
        <is>
          <t>—</t>
        </is>
      </c>
      <c r="I14" s="36" t="n"/>
      <c r="J14" s="346" t="n"/>
      <c r="K14" s="37" t="inlineStr">
        <is>
          <t>13 - Jefferson</t>
        </is>
      </c>
      <c r="L14" s="38" t="inlineStr">
        <is>
          <t>3BD</t>
        </is>
      </c>
      <c r="M14" s="347" t="n">
        <v>1150</v>
      </c>
      <c r="N14" s="346" t="n"/>
      <c r="O14" s="29" t="inlineStr">
        <is>
          <t>39 - Star</t>
        </is>
      </c>
      <c r="P14" s="30" t="inlineStr">
        <is>
          <t>3BD</t>
        </is>
      </c>
      <c r="Q14" s="347" t="n">
        <v>982</v>
      </c>
      <c r="R14" s="346" t="n"/>
      <c r="S14" s="29" t="inlineStr">
        <is>
          <t>26 - Forest View</t>
        </is>
      </c>
      <c r="T14" s="30" t="inlineStr">
        <is>
          <t>1BD</t>
        </is>
      </c>
      <c r="U14" s="347" t="n">
        <v>723.88</v>
      </c>
    </row>
    <row r="15" ht="21.75" customFormat="1" customHeight="1" s="273">
      <c r="A15" s="32" t="inlineStr">
        <is>
          <t>14</t>
        </is>
      </c>
      <c r="B15" s="39" t="inlineStr">
        <is>
          <t>Macedonia</t>
        </is>
      </c>
      <c r="C15" s="40" t="inlineStr">
        <is>
          <t>—</t>
        </is>
      </c>
      <c r="D15" s="40" t="inlineStr">
        <is>
          <t>—</t>
        </is>
      </c>
      <c r="E15" s="348" t="n">
        <v>1451</v>
      </c>
      <c r="F15" s="348" t="n">
        <v>1613</v>
      </c>
      <c r="G15" s="40" t="inlineStr">
        <is>
          <t>—</t>
        </is>
      </c>
      <c r="H15" s="40" t="inlineStr">
        <is>
          <t>—</t>
        </is>
      </c>
      <c r="I15" s="41" t="n"/>
      <c r="J15" s="346" t="n"/>
      <c r="K15" s="42" t="inlineStr">
        <is>
          <t>18 - Opa Locka (135th Apartments)</t>
        </is>
      </c>
      <c r="L15" s="43" t="inlineStr">
        <is>
          <t>1BD</t>
        </is>
      </c>
      <c r="M15" s="347" t="n">
        <v>1470</v>
      </c>
      <c r="N15" s="346" t="n"/>
      <c r="O15" s="37" t="inlineStr">
        <is>
          <t>39 - Star</t>
        </is>
      </c>
      <c r="P15" s="38" t="inlineStr">
        <is>
          <t>4BD</t>
        </is>
      </c>
      <c r="Q15" s="347" t="n">
        <v>1045</v>
      </c>
      <c r="R15" s="346" t="n"/>
      <c r="S15" s="37" t="inlineStr">
        <is>
          <t>26 - Forest View</t>
        </is>
      </c>
      <c r="T15" s="38" t="inlineStr">
        <is>
          <t>2BD</t>
        </is>
      </c>
      <c r="U15" s="347" t="n">
        <v>855.17</v>
      </c>
    </row>
    <row r="16" ht="21.75" customFormat="1" customHeight="1" s="273">
      <c r="A16" s="32" t="inlineStr">
        <is>
          <t>48</t>
        </is>
      </c>
      <c r="B16" s="33" t="inlineStr">
        <is>
          <t>Coral Village</t>
        </is>
      </c>
      <c r="C16" s="34" t="inlineStr">
        <is>
          <t>—</t>
        </is>
      </c>
      <c r="D16" s="348" t="n">
        <v>1375</v>
      </c>
      <c r="E16" s="348" t="n">
        <v>1552</v>
      </c>
      <c r="F16" s="34" t="inlineStr">
        <is>
          <t>—</t>
        </is>
      </c>
      <c r="G16" s="34" t="inlineStr">
        <is>
          <t>—</t>
        </is>
      </c>
      <c r="H16" s="34" t="inlineStr">
        <is>
          <t>—</t>
        </is>
      </c>
      <c r="I16" s="36" t="n"/>
      <c r="J16" s="346" t="n"/>
      <c r="K16" s="44" t="inlineStr">
        <is>
          <t>19 - Opa Locka (135th Apartments)</t>
        </is>
      </c>
      <c r="L16" s="45" t="inlineStr">
        <is>
          <t>2BD</t>
        </is>
      </c>
      <c r="M16" s="347" t="n">
        <v>1800</v>
      </c>
      <c r="N16" s="346" t="n"/>
      <c r="O16" s="29" t="inlineStr">
        <is>
          <t>40 - Marrero</t>
        </is>
      </c>
      <c r="P16" s="30" t="inlineStr">
        <is>
          <t>3BD</t>
        </is>
      </c>
      <c r="Q16" s="347" t="n">
        <v>1401</v>
      </c>
      <c r="R16" s="346" t="n"/>
      <c r="S16" s="29" t="inlineStr">
        <is>
          <t>24 - Oak Hills</t>
        </is>
      </c>
      <c r="T16" s="30" t="inlineStr">
        <is>
          <t>2BD</t>
        </is>
      </c>
      <c r="U16" s="347" t="n">
        <v>1308</v>
      </c>
    </row>
    <row r="17" ht="21.75" customFormat="1" customHeight="1" s="273">
      <c r="A17" s="32" t="inlineStr">
        <is>
          <t>15</t>
        </is>
      </c>
      <c r="B17" s="39" t="inlineStr">
        <is>
          <t>Holiday</t>
        </is>
      </c>
      <c r="C17" s="40" t="inlineStr">
        <is>
          <t>—</t>
        </is>
      </c>
      <c r="D17" s="40" t="inlineStr">
        <is>
          <t>—</t>
        </is>
      </c>
      <c r="E17" s="348" t="n">
        <v>935</v>
      </c>
      <c r="F17" s="348" t="n">
        <v>1073</v>
      </c>
      <c r="G17" s="348" t="n">
        <v>1147</v>
      </c>
      <c r="H17" s="349" t="n"/>
      <c r="I17" s="41" t="n"/>
      <c r="J17" s="346" t="n"/>
      <c r="K17" s="42" t="inlineStr">
        <is>
          <t>20 - Opa Locka (135th Apartments)</t>
        </is>
      </c>
      <c r="L17" s="43" t="inlineStr">
        <is>
          <t>3BD</t>
        </is>
      </c>
      <c r="M17" s="347" t="n">
        <v>2320</v>
      </c>
      <c r="N17" s="346" t="n"/>
      <c r="O17" s="37" t="inlineStr">
        <is>
          <t>40 - Marrero</t>
        </is>
      </c>
      <c r="P17" s="38" t="inlineStr">
        <is>
          <t>4BD</t>
        </is>
      </c>
      <c r="Q17" s="347" t="n">
        <v>1563</v>
      </c>
      <c r="R17" s="346" t="n"/>
      <c r="S17" s="37" t="inlineStr">
        <is>
          <t>24 - Oak Hills</t>
        </is>
      </c>
      <c r="T17" s="38" t="inlineStr">
        <is>
          <t>3BD</t>
        </is>
      </c>
      <c r="U17" s="347" t="n">
        <v>1526.47</v>
      </c>
    </row>
    <row r="18" ht="21.75" customFormat="1" customHeight="1" s="273">
      <c r="A18" s="32" t="inlineStr">
        <is>
          <t>16</t>
        </is>
      </c>
      <c r="B18" s="33" t="inlineStr">
        <is>
          <t>Cumberland</t>
        </is>
      </c>
      <c r="C18" s="34" t="inlineStr">
        <is>
          <t>—</t>
        </is>
      </c>
      <c r="D18" s="348" t="n">
        <v>1074</v>
      </c>
      <c r="E18" s="348" t="n">
        <v>1166</v>
      </c>
      <c r="F18" s="348" t="n">
        <v>1290</v>
      </c>
      <c r="G18" s="348" t="n">
        <v>1433</v>
      </c>
      <c r="H18" s="34" t="inlineStr">
        <is>
          <t>—</t>
        </is>
      </c>
      <c r="I18" s="36" t="n"/>
      <c r="J18" s="346" t="n"/>
      <c r="K18" s="44" t="inlineStr">
        <is>
          <t>14 - Macedonia</t>
        </is>
      </c>
      <c r="L18" s="45" t="inlineStr">
        <is>
          <t>2BD</t>
        </is>
      </c>
      <c r="M18" s="347" t="n">
        <v>1451</v>
      </c>
      <c r="N18" s="346" t="n"/>
      <c r="O18" s="37" t="inlineStr">
        <is>
          <t>37 - Arbor Crest</t>
        </is>
      </c>
      <c r="P18" s="38" t="inlineStr">
        <is>
          <t>1BD</t>
        </is>
      </c>
      <c r="Q18" s="347" t="n">
        <v>914</v>
      </c>
      <c r="R18" s="346" t="n"/>
      <c r="S18" s="29" t="inlineStr">
        <is>
          <t>58 - River Garden</t>
        </is>
      </c>
      <c r="T18" s="30" t="inlineStr">
        <is>
          <t>2BD</t>
        </is>
      </c>
      <c r="U18" s="347" t="n">
        <v>1140</v>
      </c>
    </row>
    <row r="19" ht="21.75" customFormat="1" customHeight="1" s="273">
      <c r="A19" s="32" t="inlineStr">
        <is>
          <t>59</t>
        </is>
      </c>
      <c r="B19" s="47" t="inlineStr">
        <is>
          <t>Walnut Hill</t>
        </is>
      </c>
      <c r="C19" s="48" t="inlineStr">
        <is>
          <t>—</t>
        </is>
      </c>
      <c r="D19" s="48" t="inlineStr">
        <is>
          <t>—</t>
        </is>
      </c>
      <c r="E19" s="348" t="n">
        <v>1346</v>
      </c>
      <c r="F19" s="348" t="n">
        <v>1465</v>
      </c>
      <c r="G19" s="48" t="inlineStr">
        <is>
          <t>—</t>
        </is>
      </c>
      <c r="H19" s="48" t="inlineStr">
        <is>
          <t>—</t>
        </is>
      </c>
      <c r="I19" s="49" t="n"/>
      <c r="J19" s="346" t="n"/>
      <c r="K19" s="42" t="inlineStr">
        <is>
          <t>14 - Macedonia</t>
        </is>
      </c>
      <c r="L19" s="43" t="inlineStr">
        <is>
          <t>3BD</t>
        </is>
      </c>
      <c r="M19" s="347" t="n">
        <v>1613</v>
      </c>
      <c r="N19" s="346" t="n"/>
      <c r="O19" s="29" t="inlineStr">
        <is>
          <t>37 - Arbor Crest</t>
        </is>
      </c>
      <c r="P19" s="30" t="inlineStr">
        <is>
          <t>2BD</t>
        </is>
      </c>
      <c r="Q19" s="347" t="n">
        <v>1058</v>
      </c>
      <c r="R19" s="346" t="n"/>
      <c r="S19" s="37" t="inlineStr">
        <is>
          <t>58 - River Garden</t>
        </is>
      </c>
      <c r="T19" s="38" t="inlineStr">
        <is>
          <t>3BD</t>
        </is>
      </c>
      <c r="U19" s="347" t="n">
        <v>1317</v>
      </c>
    </row>
    <row r="20" ht="21.75" customFormat="1" customHeight="1" s="273">
      <c r="A20" s="32" t="inlineStr">
        <is>
          <t>29</t>
        </is>
      </c>
      <c r="B20" s="39" t="inlineStr">
        <is>
          <t>River Pointe</t>
        </is>
      </c>
      <c r="C20" s="40" t="inlineStr">
        <is>
          <t>—</t>
        </is>
      </c>
      <c r="D20" s="349" t="n"/>
      <c r="E20" s="348" t="n">
        <v>1400</v>
      </c>
      <c r="F20" s="40" t="inlineStr">
        <is>
          <t>—</t>
        </is>
      </c>
      <c r="G20" s="40" t="inlineStr">
        <is>
          <t>—</t>
        </is>
      </c>
      <c r="H20" s="40" t="inlineStr">
        <is>
          <t>—</t>
        </is>
      </c>
      <c r="I20" s="41" t="n"/>
      <c r="J20" s="346" t="n"/>
      <c r="K20" s="44" t="inlineStr">
        <is>
          <t>48 - Coral Village</t>
        </is>
      </c>
      <c r="L20" s="45" t="inlineStr">
        <is>
          <t>1BD</t>
        </is>
      </c>
      <c r="M20" s="347" t="n">
        <v>1375</v>
      </c>
      <c r="N20" s="346" t="n"/>
      <c r="O20" s="37" t="inlineStr">
        <is>
          <t>37 - Arbor Crest</t>
        </is>
      </c>
      <c r="P20" s="38" t="inlineStr">
        <is>
          <t>3BD</t>
        </is>
      </c>
      <c r="Q20" s="347" t="n">
        <v>1204</v>
      </c>
      <c r="R20" s="346" t="n"/>
      <c r="S20" s="29" t="inlineStr">
        <is>
          <t>58 - River Garden</t>
        </is>
      </c>
      <c r="T20" s="30" t="inlineStr">
        <is>
          <t>4BD</t>
        </is>
      </c>
      <c r="U20" s="347" t="n">
        <v>1470</v>
      </c>
    </row>
    <row r="21" ht="21.75" customFormat="1" customHeight="1" s="273">
      <c r="A21" s="32" t="inlineStr">
        <is>
          <t>12</t>
        </is>
      </c>
      <c r="B21" s="33" t="inlineStr">
        <is>
          <t>Breckenridge</t>
        </is>
      </c>
      <c r="C21" s="34" t="inlineStr">
        <is>
          <t>—</t>
        </is>
      </c>
      <c r="D21" s="34" t="inlineStr">
        <is>
          <t>—</t>
        </is>
      </c>
      <c r="E21" s="348" t="n">
        <v>964</v>
      </c>
      <c r="F21" s="34" t="inlineStr">
        <is>
          <t>—</t>
        </is>
      </c>
      <c r="G21" s="348" t="n">
        <v>1221</v>
      </c>
      <c r="H21" s="34" t="inlineStr">
        <is>
          <t>—</t>
        </is>
      </c>
      <c r="I21" s="36" t="n"/>
      <c r="J21" s="346" t="n"/>
      <c r="K21" s="37" t="inlineStr">
        <is>
          <t>48 - Coral Village</t>
        </is>
      </c>
      <c r="L21" s="38" t="inlineStr">
        <is>
          <t>2BD</t>
        </is>
      </c>
      <c r="M21" s="347" t="n">
        <v>1552</v>
      </c>
      <c r="N21" s="346" t="n"/>
      <c r="O21" s="37" t="inlineStr">
        <is>
          <t>33 - Windsor-Yorkshire</t>
        </is>
      </c>
      <c r="P21" s="38" t="inlineStr">
        <is>
          <t>1BD</t>
        </is>
      </c>
      <c r="Q21" s="347" t="n">
        <v>777</v>
      </c>
      <c r="R21" s="346" t="n"/>
      <c r="S21" s="37" t="inlineStr">
        <is>
          <t>58 - River Garden</t>
        </is>
      </c>
      <c r="T21" s="38" t="inlineStr">
        <is>
          <t>5BD</t>
        </is>
      </c>
      <c r="U21" s="347" t="n">
        <v>1784</v>
      </c>
    </row>
    <row r="22" ht="21.75" customFormat="1" customHeight="1" s="273">
      <c r="A22" s="32" t="inlineStr">
        <is>
          <t>38</t>
        </is>
      </c>
      <c r="B22" s="39" t="inlineStr">
        <is>
          <t>Lexington</t>
        </is>
      </c>
      <c r="C22" s="40" t="inlineStr">
        <is>
          <t>—</t>
        </is>
      </c>
      <c r="D22" s="40" t="inlineStr">
        <is>
          <t>—</t>
        </is>
      </c>
      <c r="E22" s="348" t="n">
        <v>964</v>
      </c>
      <c r="F22" s="40" t="inlineStr">
        <is>
          <t>—</t>
        </is>
      </c>
      <c r="G22" s="348" t="n">
        <v>1221</v>
      </c>
      <c r="H22" s="40" t="inlineStr">
        <is>
          <t>—</t>
        </is>
      </c>
      <c r="I22" s="41" t="n"/>
      <c r="J22" s="346" t="n"/>
      <c r="K22" s="29" t="inlineStr">
        <is>
          <t>15 - Holiday</t>
        </is>
      </c>
      <c r="L22" s="30" t="inlineStr">
        <is>
          <t>2BD</t>
        </is>
      </c>
      <c r="M22" s="347" t="n">
        <v>935</v>
      </c>
      <c r="N22" s="346" t="n"/>
      <c r="O22" s="29" t="inlineStr">
        <is>
          <t>33 - Windsor-Yorkshire</t>
        </is>
      </c>
      <c r="P22" s="30" t="inlineStr">
        <is>
          <t>2BD</t>
        </is>
      </c>
      <c r="Q22" s="347" t="n">
        <v>885</v>
      </c>
      <c r="R22" s="346" t="n"/>
      <c r="S22" s="37" t="inlineStr">
        <is>
          <t>36 - Silver Springs</t>
        </is>
      </c>
      <c r="T22" s="38" t="inlineStr">
        <is>
          <t>1BD</t>
        </is>
      </c>
      <c r="U22" s="347" t="n">
        <v>970</v>
      </c>
    </row>
    <row r="23" ht="21.75" customFormat="1" customHeight="1" s="273">
      <c r="A23" s="32" t="inlineStr">
        <is>
          <t>23</t>
        </is>
      </c>
      <c r="B23" s="33" t="inlineStr">
        <is>
          <t>Grace Townhomes</t>
        </is>
      </c>
      <c r="C23" s="34" t="inlineStr">
        <is>
          <t>—</t>
        </is>
      </c>
      <c r="D23" s="348" t="n">
        <v>1198</v>
      </c>
      <c r="E23" s="348" t="n">
        <v>1430</v>
      </c>
      <c r="F23" s="348" t="n">
        <v>1656</v>
      </c>
      <c r="G23" s="34" t="inlineStr">
        <is>
          <t>—</t>
        </is>
      </c>
      <c r="H23" s="34" t="inlineStr">
        <is>
          <t>—</t>
        </is>
      </c>
      <c r="I23" s="36" t="n"/>
      <c r="J23" s="346" t="n"/>
      <c r="K23" s="37" t="inlineStr">
        <is>
          <t>15 - Holiday</t>
        </is>
      </c>
      <c r="L23" s="38" t="inlineStr">
        <is>
          <t>3BD</t>
        </is>
      </c>
      <c r="M23" s="347" t="n">
        <v>1073</v>
      </c>
      <c r="N23" s="346" t="n"/>
      <c r="O23" s="37" t="inlineStr">
        <is>
          <t>33 - Windsor-Yorkshire</t>
        </is>
      </c>
      <c r="P23" s="38" t="inlineStr">
        <is>
          <t>4BD</t>
        </is>
      </c>
      <c r="Q23" s="347" t="n">
        <v>1140</v>
      </c>
      <c r="R23" s="346" t="n"/>
      <c r="S23" s="29" t="inlineStr">
        <is>
          <t>36 - Silver Springs</t>
        </is>
      </c>
      <c r="T23" s="30" t="inlineStr">
        <is>
          <t>2BD</t>
        </is>
      </c>
      <c r="U23" s="347" t="n">
        <v>1185</v>
      </c>
    </row>
    <row r="24" ht="21.75" customFormat="1" customHeight="1" s="273">
      <c r="A24" s="32" t="inlineStr">
        <is>
          <t>46</t>
        </is>
      </c>
      <c r="B24" s="39" t="inlineStr">
        <is>
          <t>Grove Park</t>
        </is>
      </c>
      <c r="C24" s="40" t="inlineStr">
        <is>
          <t>—</t>
        </is>
      </c>
      <c r="D24" s="348" t="n">
        <v>1210</v>
      </c>
      <c r="E24" s="348" t="n">
        <v>1450</v>
      </c>
      <c r="F24" s="348" t="n">
        <v>1700</v>
      </c>
      <c r="G24" s="40" t="inlineStr">
        <is>
          <t>—</t>
        </is>
      </c>
      <c r="H24" s="40" t="inlineStr">
        <is>
          <t>—</t>
        </is>
      </c>
      <c r="I24" s="41" t="n"/>
      <c r="J24" s="346" t="n"/>
      <c r="K24" s="29" t="inlineStr">
        <is>
          <t>15 - Holiday</t>
        </is>
      </c>
      <c r="L24" s="30" t="inlineStr">
        <is>
          <t>4BD</t>
        </is>
      </c>
      <c r="M24" s="347" t="n">
        <v>1147</v>
      </c>
      <c r="N24" s="346" t="n"/>
      <c r="O24" s="37" t="inlineStr">
        <is>
          <t>50 - North Pointe</t>
        </is>
      </c>
      <c r="P24" s="38" t="inlineStr">
        <is>
          <t>2BD</t>
        </is>
      </c>
      <c r="Q24" s="347" t="n">
        <v>575</v>
      </c>
      <c r="R24" s="346" t="n"/>
      <c r="S24" s="37" t="inlineStr">
        <is>
          <t>36 - Silver Springs</t>
        </is>
      </c>
      <c r="T24" s="38" t="inlineStr">
        <is>
          <t>3BD</t>
        </is>
      </c>
      <c r="U24" s="347" t="n">
        <v>1400</v>
      </c>
    </row>
    <row r="25" ht="21.75" customFormat="1" customHeight="1" s="273">
      <c r="A25" s="32" t="inlineStr">
        <is>
          <t>60</t>
        </is>
      </c>
      <c r="B25" s="33" t="inlineStr">
        <is>
          <t>La Promesa</t>
        </is>
      </c>
      <c r="C25" s="34" t="inlineStr">
        <is>
          <t>—</t>
        </is>
      </c>
      <c r="D25" s="34" t="inlineStr">
        <is>
          <t>—</t>
        </is>
      </c>
      <c r="E25" s="348" t="n">
        <v>1402</v>
      </c>
      <c r="F25" s="348" t="n">
        <v>1679</v>
      </c>
      <c r="G25" s="34" t="inlineStr">
        <is>
          <t>—</t>
        </is>
      </c>
      <c r="H25" s="34" t="inlineStr">
        <is>
          <t>—</t>
        </is>
      </c>
      <c r="I25" s="36" t="n"/>
      <c r="J25" s="346" t="n"/>
      <c r="K25" s="37" t="inlineStr">
        <is>
          <t>16 - Cumberland</t>
        </is>
      </c>
      <c r="L25" s="38" t="inlineStr">
        <is>
          <t>1BD</t>
        </is>
      </c>
      <c r="M25" s="347" t="n">
        <v>1074</v>
      </c>
      <c r="N25" s="346" t="n"/>
      <c r="O25" s="29" t="inlineStr">
        <is>
          <t>50 - North Pointe</t>
        </is>
      </c>
      <c r="P25" s="30" t="inlineStr">
        <is>
          <t>3BD</t>
        </is>
      </c>
      <c r="Q25" s="347" t="n">
        <v>655</v>
      </c>
      <c r="R25" s="346" t="n"/>
      <c r="S25" s="29" t="inlineStr">
        <is>
          <t>36 - Silver Springs</t>
        </is>
      </c>
      <c r="T25" s="30" t="inlineStr">
        <is>
          <t>4BD</t>
        </is>
      </c>
      <c r="U25" s="347" t="n">
        <v>1695</v>
      </c>
    </row>
    <row r="26" ht="21.75" customFormat="1" customHeight="1" s="273">
      <c r="A26" s="32" t="inlineStr">
        <is>
          <t>3</t>
        </is>
      </c>
      <c r="B26" s="39" t="inlineStr">
        <is>
          <t>Wilmington</t>
        </is>
      </c>
      <c r="C26" s="40" t="inlineStr">
        <is>
          <t>—</t>
        </is>
      </c>
      <c r="D26" s="348" t="n">
        <v>1221</v>
      </c>
      <c r="E26" s="348" t="n">
        <v>1563</v>
      </c>
      <c r="F26" s="348" t="n">
        <v>1820</v>
      </c>
      <c r="G26" s="348" t="n">
        <v>2128</v>
      </c>
      <c r="H26" s="40" t="inlineStr">
        <is>
          <t>—</t>
        </is>
      </c>
      <c r="I26" s="41" t="n"/>
      <c r="J26" s="346" t="n"/>
      <c r="K26" s="29" t="inlineStr">
        <is>
          <t>16 - Cumberland</t>
        </is>
      </c>
      <c r="L26" s="30" t="inlineStr">
        <is>
          <t>2BD</t>
        </is>
      </c>
      <c r="M26" s="347" t="n">
        <v>1166</v>
      </c>
      <c r="N26" s="346" t="n"/>
      <c r="O26" s="37" t="inlineStr">
        <is>
          <t>50 - North Pointe</t>
        </is>
      </c>
      <c r="P26" s="38" t="inlineStr">
        <is>
          <t>4BD</t>
        </is>
      </c>
      <c r="Q26" s="347" t="n">
        <v>695</v>
      </c>
      <c r="R26" s="346" t="n"/>
      <c r="S26" s="37" t="inlineStr">
        <is>
          <t>36 - Silver Springs</t>
        </is>
      </c>
      <c r="T26" s="38" t="inlineStr">
        <is>
          <t>5BD</t>
        </is>
      </c>
      <c r="U26" s="347" t="n">
        <v>970</v>
      </c>
    </row>
    <row r="27" ht="21.75" customFormat="1" customHeight="1" s="273">
      <c r="A27" s="32" t="inlineStr">
        <is>
          <t>19</t>
        </is>
      </c>
      <c r="B27" s="33" t="inlineStr">
        <is>
          <t>Gates</t>
        </is>
      </c>
      <c r="C27" s="34" t="inlineStr">
        <is>
          <t>—</t>
        </is>
      </c>
      <c r="D27" s="348" t="n">
        <v>1000</v>
      </c>
      <c r="E27" s="348" t="n">
        <v>1150</v>
      </c>
      <c r="F27" s="348" t="n">
        <v>1300</v>
      </c>
      <c r="G27" s="34" t="inlineStr">
        <is>
          <t>—</t>
        </is>
      </c>
      <c r="H27" s="34" t="inlineStr">
        <is>
          <t>—</t>
        </is>
      </c>
      <c r="I27" s="36" t="n"/>
      <c r="J27" s="346" t="n"/>
      <c r="K27" s="37" t="inlineStr">
        <is>
          <t>16 - Cumberland</t>
        </is>
      </c>
      <c r="L27" s="38" t="inlineStr">
        <is>
          <t>3BD</t>
        </is>
      </c>
      <c r="M27" s="347" t="n">
        <v>1290</v>
      </c>
      <c r="N27" s="346" t="n"/>
      <c r="O27" s="29" t="inlineStr">
        <is>
          <t>53 - Bayou Pointe</t>
        </is>
      </c>
      <c r="P27" s="30" t="inlineStr">
        <is>
          <t>3BD</t>
        </is>
      </c>
      <c r="Q27" s="347" t="n">
        <v>1053</v>
      </c>
      <c r="R27" s="346" t="n"/>
      <c r="S27" s="29" t="inlineStr">
        <is>
          <t>44 - Thomasville</t>
        </is>
      </c>
      <c r="T27" s="30" t="inlineStr">
        <is>
          <t>1BD</t>
        </is>
      </c>
      <c r="U27" s="347" t="n">
        <v>946</v>
      </c>
    </row>
    <row r="28" ht="21.75" customFormat="1" customHeight="1" s="273">
      <c r="A28" s="32" t="inlineStr">
        <is>
          <t>42</t>
        </is>
      </c>
      <c r="B28" s="39" t="inlineStr">
        <is>
          <t>Ruby</t>
        </is>
      </c>
      <c r="C28" s="40" t="inlineStr">
        <is>
          <t>—</t>
        </is>
      </c>
      <c r="D28" s="40" t="inlineStr">
        <is>
          <t>—</t>
        </is>
      </c>
      <c r="E28" s="349" t="n"/>
      <c r="F28" s="348" t="n">
        <v>1223</v>
      </c>
      <c r="G28" s="348" t="n">
        <v>870</v>
      </c>
      <c r="H28" s="40" t="inlineStr">
        <is>
          <t>—</t>
        </is>
      </c>
      <c r="I28" s="41" t="n"/>
      <c r="J28" s="346" t="n"/>
      <c r="K28" s="29" t="inlineStr">
        <is>
          <t>16 - Cumberland</t>
        </is>
      </c>
      <c r="L28" s="30" t="inlineStr">
        <is>
          <t>4BD</t>
        </is>
      </c>
      <c r="M28" s="347" t="n">
        <v>1433</v>
      </c>
      <c r="N28" s="346" t="n"/>
      <c r="O28" s="37" t="inlineStr">
        <is>
          <t>53 - Bayou Pointe</t>
        </is>
      </c>
      <c r="P28" s="38" t="inlineStr">
        <is>
          <t>4BD</t>
        </is>
      </c>
      <c r="Q28" s="347" t="n">
        <v>1152</v>
      </c>
      <c r="R28" s="346" t="n"/>
      <c r="S28" s="37" t="inlineStr">
        <is>
          <t>44 - Thomasville</t>
        </is>
      </c>
      <c r="T28" s="38" t="inlineStr">
        <is>
          <t>2BD</t>
        </is>
      </c>
      <c r="U28" s="347" t="n">
        <v>1054</v>
      </c>
    </row>
    <row r="29" ht="21.75" customFormat="1" customHeight="1" s="273">
      <c r="A29" s="32" t="inlineStr">
        <is>
          <t>39</t>
        </is>
      </c>
      <c r="B29" s="33" t="inlineStr">
        <is>
          <t>Star</t>
        </is>
      </c>
      <c r="C29" s="34" t="inlineStr">
        <is>
          <t>—</t>
        </is>
      </c>
      <c r="D29" s="34" t="inlineStr">
        <is>
          <t>—</t>
        </is>
      </c>
      <c r="E29" s="348" t="n">
        <v>894</v>
      </c>
      <c r="F29" s="348" t="n">
        <v>982</v>
      </c>
      <c r="G29" s="348" t="n">
        <v>1045</v>
      </c>
      <c r="H29" s="34" t="inlineStr">
        <is>
          <t>—</t>
        </is>
      </c>
      <c r="I29" s="36" t="n"/>
      <c r="J29" s="346" t="n"/>
      <c r="K29" s="29" t="inlineStr">
        <is>
          <t>59 - Walnut Hill</t>
        </is>
      </c>
      <c r="L29" s="30" t="inlineStr">
        <is>
          <t>2BD</t>
        </is>
      </c>
      <c r="M29" s="347" t="n">
        <v>1346</v>
      </c>
      <c r="N29" s="346" t="n"/>
      <c r="O29" s="29" t="inlineStr">
        <is>
          <t>41 - St. Charles</t>
        </is>
      </c>
      <c r="P29" s="30" t="inlineStr">
        <is>
          <t>2BD</t>
        </is>
      </c>
      <c r="Q29" s="347" t="n">
        <v>1154</v>
      </c>
      <c r="R29" s="346" t="n"/>
      <c r="S29" s="29" t="inlineStr">
        <is>
          <t>44 - Thomasville</t>
        </is>
      </c>
      <c r="T29" s="30" t="inlineStr">
        <is>
          <t>3BD</t>
        </is>
      </c>
      <c r="U29" s="347" t="n">
        <v>1328</v>
      </c>
    </row>
    <row r="30" ht="21.75" customFormat="1" customHeight="1" s="273">
      <c r="A30" s="32" t="inlineStr">
        <is>
          <t>20</t>
        </is>
      </c>
      <c r="B30" s="50" t="inlineStr">
        <is>
          <t>See Windsor/Yorkshire</t>
        </is>
      </c>
      <c r="C30" s="350" t="n"/>
      <c r="D30" s="350" t="n"/>
      <c r="E30" s="350" t="n"/>
      <c r="F30" s="350" t="n"/>
      <c r="G30" s="350" t="n"/>
      <c r="H30" s="350" t="n"/>
      <c r="I30" s="351" t="n"/>
      <c r="J30" s="346" t="n"/>
      <c r="K30" s="37" t="inlineStr">
        <is>
          <t>59 - Walnut Hill</t>
        </is>
      </c>
      <c r="L30" s="38" t="inlineStr">
        <is>
          <t>3BD</t>
        </is>
      </c>
      <c r="M30" s="347" t="n">
        <v>1465</v>
      </c>
      <c r="N30" s="346" t="n"/>
      <c r="O30" s="37" t="inlineStr">
        <is>
          <t>41 - St. Charles</t>
        </is>
      </c>
      <c r="P30" s="38" t="inlineStr">
        <is>
          <t>3BD</t>
        </is>
      </c>
      <c r="Q30" s="347" t="n">
        <v>1484</v>
      </c>
      <c r="R30" s="346" t="n"/>
      <c r="S30" s="37" t="inlineStr">
        <is>
          <t>44 - Thomasville</t>
        </is>
      </c>
      <c r="T30" s="38" t="inlineStr">
        <is>
          <t>4BD</t>
        </is>
      </c>
      <c r="U30" s="347" t="n">
        <v>1425</v>
      </c>
    </row>
    <row r="31" ht="21.75" customFormat="1" customHeight="1" s="273">
      <c r="A31" s="32" t="inlineStr">
        <is>
          <t>40</t>
        </is>
      </c>
      <c r="B31" s="33" t="inlineStr">
        <is>
          <t>Marrero</t>
        </is>
      </c>
      <c r="C31" s="34" t="inlineStr">
        <is>
          <t>—</t>
        </is>
      </c>
      <c r="D31" s="34" t="inlineStr">
        <is>
          <t>—</t>
        </is>
      </c>
      <c r="E31" s="349" t="n"/>
      <c r="F31" s="348" t="n">
        <v>1401</v>
      </c>
      <c r="G31" s="348" t="n">
        <v>1563</v>
      </c>
      <c r="H31" s="34" t="inlineStr">
        <is>
          <t>—</t>
        </is>
      </c>
      <c r="I31" s="36" t="n"/>
      <c r="J31" s="346" t="n"/>
      <c r="K31" s="53" t="inlineStr">
        <is>
          <t>29 - River Pointe</t>
        </is>
      </c>
      <c r="L31" s="54" t="inlineStr">
        <is>
          <t>2BD</t>
        </is>
      </c>
      <c r="M31" s="347" t="n">
        <v>1400</v>
      </c>
      <c r="N31" s="346" t="n"/>
      <c r="O31" s="29" t="inlineStr">
        <is>
          <t>55 - Pelican Bay</t>
        </is>
      </c>
      <c r="P31" s="30" t="inlineStr">
        <is>
          <t>1BD</t>
        </is>
      </c>
      <c r="Q31" s="347" t="n">
        <v>874</v>
      </c>
      <c r="R31" s="346" t="n"/>
      <c r="S31" s="29" t="inlineStr">
        <is>
          <t>44 - Thomasville</t>
        </is>
      </c>
      <c r="T31" s="30" t="inlineStr">
        <is>
          <t>1BD</t>
        </is>
      </c>
      <c r="U31" s="347" t="n">
        <v>946</v>
      </c>
    </row>
    <row r="32" ht="21.75" customFormat="1" customHeight="1" s="273">
      <c r="A32" s="32" t="inlineStr">
        <is>
          <t>37</t>
        </is>
      </c>
      <c r="B32" s="39" t="inlineStr">
        <is>
          <t>Arbor Crest</t>
        </is>
      </c>
      <c r="C32" s="40" t="inlineStr">
        <is>
          <t>—</t>
        </is>
      </c>
      <c r="D32" s="348" t="n">
        <v>914</v>
      </c>
      <c r="E32" s="348" t="n">
        <v>1058</v>
      </c>
      <c r="F32" s="348" t="n">
        <v>1204</v>
      </c>
      <c r="G32" s="40" t="inlineStr">
        <is>
          <t>—</t>
        </is>
      </c>
      <c r="H32" s="40" t="inlineStr">
        <is>
          <t>—</t>
        </is>
      </c>
      <c r="I32" s="41" t="n"/>
      <c r="J32" s="346" t="n"/>
      <c r="K32" s="53" t="inlineStr">
        <is>
          <t>29 - River Pointe</t>
        </is>
      </c>
      <c r="L32" s="54" t="inlineStr">
        <is>
          <t>3BD</t>
        </is>
      </c>
      <c r="M32" s="347" t="n">
        <v>1600</v>
      </c>
      <c r="N32" s="346" t="n"/>
      <c r="O32" s="37" t="inlineStr">
        <is>
          <t>55 - Pelican Bay</t>
        </is>
      </c>
      <c r="P32" s="38" t="inlineStr">
        <is>
          <t>2BD</t>
        </is>
      </c>
      <c r="Q32" s="347" t="n">
        <v>1039</v>
      </c>
      <c r="R32" s="346" t="n"/>
      <c r="S32" s="37" t="inlineStr">
        <is>
          <t>44 - Thomasville</t>
        </is>
      </c>
      <c r="T32" s="38" t="inlineStr">
        <is>
          <t>2BD</t>
        </is>
      </c>
      <c r="U32" s="347" t="n">
        <v>1054</v>
      </c>
    </row>
    <row r="33" ht="21.75" customFormat="1" customHeight="1" s="273">
      <c r="A33" s="32" t="inlineStr">
        <is>
          <t>33</t>
        </is>
      </c>
      <c r="B33" s="33" t="inlineStr">
        <is>
          <t>Windsor-Yorkshire</t>
        </is>
      </c>
      <c r="C33" s="34" t="inlineStr">
        <is>
          <t>—</t>
        </is>
      </c>
      <c r="D33" s="348" t="n">
        <v>777</v>
      </c>
      <c r="E33" s="348" t="n">
        <v>885</v>
      </c>
      <c r="F33" s="34" t="inlineStr">
        <is>
          <t>—</t>
        </is>
      </c>
      <c r="G33" s="348" t="n">
        <v>1140</v>
      </c>
      <c r="H33" s="34" t="inlineStr">
        <is>
          <t>—</t>
        </is>
      </c>
      <c r="I33" s="36" t="n"/>
      <c r="J33" s="346" t="n"/>
      <c r="K33" s="53" t="inlineStr">
        <is>
          <t>29 - River Pointe</t>
        </is>
      </c>
      <c r="L33" s="54" t="inlineStr">
        <is>
          <t>4BD</t>
        </is>
      </c>
      <c r="M33" s="347" t="n">
        <v>1700</v>
      </c>
      <c r="N33" s="346" t="n"/>
      <c r="O33" s="29" t="inlineStr">
        <is>
          <t>55 - Pelican Bay</t>
        </is>
      </c>
      <c r="P33" s="30" t="inlineStr">
        <is>
          <t>3BD</t>
        </is>
      </c>
      <c r="Q33" s="347" t="n">
        <v>1194</v>
      </c>
      <c r="R33" s="346" t="n"/>
      <c r="S33" s="29" t="inlineStr">
        <is>
          <t>44 - Thomasville</t>
        </is>
      </c>
      <c r="T33" s="30" t="inlineStr">
        <is>
          <t>3BD</t>
        </is>
      </c>
      <c r="U33" s="347" t="n">
        <v>1328</v>
      </c>
    </row>
    <row r="34" ht="21.75" customFormat="1" customHeight="1" s="273">
      <c r="A34" s="32" t="inlineStr">
        <is>
          <t>50</t>
        </is>
      </c>
      <c r="B34" s="39" t="inlineStr">
        <is>
          <t>North Pointe</t>
        </is>
      </c>
      <c r="C34" s="40" t="inlineStr">
        <is>
          <t>—</t>
        </is>
      </c>
      <c r="D34" s="40" t="inlineStr">
        <is>
          <t>—</t>
        </is>
      </c>
      <c r="E34" s="348" t="n">
        <v>575</v>
      </c>
      <c r="F34" s="348" t="n">
        <v>655</v>
      </c>
      <c r="G34" s="348" t="n">
        <v>695</v>
      </c>
      <c r="H34" s="40" t="inlineStr">
        <is>
          <t>—</t>
        </is>
      </c>
      <c r="I34" s="41" t="n"/>
      <c r="J34" s="346" t="n"/>
      <c r="K34" s="37" t="inlineStr">
        <is>
          <t>12 - Breckenridge</t>
        </is>
      </c>
      <c r="L34" s="38" t="inlineStr">
        <is>
          <t>2BD</t>
        </is>
      </c>
      <c r="M34" s="347" t="n">
        <v>964</v>
      </c>
      <c r="N34" s="346" t="n"/>
      <c r="O34" s="37" t="inlineStr">
        <is>
          <t>55 - Pelican Bay</t>
        </is>
      </c>
      <c r="P34" s="38" t="inlineStr">
        <is>
          <t>4BD</t>
        </is>
      </c>
      <c r="Q34" s="347" t="n">
        <v>1321</v>
      </c>
      <c r="R34" s="346" t="n"/>
      <c r="S34" s="37" t="inlineStr">
        <is>
          <t>63 - Crossroads</t>
        </is>
      </c>
      <c r="T34" s="38" t="inlineStr">
        <is>
          <t>2BD</t>
        </is>
      </c>
      <c r="U34" s="347" t="n">
        <v>1388</v>
      </c>
    </row>
    <row r="35" ht="21.75" customFormat="1" customHeight="1" s="273">
      <c r="A35" s="32" t="inlineStr">
        <is>
          <t>53</t>
        </is>
      </c>
      <c r="B35" s="33" t="inlineStr">
        <is>
          <t>Bayou Pointe</t>
        </is>
      </c>
      <c r="C35" s="34" t="inlineStr">
        <is>
          <t>—</t>
        </is>
      </c>
      <c r="D35" s="34" t="inlineStr">
        <is>
          <t>—</t>
        </is>
      </c>
      <c r="E35" s="34" t="inlineStr">
        <is>
          <t>—</t>
        </is>
      </c>
      <c r="F35" s="348" t="n">
        <v>1053</v>
      </c>
      <c r="G35" s="348" t="n">
        <v>1152</v>
      </c>
      <c r="H35" s="34" t="inlineStr">
        <is>
          <t>—</t>
        </is>
      </c>
      <c r="I35" s="36" t="n"/>
      <c r="J35" s="346" t="n"/>
      <c r="K35" s="29" t="inlineStr">
        <is>
          <t>12 - Breckenridge</t>
        </is>
      </c>
      <c r="L35" s="30" t="inlineStr">
        <is>
          <t>4BD</t>
        </is>
      </c>
      <c r="M35" s="347" t="n">
        <v>1221</v>
      </c>
      <c r="N35" s="346" t="n"/>
      <c r="O35" s="37" t="inlineStr">
        <is>
          <t>56 - Howell Place</t>
        </is>
      </c>
      <c r="P35" s="38" t="inlineStr">
        <is>
          <t>1BD</t>
        </is>
      </c>
      <c r="Q35" s="347" t="n">
        <v>874</v>
      </c>
      <c r="R35" s="346" t="n"/>
      <c r="S35" s="29" t="inlineStr">
        <is>
          <t>63 - Crossroads</t>
        </is>
      </c>
      <c r="T35" s="30" t="inlineStr">
        <is>
          <t>3BD</t>
        </is>
      </c>
      <c r="U35" s="347" t="n">
        <v>1592</v>
      </c>
    </row>
    <row r="36" ht="21.75" customFormat="1" customHeight="1" s="273">
      <c r="A36" s="32" t="inlineStr">
        <is>
          <t>41</t>
        </is>
      </c>
      <c r="B36" s="39" t="inlineStr">
        <is>
          <t>St. Charles</t>
        </is>
      </c>
      <c r="C36" s="40" t="inlineStr">
        <is>
          <t>—</t>
        </is>
      </c>
      <c r="D36" s="40" t="inlineStr">
        <is>
          <t>—</t>
        </is>
      </c>
      <c r="E36" s="348" t="n">
        <v>1154</v>
      </c>
      <c r="F36" s="348" t="n">
        <v>1484</v>
      </c>
      <c r="G36" s="40" t="inlineStr">
        <is>
          <t>—</t>
        </is>
      </c>
      <c r="H36" s="40" t="inlineStr">
        <is>
          <t>—</t>
        </is>
      </c>
      <c r="I36" s="41" t="n"/>
      <c r="J36" s="346" t="n"/>
      <c r="K36" s="37" t="inlineStr">
        <is>
          <t>38 - Lexington</t>
        </is>
      </c>
      <c r="L36" s="38" t="inlineStr">
        <is>
          <t>2BD</t>
        </is>
      </c>
      <c r="M36" s="347" t="n">
        <v>964</v>
      </c>
      <c r="N36" s="346" t="n"/>
      <c r="O36" s="29" t="inlineStr">
        <is>
          <t>56 - Howell Place</t>
        </is>
      </c>
      <c r="P36" s="30" t="inlineStr">
        <is>
          <t>2BD</t>
        </is>
      </c>
      <c r="Q36" s="273" t="n"/>
      <c r="R36" s="352" t="n"/>
      <c r="S36" s="273" t="n"/>
      <c r="T36" s="273" t="n"/>
      <c r="U36" s="273" t="n"/>
    </row>
    <row r="37" ht="21.75" customFormat="1" customHeight="1" s="273">
      <c r="A37" s="32" t="inlineStr">
        <is>
          <t>55</t>
        </is>
      </c>
      <c r="B37" s="33" t="inlineStr">
        <is>
          <t>Pelican Bay</t>
        </is>
      </c>
      <c r="C37" s="34" t="inlineStr">
        <is>
          <t>—</t>
        </is>
      </c>
      <c r="D37" s="348" t="n">
        <v>874</v>
      </c>
      <c r="E37" s="348" t="n">
        <v>1039</v>
      </c>
      <c r="F37" s="348" t="n">
        <v>1194</v>
      </c>
      <c r="G37" s="348" t="n">
        <v>1321</v>
      </c>
      <c r="H37" s="34" t="inlineStr">
        <is>
          <t>—</t>
        </is>
      </c>
      <c r="I37" s="36" t="n"/>
      <c r="J37" s="346" t="n"/>
      <c r="K37" s="29" t="inlineStr">
        <is>
          <t>38 - Lexington</t>
        </is>
      </c>
      <c r="L37" s="30" t="inlineStr">
        <is>
          <t>4BD</t>
        </is>
      </c>
      <c r="M37" s="347" t="n">
        <v>1221</v>
      </c>
      <c r="N37" s="346" t="n"/>
      <c r="O37" s="37" t="inlineStr">
        <is>
          <t>56 - Howell Place</t>
        </is>
      </c>
      <c r="P37" s="38" t="inlineStr">
        <is>
          <t>3BD</t>
        </is>
      </c>
      <c r="Q37" s="273" t="n"/>
      <c r="R37" s="352" t="n"/>
      <c r="S37" s="273" t="n"/>
      <c r="T37" s="273" t="n"/>
      <c r="U37" s="273" t="n"/>
    </row>
    <row r="38" ht="21.75" customFormat="1" customHeight="1" s="273">
      <c r="A38" s="32" t="inlineStr">
        <is>
          <t>56</t>
        </is>
      </c>
      <c r="B38" s="39" t="inlineStr">
        <is>
          <t>Howell Place</t>
        </is>
      </c>
      <c r="C38" s="40" t="inlineStr">
        <is>
          <t>—</t>
        </is>
      </c>
      <c r="D38" s="348" t="n">
        <v>874</v>
      </c>
      <c r="E38" s="348" t="n">
        <v>1039</v>
      </c>
      <c r="F38" s="348" t="n">
        <v>1194</v>
      </c>
      <c r="G38" s="348" t="n">
        <v>1321</v>
      </c>
      <c r="H38" s="40" t="inlineStr">
        <is>
          <t>—</t>
        </is>
      </c>
      <c r="I38" s="41" t="n"/>
      <c r="J38" s="346" t="n"/>
      <c r="K38" s="29" t="inlineStr">
        <is>
          <t>23 - Grace Townhomes</t>
        </is>
      </c>
      <c r="L38" s="30" t="inlineStr">
        <is>
          <t>1BD</t>
        </is>
      </c>
      <c r="M38" s="347" t="n">
        <v>1198</v>
      </c>
      <c r="N38" s="346" t="n"/>
      <c r="O38" s="29" t="inlineStr">
        <is>
          <t>56 - Howell Place</t>
        </is>
      </c>
      <c r="P38" s="30" t="inlineStr">
        <is>
          <t>4BD</t>
        </is>
      </c>
      <c r="Q38" s="273" t="n"/>
      <c r="R38" s="352" t="n"/>
      <c r="S38" s="273" t="n"/>
      <c r="T38" s="273" t="n"/>
      <c r="U38" s="273" t="n"/>
    </row>
    <row r="39" ht="21.75" customFormat="1" customHeight="1" s="273">
      <c r="A39" s="32" t="inlineStr">
        <is>
          <t>57</t>
        </is>
      </c>
      <c r="B39" s="33" t="inlineStr">
        <is>
          <t>Pirates Bend</t>
        </is>
      </c>
      <c r="C39" s="34" t="inlineStr">
        <is>
          <t>—</t>
        </is>
      </c>
      <c r="D39" s="348" t="n">
        <v>874</v>
      </c>
      <c r="E39" s="348" t="n">
        <v>1039</v>
      </c>
      <c r="F39" s="348" t="n">
        <v>1194</v>
      </c>
      <c r="G39" s="348" t="n">
        <v>1321</v>
      </c>
      <c r="H39" s="34" t="inlineStr">
        <is>
          <t>—</t>
        </is>
      </c>
      <c r="I39" s="36" t="n"/>
      <c r="J39" s="346" t="n"/>
      <c r="K39" s="37" t="inlineStr">
        <is>
          <t>23 - Grace Townhomes</t>
        </is>
      </c>
      <c r="L39" s="38" t="inlineStr">
        <is>
          <t>2BD</t>
        </is>
      </c>
      <c r="M39" s="347" t="n">
        <v>1430</v>
      </c>
      <c r="N39" s="346" t="n"/>
      <c r="O39" s="29" t="inlineStr">
        <is>
          <t>57 - Pirates Bend</t>
        </is>
      </c>
      <c r="P39" s="30" t="inlineStr">
        <is>
          <t>1BD</t>
        </is>
      </c>
      <c r="Q39" s="273" t="n"/>
      <c r="R39" s="352" t="n"/>
      <c r="S39" s="273" t="n"/>
      <c r="T39" s="273" t="n"/>
      <c r="U39" s="273" t="n"/>
    </row>
    <row r="40" ht="21.75" customFormat="1" customHeight="1" s="273">
      <c r="A40" s="32" t="inlineStr">
        <is>
          <t>6</t>
        </is>
      </c>
      <c r="B40" s="39" t="inlineStr">
        <is>
          <t>Anaheim Gardens</t>
        </is>
      </c>
      <c r="C40" s="40" t="inlineStr">
        <is>
          <t>—</t>
        </is>
      </c>
      <c r="D40" s="348" t="n">
        <v>3374</v>
      </c>
      <c r="E40" s="348" t="n">
        <v>3979</v>
      </c>
      <c r="F40" s="348" t="n">
        <v>4973</v>
      </c>
      <c r="G40" s="40" t="inlineStr">
        <is>
          <t>—</t>
        </is>
      </c>
      <c r="H40" s="40" t="inlineStr">
        <is>
          <t>—</t>
        </is>
      </c>
      <c r="I40" s="41" t="n"/>
      <c r="J40" s="346" t="n"/>
      <c r="K40" s="29" t="inlineStr">
        <is>
          <t>23 - Grace Townhomes</t>
        </is>
      </c>
      <c r="L40" s="30" t="inlineStr">
        <is>
          <t>3BD</t>
        </is>
      </c>
      <c r="M40" s="347" t="n">
        <v>1656</v>
      </c>
      <c r="N40" s="346" t="n"/>
      <c r="O40" s="37" t="inlineStr">
        <is>
          <t>57 - Pirates Bend</t>
        </is>
      </c>
      <c r="P40" s="38" t="inlineStr">
        <is>
          <t>2BD</t>
        </is>
      </c>
      <c r="Q40" s="273" t="n"/>
      <c r="R40" s="352" t="n"/>
      <c r="S40" s="273" t="n"/>
      <c r="T40" s="273" t="n"/>
      <c r="U40" s="273" t="n"/>
    </row>
    <row r="41" ht="21.75" customFormat="1" customHeight="1" s="273">
      <c r="A41" s="32" t="inlineStr">
        <is>
          <t>11</t>
        </is>
      </c>
      <c r="B41" s="33" t="inlineStr">
        <is>
          <t>Fairfax</t>
        </is>
      </c>
      <c r="C41" s="34" t="inlineStr">
        <is>
          <t>—</t>
        </is>
      </c>
      <c r="D41" s="348" t="n">
        <v>2908</v>
      </c>
      <c r="E41" s="34" t="inlineStr">
        <is>
          <t>—</t>
        </is>
      </c>
      <c r="F41" s="34" t="inlineStr">
        <is>
          <t>—</t>
        </is>
      </c>
      <c r="G41" s="34" t="inlineStr">
        <is>
          <t>—</t>
        </is>
      </c>
      <c r="H41" s="34" t="inlineStr">
        <is>
          <t>—</t>
        </is>
      </c>
      <c r="I41" s="36" t="n"/>
      <c r="J41" s="346" t="n"/>
      <c r="K41" s="37" t="inlineStr">
        <is>
          <t>46 - Grove Park</t>
        </is>
      </c>
      <c r="L41" s="38" t="inlineStr">
        <is>
          <t>1BD</t>
        </is>
      </c>
      <c r="M41" s="347" t="n">
        <v>1210</v>
      </c>
      <c r="N41" s="346" t="n"/>
      <c r="O41" s="29" t="inlineStr">
        <is>
          <t>57 - Pirates Bend</t>
        </is>
      </c>
      <c r="P41" s="30" t="inlineStr">
        <is>
          <t>3BD</t>
        </is>
      </c>
      <c r="Q41" s="273" t="n"/>
      <c r="R41" s="352" t="n"/>
      <c r="S41" s="273" t="n"/>
      <c r="T41" s="273" t="n"/>
      <c r="U41" s="273" t="n"/>
    </row>
    <row r="42" ht="21.75" customFormat="1" customHeight="1" s="273">
      <c r="A42" s="32" t="inlineStr">
        <is>
          <t>31</t>
        </is>
      </c>
      <c r="B42" s="39" t="inlineStr">
        <is>
          <t>Urban</t>
        </is>
      </c>
      <c r="C42" s="40" t="inlineStr">
        <is>
          <t>—</t>
        </is>
      </c>
      <c r="D42" s="40" t="inlineStr">
        <is>
          <t>—</t>
        </is>
      </c>
      <c r="E42" s="348" t="n">
        <v>1842</v>
      </c>
      <c r="F42" s="40" t="inlineStr">
        <is>
          <t>—</t>
        </is>
      </c>
      <c r="G42" s="40" t="inlineStr">
        <is>
          <t>—</t>
        </is>
      </c>
      <c r="H42" s="40" t="inlineStr">
        <is>
          <t>—</t>
        </is>
      </c>
      <c r="I42" s="41" t="n"/>
      <c r="J42" s="346" t="n"/>
      <c r="K42" s="29" t="inlineStr">
        <is>
          <t>46 - Grove Park</t>
        </is>
      </c>
      <c r="L42" s="30" t="inlineStr">
        <is>
          <t>2BD</t>
        </is>
      </c>
      <c r="M42" s="347" t="n">
        <v>1450</v>
      </c>
      <c r="N42" s="346" t="n"/>
      <c r="O42" s="37" t="inlineStr">
        <is>
          <t>57 - Pirates Bend</t>
        </is>
      </c>
      <c r="P42" s="38" t="inlineStr">
        <is>
          <t>4BD</t>
        </is>
      </c>
      <c r="Q42" s="273" t="n"/>
      <c r="R42" s="352" t="n"/>
      <c r="S42" s="273" t="n"/>
      <c r="T42" s="273" t="n"/>
      <c r="U42" s="273" t="n"/>
    </row>
    <row r="43" ht="21.75" customFormat="1" customHeight="1" s="273">
      <c r="A43" s="32" t="inlineStr">
        <is>
          <t>2</t>
        </is>
      </c>
      <c r="B43" s="33" t="inlineStr">
        <is>
          <t>Midtown</t>
        </is>
      </c>
      <c r="C43" s="34" t="inlineStr">
        <is>
          <t>—</t>
        </is>
      </c>
      <c r="D43" s="348" t="n">
        <v>1612</v>
      </c>
      <c r="E43" s="34" t="inlineStr">
        <is>
          <t>—</t>
        </is>
      </c>
      <c r="F43" s="34" t="inlineStr">
        <is>
          <t>—</t>
        </is>
      </c>
      <c r="G43" s="34" t="inlineStr">
        <is>
          <t>—</t>
        </is>
      </c>
      <c r="H43" s="34" t="inlineStr">
        <is>
          <t>—</t>
        </is>
      </c>
      <c r="I43" s="36" t="n"/>
      <c r="J43" s="346" t="n"/>
      <c r="K43" s="37" t="inlineStr">
        <is>
          <t>46 - Grove Park</t>
        </is>
      </c>
      <c r="L43" s="38" t="inlineStr">
        <is>
          <t>3BD</t>
        </is>
      </c>
      <c r="M43" s="347" t="n">
        <v>1700</v>
      </c>
      <c r="N43" s="346" t="n"/>
      <c r="O43" s="29" t="inlineStr">
        <is>
          <t>6 - Anaheim Gardens</t>
        </is>
      </c>
      <c r="P43" s="30" t="inlineStr">
        <is>
          <t>1BD</t>
        </is>
      </c>
      <c r="Q43" s="273" t="n"/>
      <c r="R43" s="352" t="n"/>
      <c r="S43" s="273" t="n"/>
      <c r="T43" s="273" t="n"/>
      <c r="U43" s="273" t="n"/>
    </row>
    <row r="44" ht="21.75" customFormat="1" customHeight="1" s="273">
      <c r="A44" s="32" t="inlineStr">
        <is>
          <t>34</t>
        </is>
      </c>
      <c r="B44" s="39" t="inlineStr">
        <is>
          <t>Pacific Pointe</t>
        </is>
      </c>
      <c r="C44" s="40" t="inlineStr">
        <is>
          <t>—</t>
        </is>
      </c>
      <c r="D44" s="348" t="n">
        <v>1252</v>
      </c>
      <c r="E44" s="348" t="n">
        <v>1374</v>
      </c>
      <c r="F44" s="40" t="inlineStr">
        <is>
          <t>—</t>
        </is>
      </c>
      <c r="G44" s="40" t="inlineStr">
        <is>
          <t>—</t>
        </is>
      </c>
      <c r="H44" s="40" t="inlineStr">
        <is>
          <t>—</t>
        </is>
      </c>
      <c r="I44" s="41" t="n"/>
      <c r="J44" s="346" t="n"/>
      <c r="K44" s="37" t="inlineStr">
        <is>
          <t>60 - La Promesa</t>
        </is>
      </c>
      <c r="L44" s="38" t="inlineStr">
        <is>
          <t>2BD</t>
        </is>
      </c>
      <c r="M44" s="347" t="n">
        <v>1402</v>
      </c>
      <c r="N44" s="346" t="n"/>
      <c r="O44" s="37" t="inlineStr">
        <is>
          <t>6 - Anaheim Gardens</t>
        </is>
      </c>
      <c r="P44" s="38" t="inlineStr">
        <is>
          <t>2BD</t>
        </is>
      </c>
      <c r="Q44" s="273" t="n"/>
      <c r="R44" s="352" t="n"/>
      <c r="S44" s="273" t="n"/>
      <c r="T44" s="273" t="n"/>
      <c r="U44" s="273" t="n"/>
    </row>
    <row r="45" ht="21.75" customFormat="1" customHeight="1" s="273">
      <c r="A45" s="32" t="inlineStr">
        <is>
          <t>28</t>
        </is>
      </c>
      <c r="B45" s="33" t="inlineStr">
        <is>
          <t>Granite Ridge</t>
        </is>
      </c>
      <c r="C45" s="34" t="inlineStr">
        <is>
          <t>—</t>
        </is>
      </c>
      <c r="D45" s="348" t="n">
        <v>1212</v>
      </c>
      <c r="E45" s="348" t="n">
        <v>1383</v>
      </c>
      <c r="F45" s="34" t="inlineStr">
        <is>
          <t>—</t>
        </is>
      </c>
      <c r="G45" s="34" t="inlineStr">
        <is>
          <t>—</t>
        </is>
      </c>
      <c r="H45" s="34" t="inlineStr">
        <is>
          <t>—</t>
        </is>
      </c>
      <c r="I45" s="36" t="n"/>
      <c r="J45" s="346" t="n"/>
      <c r="K45" s="29" t="inlineStr">
        <is>
          <t>60 - La Promesa</t>
        </is>
      </c>
      <c r="L45" s="30" t="inlineStr">
        <is>
          <t>3BD</t>
        </is>
      </c>
      <c r="M45" s="347" t="n">
        <v>1679</v>
      </c>
      <c r="N45" s="346" t="n"/>
      <c r="O45" s="29" t="inlineStr">
        <is>
          <t>6 - Anaheim Gardens</t>
        </is>
      </c>
      <c r="P45" s="30" t="inlineStr">
        <is>
          <t>3BD</t>
        </is>
      </c>
      <c r="Q45" s="273" t="n"/>
      <c r="R45" s="352" t="n"/>
      <c r="S45" s="273" t="n"/>
      <c r="T45" s="273" t="n"/>
      <c r="U45" s="273" t="n"/>
    </row>
    <row r="46" ht="21.75" customFormat="1" customHeight="1" s="273">
      <c r="A46" s="32" t="inlineStr">
        <is>
          <t>25</t>
        </is>
      </c>
      <c r="B46" s="39" t="inlineStr">
        <is>
          <t>Columbia</t>
        </is>
      </c>
      <c r="C46" s="40" t="inlineStr">
        <is>
          <t>—</t>
        </is>
      </c>
      <c r="D46" s="40" t="inlineStr">
        <is>
          <t>—</t>
        </is>
      </c>
      <c r="E46" s="348" t="n">
        <v>1364</v>
      </c>
      <c r="F46" s="348" t="n">
        <v>1577.5</v>
      </c>
      <c r="G46" s="348" t="n">
        <v>1731</v>
      </c>
      <c r="H46" s="40" t="inlineStr">
        <is>
          <t>—</t>
        </is>
      </c>
      <c r="I46" s="41" t="n"/>
      <c r="J46" s="346" t="n"/>
      <c r="K46" s="37" t="inlineStr">
        <is>
          <t>3 - Wilmington</t>
        </is>
      </c>
      <c r="L46" s="38" t="inlineStr">
        <is>
          <t>1BD</t>
        </is>
      </c>
      <c r="M46" s="347" t="n">
        <v>1221</v>
      </c>
      <c r="N46" s="346" t="n"/>
      <c r="O46" s="37" t="inlineStr">
        <is>
          <t>11 - Fairfax</t>
        </is>
      </c>
      <c r="P46" s="38" t="inlineStr">
        <is>
          <t>1BD</t>
        </is>
      </c>
      <c r="Q46" s="273" t="n"/>
      <c r="R46" s="352" t="n"/>
      <c r="S46" s="273" t="n"/>
      <c r="T46" s="273" t="n"/>
      <c r="U46" s="273" t="n"/>
    </row>
    <row r="47" ht="21.75" customFormat="1" customHeight="1" s="273">
      <c r="A47" s="32" t="inlineStr">
        <is>
          <t>26</t>
        </is>
      </c>
      <c r="B47" s="33" t="inlineStr">
        <is>
          <t>Forest View</t>
        </is>
      </c>
      <c r="C47" s="34" t="inlineStr">
        <is>
          <t>—</t>
        </is>
      </c>
      <c r="D47" s="348" t="n">
        <v>723.88</v>
      </c>
      <c r="E47" s="348" t="n">
        <v>855.17</v>
      </c>
      <c r="F47" s="34" t="inlineStr">
        <is>
          <t>—</t>
        </is>
      </c>
      <c r="G47" s="34" t="inlineStr">
        <is>
          <t>—</t>
        </is>
      </c>
      <c r="H47" s="34" t="inlineStr">
        <is>
          <t>—</t>
        </is>
      </c>
      <c r="I47" s="36" t="n"/>
      <c r="J47" s="346" t="n"/>
      <c r="K47" s="29" t="inlineStr">
        <is>
          <t>3 - Wilmington</t>
        </is>
      </c>
      <c r="L47" s="30" t="inlineStr">
        <is>
          <t>2BD</t>
        </is>
      </c>
      <c r="M47" s="347" t="n">
        <v>1563</v>
      </c>
      <c r="N47" s="346" t="n"/>
      <c r="O47" s="29" t="inlineStr">
        <is>
          <t>31 - Urban</t>
        </is>
      </c>
      <c r="P47" s="30" t="inlineStr">
        <is>
          <t>0BD</t>
        </is>
      </c>
      <c r="Q47" s="273" t="n"/>
      <c r="R47" s="352" t="n"/>
      <c r="S47" s="273" t="n"/>
      <c r="T47" s="273" t="n"/>
      <c r="U47" s="273" t="n"/>
    </row>
    <row r="48" ht="21.75" customFormat="1" customHeight="1" s="273">
      <c r="A48" s="32" t="inlineStr">
        <is>
          <t>24</t>
        </is>
      </c>
      <c r="B48" s="39" t="inlineStr">
        <is>
          <t>Oak Hills</t>
        </is>
      </c>
      <c r="C48" s="40" t="inlineStr">
        <is>
          <t>—</t>
        </is>
      </c>
      <c r="D48" s="40" t="inlineStr">
        <is>
          <t>—</t>
        </is>
      </c>
      <c r="E48" s="348" t="n">
        <v>1308</v>
      </c>
      <c r="F48" s="348" t="n">
        <v>1526.47</v>
      </c>
      <c r="G48" s="40" t="inlineStr">
        <is>
          <t>—</t>
        </is>
      </c>
      <c r="H48" s="40" t="inlineStr">
        <is>
          <t>—</t>
        </is>
      </c>
      <c r="I48" s="41" t="n"/>
      <c r="J48" s="346" t="n"/>
      <c r="K48" s="37" t="inlineStr">
        <is>
          <t>3 - Wilmington</t>
        </is>
      </c>
      <c r="L48" s="38" t="inlineStr">
        <is>
          <t>3BD</t>
        </is>
      </c>
      <c r="M48" s="347" t="n">
        <v>1820</v>
      </c>
      <c r="N48" s="346" t="n"/>
      <c r="O48" s="37" t="inlineStr">
        <is>
          <t>31 - Urban</t>
        </is>
      </c>
      <c r="P48" s="38" t="inlineStr">
        <is>
          <t>2BD</t>
        </is>
      </c>
      <c r="Q48" s="273" t="n"/>
      <c r="R48" s="352" t="n"/>
      <c r="S48" s="273" t="n"/>
      <c r="T48" s="273" t="n"/>
      <c r="U48" s="273" t="n"/>
    </row>
    <row r="49" ht="21.75" customFormat="1" customHeight="1" s="273">
      <c r="A49" s="32" t="inlineStr">
        <is>
          <t>58</t>
        </is>
      </c>
      <c r="B49" s="33" t="inlineStr">
        <is>
          <t>River Garden</t>
        </is>
      </c>
      <c r="C49" s="34" t="inlineStr">
        <is>
          <t>—</t>
        </is>
      </c>
      <c r="D49" s="34" t="inlineStr">
        <is>
          <t>—</t>
        </is>
      </c>
      <c r="E49" s="348" t="n">
        <v>1140</v>
      </c>
      <c r="F49" s="348" t="n">
        <v>1317</v>
      </c>
      <c r="G49" s="348" t="n">
        <v>1470</v>
      </c>
      <c r="H49" s="348" t="n">
        <v>1784</v>
      </c>
      <c r="I49" s="36" t="n"/>
      <c r="J49" s="346" t="n"/>
      <c r="K49" s="29" t="inlineStr">
        <is>
          <t>3 - Wilmington</t>
        </is>
      </c>
      <c r="L49" s="30" t="inlineStr">
        <is>
          <t>4BD</t>
        </is>
      </c>
      <c r="M49" s="347" t="n">
        <v>2128</v>
      </c>
      <c r="N49" s="346" t="n"/>
      <c r="O49" s="29" t="inlineStr">
        <is>
          <t>2 - Midtown</t>
        </is>
      </c>
      <c r="P49" s="30" t="inlineStr">
        <is>
          <t>1BD</t>
        </is>
      </c>
      <c r="Q49" s="273" t="n"/>
      <c r="R49" s="352" t="n"/>
      <c r="S49" s="273" t="n"/>
      <c r="T49" s="273" t="n"/>
      <c r="U49" s="273" t="n"/>
    </row>
    <row r="50" ht="21.75" customFormat="1" customHeight="1" s="273">
      <c r="A50" s="32" t="inlineStr">
        <is>
          <t>36</t>
        </is>
      </c>
      <c r="B50" s="39" t="inlineStr">
        <is>
          <t>Silver Springs</t>
        </is>
      </c>
      <c r="C50" s="40" t="inlineStr">
        <is>
          <t>—</t>
        </is>
      </c>
      <c r="D50" s="348" t="n">
        <v>970</v>
      </c>
      <c r="E50" s="348" t="n">
        <v>1185</v>
      </c>
      <c r="F50" s="348" t="n">
        <v>1400</v>
      </c>
      <c r="G50" s="348" t="n">
        <v>1695</v>
      </c>
      <c r="H50" s="40" t="inlineStr">
        <is>
          <t>—</t>
        </is>
      </c>
      <c r="I50" s="41" t="n"/>
      <c r="J50" s="346" t="n"/>
      <c r="K50" s="37" t="inlineStr">
        <is>
          <t>19 - Gates</t>
        </is>
      </c>
      <c r="L50" s="38" t="inlineStr">
        <is>
          <t>1BD</t>
        </is>
      </c>
      <c r="M50" s="347" t="n">
        <v>1000</v>
      </c>
      <c r="N50" s="346" t="n"/>
      <c r="O50" s="37" t="inlineStr">
        <is>
          <t>34 - Pacific Pointe</t>
        </is>
      </c>
      <c r="P50" s="38" t="inlineStr">
        <is>
          <t>1BD</t>
        </is>
      </c>
      <c r="Q50" s="273" t="n"/>
      <c r="R50" s="352" t="n"/>
      <c r="S50" s="273" t="n"/>
      <c r="T50" s="273" t="n"/>
      <c r="U50" s="273" t="n"/>
    </row>
    <row r="51" ht="21.75" customFormat="1" customHeight="1" s="273">
      <c r="A51" s="32" t="inlineStr">
        <is>
          <t>44</t>
        </is>
      </c>
      <c r="B51" s="33" t="inlineStr">
        <is>
          <t>Thomasville</t>
        </is>
      </c>
      <c r="C51" s="34" t="inlineStr">
        <is>
          <t>—</t>
        </is>
      </c>
      <c r="D51" s="348" t="n">
        <v>946</v>
      </c>
      <c r="E51" s="348" t="n">
        <v>1054</v>
      </c>
      <c r="F51" s="348" t="n">
        <v>1328</v>
      </c>
      <c r="G51" s="348" t="n">
        <v>1425</v>
      </c>
      <c r="H51" s="34" t="inlineStr">
        <is>
          <t>—</t>
        </is>
      </c>
      <c r="I51" s="36" t="n"/>
      <c r="J51" s="346" t="n"/>
      <c r="K51" s="29" t="inlineStr">
        <is>
          <t>19 - Gates</t>
        </is>
      </c>
      <c r="L51" s="30" t="inlineStr">
        <is>
          <t>2BD</t>
        </is>
      </c>
      <c r="M51" s="347" t="n">
        <v>1150</v>
      </c>
      <c r="N51" s="346" t="n"/>
      <c r="O51" s="29" t="inlineStr">
        <is>
          <t>34 - Pacific Pointe</t>
        </is>
      </c>
      <c r="P51" s="30" t="inlineStr">
        <is>
          <t>2BD</t>
        </is>
      </c>
      <c r="Q51" s="273" t="n"/>
      <c r="R51" s="352" t="n"/>
      <c r="S51" s="273" t="n"/>
      <c r="T51" s="273" t="n"/>
      <c r="U51" s="273" t="n"/>
    </row>
    <row r="52" ht="21.75" customFormat="1" customHeight="1" s="273">
      <c r="A52" s="32" t="inlineStr">
        <is>
          <t>63</t>
        </is>
      </c>
      <c r="B52" s="39" t="inlineStr">
        <is>
          <t>Crossroads</t>
        </is>
      </c>
      <c r="C52" s="40" t="inlineStr">
        <is>
          <t>—</t>
        </is>
      </c>
      <c r="D52" s="40" t="inlineStr">
        <is>
          <t>—</t>
        </is>
      </c>
      <c r="E52" s="348" t="n">
        <v>1388</v>
      </c>
      <c r="F52" s="348" t="n">
        <v>1592</v>
      </c>
      <c r="G52" s="40" t="inlineStr">
        <is>
          <t>—</t>
        </is>
      </c>
      <c r="H52" s="40" t="inlineStr">
        <is>
          <t>—</t>
        </is>
      </c>
      <c r="I52" s="41" t="n"/>
      <c r="J52" s="346" t="n"/>
      <c r="K52" s="37" t="inlineStr">
        <is>
          <t>19 - Gates</t>
        </is>
      </c>
      <c r="L52" s="38" t="inlineStr">
        <is>
          <t>3BD</t>
        </is>
      </c>
      <c r="M52" s="347" t="n">
        <v>1300</v>
      </c>
      <c r="N52" s="346" t="n"/>
      <c r="O52" s="37" t="inlineStr">
        <is>
          <t>28 - Granite Ridge</t>
        </is>
      </c>
      <c r="P52" s="38" t="inlineStr">
        <is>
          <t>1BD</t>
        </is>
      </c>
      <c r="Q52" s="273" t="n"/>
      <c r="R52" s="352" t="n"/>
      <c r="S52" s="273" t="n"/>
      <c r="T52" s="273" t="n"/>
      <c r="U52" s="273" t="n"/>
    </row>
    <row r="53" ht="21.75" customFormat="1" customHeight="1" s="273">
      <c r="A53" s="56" t="inlineStr">
        <is>
          <t>Total: 42 properties  |  All values are live formula links — change rent on building sheet to update here</t>
        </is>
      </c>
      <c r="J53" s="346" t="n"/>
      <c r="K53" s="273" t="n"/>
      <c r="L53" s="273" t="n"/>
      <c r="M53" s="347" t="n">
        <v>1223</v>
      </c>
      <c r="N53" s="346" t="n"/>
      <c r="O53" s="29" t="inlineStr">
        <is>
          <t>28 - Granite Ridge</t>
        </is>
      </c>
      <c r="P53" s="30" t="inlineStr">
        <is>
          <t>2BD</t>
        </is>
      </c>
      <c r="Q53" s="273" t="n"/>
      <c r="R53" s="352" t="n"/>
      <c r="S53" s="273" t="n"/>
      <c r="T53" s="273" t="n"/>
      <c r="U53" s="273" t="n"/>
    </row>
    <row r="54" ht="15.75" customFormat="1" customHeight="1" s="273"/>
    <row r="55" ht="15" customFormat="1" customHeight="1" s="273"/>
    <row r="56" ht="15" customFormat="1" customHeight="1" s="273"/>
    <row r="57" ht="15" customFormat="1" customHeight="1" s="273"/>
    <row r="58" ht="15" customFormat="1" customHeight="1" s="273"/>
    <row r="59" ht="15" customFormat="1" customHeight="1" s="273"/>
    <row r="60" ht="15" customFormat="1" customHeight="1" s="273"/>
  </sheetData>
  <mergeCells count="5">
    <mergeCell ref="B30:I30"/>
    <mergeCell ref="A10:I10"/>
    <mergeCell ref="A9:I9"/>
    <mergeCell ref="A53:I53"/>
    <mergeCell ref="K10:U1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7"/>
  <sheetViews>
    <sheetView showGridLines="0" topLeftCell="A1" workbookViewId="0">
      <pane ySplit="1" topLeftCell="A2" activePane="bottomLeft" state="frozen"/>
      <selection pane="bottomLeft" activeCell="A23" sqref="A23:E23"/>
    </sheetView>
  </sheetViews>
  <sheetFormatPr baseColWidth="8" defaultColWidth="9.140625" defaultRowHeight="21.75" customHeight="1"/>
  <cols>
    <col width="8.00390625" customWidth="1" style="273" min="1" max="1"/>
    <col width="22.57421875" customWidth="1" style="273" min="2" max="2"/>
    <col width="51.421875" customWidth="1" style="273" min="3" max="3"/>
    <col width="8.57421875" customWidth="1" style="273" min="4" max="4"/>
    <col width="23.7109375" customWidth="1" style="273" min="5" max="5"/>
    <col width="34.140625" customWidth="1" style="273" min="6" max="6"/>
    <col width="2.57421875" customWidth="1" style="273" min="7" max="7"/>
    <col width="5.28125" customWidth="1" style="273" min="8" max="8"/>
    <col width="8.57421875" customWidth="1" style="273" min="9" max="9"/>
    <col hidden="1" width="7.8515625" customWidth="1" style="273" min="10" max="11"/>
    <col hidden="1" width="5.7109375" customWidth="1" style="273" min="12" max="12"/>
    <col width="17.28125" customWidth="1" style="162" min="13" max="13"/>
    <col hidden="1" width="18.00390625" customWidth="1" style="273" min="14" max="15"/>
    <col hidden="1" width="12.421875" customWidth="1" style="273" min="16" max="16"/>
    <col width="16.421875" customWidth="1" style="162" min="17" max="17"/>
    <col width="8.57421875" customWidth="1" style="273" min="18" max="25"/>
    <col width="23.57421875" customWidth="1" style="273" min="26" max="26"/>
    <col width="48.57421875" customWidth="1" style="273" min="27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58" t="n"/>
      <c r="N1" s="4" t="n"/>
      <c r="O1" s="4" t="n"/>
      <c r="P1" s="4" t="n"/>
      <c r="Q1" s="58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58" t="n"/>
      <c r="N2" s="4" t="n"/>
      <c r="O2" s="4" t="n"/>
      <c r="P2" s="4" t="n"/>
      <c r="Q2" s="58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36" customFormat="1" customHeight="1" s="273">
      <c r="A3" s="59" t="inlineStr">
        <is>
          <t>RENT COMPARABLES ANALYSIS  —  BOCA CIEGA  |  ST. PETERSBURG, FL 33711</t>
        </is>
      </c>
      <c r="B3" s="350" t="n"/>
      <c r="C3" s="350" t="n"/>
      <c r="D3" s="350" t="n"/>
      <c r="E3" s="350" t="n"/>
      <c r="F3" s="350" t="n"/>
      <c r="G3" s="350" t="n"/>
      <c r="H3" s="350" t="n"/>
      <c r="I3" s="350" t="n"/>
      <c r="J3" s="350" t="n"/>
      <c r="K3" s="350" t="n"/>
      <c r="L3" s="350" t="n"/>
      <c r="M3" s="350" t="n"/>
      <c r="N3" s="350" t="n"/>
      <c r="O3" s="350" t="n"/>
      <c r="P3" s="350" t="n"/>
      <c r="Q3" s="350" t="n"/>
      <c r="R3" s="350" t="n"/>
      <c r="S3" s="350" t="n"/>
      <c r="T3" s="350" t="n"/>
      <c r="U3" s="350" t="n"/>
      <c r="V3" s="350" t="n"/>
      <c r="W3" s="350" t="n"/>
      <c r="X3" s="350" t="n"/>
      <c r="Y3" s="351" t="n"/>
      <c r="Z3" s="60" t="inlineStr">
        <is>
          <t xml:space="preserve">21 - Boca Ciega  |  109 Units  |  LIHTC / Section 8  |  2BD &amp; 3BD  </t>
        </is>
      </c>
      <c r="AA3" s="350" t="n"/>
      <c r="AB3" s="351" t="n"/>
    </row>
    <row r="4" ht="18" customFormat="1" customHeight="1" s="273">
      <c r="A4" s="61" t="inlineStr">
        <is>
          <t>3401 37th Street South, St. Petersburg, FL 33711  |  Pinellas County  |  Tampa-St. Petersburg MSA  |  FY2026 FMR: 2BD $2,170 / 3BD $2,780</t>
        </is>
      </c>
      <c r="B4" s="350" t="n"/>
      <c r="C4" s="350" t="n"/>
      <c r="D4" s="350" t="n"/>
      <c r="E4" s="350" t="n"/>
      <c r="F4" s="350" t="n"/>
      <c r="G4" s="350" t="n"/>
      <c r="H4" s="350" t="n"/>
      <c r="I4" s="350" t="n"/>
      <c r="J4" s="350" t="n"/>
      <c r="K4" s="350" t="n"/>
      <c r="L4" s="350" t="n"/>
      <c r="M4" s="350" t="n"/>
      <c r="N4" s="350" t="n"/>
      <c r="O4" s="350" t="n"/>
      <c r="P4" s="350" t="n"/>
      <c r="Q4" s="350" t="n"/>
      <c r="R4" s="350" t="n"/>
      <c r="S4" s="350" t="n"/>
      <c r="T4" s="350" t="n"/>
      <c r="U4" s="350" t="n"/>
      <c r="V4" s="350" t="n"/>
      <c r="W4" s="350" t="n"/>
      <c r="X4" s="350" t="n"/>
      <c r="Y4" s="350" t="n"/>
      <c r="Z4" s="350" t="n"/>
      <c r="AA4" s="350" t="n"/>
      <c r="AB4" s="351" t="n"/>
    </row>
    <row r="5" ht="14.25" customFormat="1" customHeight="1" s="273">
      <c r="A5" s="62" t="inlineStr">
        <is>
          <t>Data as of April 30, 2026  |  Sources: Apartments.com, HUD FMR Database, HUD Multifamily Assisted Housing, Apartment Corp Records</t>
        </is>
      </c>
      <c r="B5" s="350" t="n"/>
      <c r="C5" s="350" t="n"/>
      <c r="D5" s="350" t="n"/>
      <c r="E5" s="350" t="n"/>
      <c r="F5" s="350" t="n"/>
      <c r="G5" s="350" t="n"/>
      <c r="H5" s="350" t="n"/>
      <c r="I5" s="350" t="n"/>
      <c r="J5" s="350" t="n"/>
      <c r="K5" s="350" t="n"/>
      <c r="L5" s="350" t="n"/>
      <c r="M5" s="350" t="n"/>
      <c r="N5" s="350" t="n"/>
      <c r="O5" s="350" t="n"/>
      <c r="P5" s="350" t="n"/>
      <c r="Q5" s="350" t="n"/>
      <c r="R5" s="350" t="n"/>
      <c r="S5" s="350" t="n"/>
      <c r="T5" s="350" t="n"/>
      <c r="U5" s="350" t="n"/>
      <c r="V5" s="350" t="n"/>
      <c r="W5" s="350" t="n"/>
      <c r="X5" s="350" t="n"/>
      <c r="Y5" s="350" t="n"/>
      <c r="Z5" s="350" t="n"/>
      <c r="AA5" s="350" t="n"/>
      <c r="AB5" s="351" t="n"/>
    </row>
    <row r="6" ht="43.5" customFormat="1" customHeight="1" s="273">
      <c r="A6" s="63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6" s="350" t="n"/>
      <c r="C6" s="350" t="n"/>
      <c r="D6" s="350" t="n"/>
      <c r="E6" s="350" t="n"/>
      <c r="F6" s="350" t="n"/>
      <c r="G6" s="350" t="n"/>
      <c r="H6" s="350" t="n"/>
      <c r="I6" s="350" t="n"/>
      <c r="J6" s="350" t="n"/>
      <c r="K6" s="350" t="n"/>
      <c r="L6" s="350" t="n"/>
      <c r="M6" s="350" t="n"/>
      <c r="N6" s="350" t="n"/>
      <c r="O6" s="350" t="n"/>
      <c r="P6" s="350" t="n"/>
      <c r="Q6" s="350" t="n"/>
      <c r="R6" s="350" t="n"/>
      <c r="S6" s="350" t="n"/>
      <c r="T6" s="350" t="n"/>
      <c r="U6" s="350" t="n"/>
      <c r="V6" s="350" t="n"/>
      <c r="W6" s="350" t="n"/>
      <c r="X6" s="350" t="n"/>
      <c r="Y6" s="350" t="n"/>
      <c r="Z6" s="350" t="n"/>
      <c r="AA6" s="350" t="n"/>
      <c r="AB6" s="351" t="n"/>
    </row>
    <row r="7" ht="25.5" customFormat="1" customHeight="1" s="273">
      <c r="A7" s="64" t="inlineStr">
        <is>
          <t>Rank</t>
        </is>
      </c>
      <c r="B7" s="64" t="inlineStr">
        <is>
          <t>Type</t>
        </is>
      </c>
      <c r="C7" s="64" t="inlineStr">
        <is>
          <t>Property Name</t>
        </is>
      </c>
      <c r="D7" s="351" t="n"/>
      <c r="E7" s="64" t="inlineStr">
        <is>
          <t>Address</t>
        </is>
      </c>
      <c r="F7" s="64" t="inlineStr">
        <is>
          <t>City</t>
        </is>
      </c>
      <c r="G7" s="65" t="inlineStr">
        <is>
          <t>St</t>
        </is>
      </c>
      <c r="H7" s="65" t="inlineStr">
        <is>
          <t>ZIP</t>
        </is>
      </c>
      <c r="I7" s="65" t="inlineStr">
        <is>
          <t>Distance</t>
        </is>
      </c>
      <c r="J7" s="65" t="inlineStr">
        <is>
          <t>2BD
50% AMI</t>
        </is>
      </c>
      <c r="K7" s="65" t="inlineStr">
        <is>
          <t>2BD
60% AMI</t>
        </is>
      </c>
      <c r="L7" s="65" t="inlineStr">
        <is>
          <t>2BD
FMR</t>
        </is>
      </c>
      <c r="M7" s="66" t="inlineStr">
        <is>
          <t>2BD - 
Actual</t>
        </is>
      </c>
      <c r="N7" s="67" t="inlineStr">
        <is>
          <t>3BD
50% AMI</t>
        </is>
      </c>
      <c r="O7" s="67" t="inlineStr">
        <is>
          <t>3BD
60% AMI</t>
        </is>
      </c>
      <c r="P7" s="67" t="inlineStr">
        <is>
          <t>3BD
FMR</t>
        </is>
      </c>
      <c r="Q7" s="66" t="inlineStr">
        <is>
          <t>3BD - Actual</t>
        </is>
      </c>
      <c r="R7" s="27" t="inlineStr">
        <is>
          <t>Units</t>
        </is>
      </c>
      <c r="S7" s="27" t="inlineStr">
        <is>
          <t>Yr Built</t>
        </is>
      </c>
      <c r="T7" s="27" t="inlineStr">
        <is>
          <t>Yr Diff</t>
        </is>
      </c>
      <c r="U7" s="27" t="inlineStr">
        <is>
          <t>Utils
Incl.</t>
        </is>
      </c>
      <c r="V7" s="27" t="inlineStr">
        <is>
          <t>Pet
Friendly</t>
        </is>
      </c>
      <c r="W7" s="27" t="inlineStr">
        <is>
          <t>Gated</t>
        </is>
      </c>
      <c r="X7" s="27" t="inlineStr">
        <is>
          <t>Pool</t>
        </is>
      </c>
      <c r="Y7" s="27" t="inlineStr">
        <is>
          <t>W/D
In-Unit</t>
        </is>
      </c>
      <c r="Z7" s="66" t="inlineStr">
        <is>
          <t>Competition Level</t>
        </is>
      </c>
      <c r="AA7" s="68" t="inlineStr">
        <is>
          <t>Notes / Why Competitive</t>
        </is>
      </c>
      <c r="AB7" s="68" t="inlineStr">
        <is>
          <t>Data Source</t>
        </is>
      </c>
    </row>
    <row r="8" ht="21.75" customFormat="1" customHeight="1" s="273">
      <c r="A8" s="69" t="inlineStr">
        <is>
          <t>★</t>
        </is>
      </c>
      <c r="B8" s="70" t="inlineStr">
        <is>
          <t>SUBJECT</t>
        </is>
      </c>
      <c r="C8" s="71" t="inlineStr">
        <is>
          <t>Boca Ciega (SUBJECT)</t>
        </is>
      </c>
      <c r="D8" s="351" t="n"/>
      <c r="E8" s="72" t="inlineStr">
        <is>
          <t>3401 37th Street South</t>
        </is>
      </c>
      <c r="F8" s="72" t="inlineStr">
        <is>
          <t>St. Petersburg</t>
        </is>
      </c>
      <c r="G8" s="72" t="inlineStr">
        <is>
          <t>FL</t>
        </is>
      </c>
      <c r="H8" s="72" t="inlineStr">
        <is>
          <t>33711</t>
        </is>
      </c>
      <c r="I8" s="72" t="inlineStr">
        <is>
          <t>0.0 mi</t>
        </is>
      </c>
      <c r="J8" s="72" t="inlineStr">
        <is>
          <t>$3,912</t>
        </is>
      </c>
      <c r="K8" s="72" t="inlineStr">
        <is>
          <t>$4,695</t>
        </is>
      </c>
      <c r="L8" s="72" t="inlineStr">
        <is>
          <t>$2,170</t>
        </is>
      </c>
      <c r="M8" s="353" t="n">
        <v>1736</v>
      </c>
      <c r="N8" s="74" t="inlineStr">
        <is>
          <t>$4,345</t>
        </is>
      </c>
      <c r="O8" s="74" t="inlineStr">
        <is>
          <t>$5,215</t>
        </is>
      </c>
      <c r="P8" s="74" t="inlineStr">
        <is>
          <t>$2,780</t>
        </is>
      </c>
      <c r="Q8" s="353" t="n">
        <v>2376</v>
      </c>
      <c r="R8" s="72" t="n">
        <v>109</v>
      </c>
      <c r="S8" s="72" t="n">
        <v>2015</v>
      </c>
      <c r="T8" s="72" t="n">
        <v>0</v>
      </c>
      <c r="U8" s="75" t="inlineStr">
        <is>
          <t>Yes</t>
        </is>
      </c>
      <c r="V8" s="76" t="inlineStr">
        <is>
          <t>No</t>
        </is>
      </c>
      <c r="W8" s="76" t="inlineStr">
        <is>
          <t>No</t>
        </is>
      </c>
      <c r="X8" s="76" t="inlineStr">
        <is>
          <t>No</t>
        </is>
      </c>
      <c r="Y8" s="76" t="inlineStr">
        <is>
          <t>No</t>
        </is>
      </c>
      <c r="Z8" s="70" t="inlineStr">
        <is>
          <t>SUBJECT</t>
        </is>
      </c>
      <c r="AA8" s="77" t="inlineStr">
        <is>
          <t>109 units | Layered HUD/LIHTC. Year built: 1974. Subject property.</t>
        </is>
      </c>
      <c r="AB8" s="78" t="inlineStr">
        <is>
          <t>Apartment Corp Records</t>
        </is>
      </c>
    </row>
    <row r="9" ht="21.75" customFormat="1" customHeight="1" s="273">
      <c r="A9" s="79" t="inlineStr">
        <is>
          <t>1</t>
        </is>
      </c>
      <c r="B9" s="80" t="inlineStr">
        <is>
          <t>AFFORDABLE</t>
        </is>
      </c>
      <c r="C9" s="81" t="inlineStr">
        <is>
          <t>Clearwater Gardens Apartments</t>
        </is>
      </c>
      <c r="D9" s="351" t="n"/>
      <c r="E9" s="82" t="inlineStr">
        <is>
          <t>1501 N Greenwood Ave</t>
        </is>
      </c>
      <c r="F9" s="82" t="inlineStr">
        <is>
          <t>Clearwater</t>
        </is>
      </c>
      <c r="G9" s="82" t="inlineStr">
        <is>
          <t>FL</t>
        </is>
      </c>
      <c r="H9" s="82" t="inlineStr">
        <is>
          <t>33755</t>
        </is>
      </c>
      <c r="I9" s="82" t="inlineStr">
        <is>
          <t>14.2 mi</t>
        </is>
      </c>
      <c r="J9" s="82" t="inlineStr">
        <is>
          <t>$3,912</t>
        </is>
      </c>
      <c r="K9" s="82" t="inlineStr">
        <is>
          <t>$4,695</t>
        </is>
      </c>
      <c r="L9" s="82" t="inlineStr">
        <is>
          <t>$2,170</t>
        </is>
      </c>
      <c r="M9" s="79" t="inlineStr">
        <is>
          <t>Not Listed</t>
        </is>
      </c>
      <c r="N9" s="82" t="inlineStr">
        <is>
          <t>$4,345</t>
        </is>
      </c>
      <c r="O9" s="82" t="inlineStr">
        <is>
          <t>$5,215</t>
        </is>
      </c>
      <c r="P9" s="82" t="inlineStr">
        <is>
          <t>$2,780</t>
        </is>
      </c>
      <c r="Q9" s="79" t="inlineStr">
        <is>
          <t>Not Listed</t>
        </is>
      </c>
      <c r="R9" s="82" t="n">
        <v>100</v>
      </c>
      <c r="S9" s="82" t="n">
        <v>1974</v>
      </c>
      <c r="T9" s="82" t="n">
        <v>0</v>
      </c>
      <c r="U9" s="83" t="inlineStr">
        <is>
          <t>Yes</t>
        </is>
      </c>
      <c r="V9" s="84" t="inlineStr">
        <is>
          <t>No</t>
        </is>
      </c>
      <c r="W9" s="84" t="inlineStr">
        <is>
          <t>No</t>
        </is>
      </c>
      <c r="X9" s="84" t="inlineStr">
        <is>
          <t>No</t>
        </is>
      </c>
      <c r="Y9" s="84" t="inlineStr">
        <is>
          <t>No</t>
        </is>
      </c>
      <c r="Z9" s="85" t="inlineStr">
        <is>
          <t>HIGH</t>
        </is>
      </c>
      <c r="AA9" s="86" t="inlineStr">
        <is>
          <t>Section 8/HUD, 1974 vintage, 100 units, 14.2 mi.</t>
        </is>
      </c>
      <c r="AB9" s="87" t="inlineStr">
        <is>
          <t>HUD Multifamily Assisted Housing</t>
        </is>
      </c>
    </row>
    <row r="10" ht="21.75" customFormat="1" customHeight="1" s="273">
      <c r="A10" s="79" t="inlineStr">
        <is>
          <t>2</t>
        </is>
      </c>
      <c r="B10" s="80" t="inlineStr">
        <is>
          <t>AFFORDABLE</t>
        </is>
      </c>
      <c r="C10" s="81" t="inlineStr">
        <is>
          <t>Pinellas Park Manor</t>
        </is>
      </c>
      <c r="D10" s="351" t="n"/>
      <c r="E10" s="82" t="inlineStr">
        <is>
          <t>6200 Park Blvd</t>
        </is>
      </c>
      <c r="F10" s="82" t="inlineStr">
        <is>
          <t>Pinellas Park</t>
        </is>
      </c>
      <c r="G10" s="82" t="inlineStr">
        <is>
          <t>FL</t>
        </is>
      </c>
      <c r="H10" s="82" t="inlineStr">
        <is>
          <t>33781</t>
        </is>
      </c>
      <c r="I10" s="82" t="inlineStr">
        <is>
          <t>7.1 mi</t>
        </is>
      </c>
      <c r="J10" s="82" t="inlineStr">
        <is>
          <t>$3,912</t>
        </is>
      </c>
      <c r="K10" s="82" t="inlineStr">
        <is>
          <t>$4,695</t>
        </is>
      </c>
      <c r="L10" s="82" t="inlineStr">
        <is>
          <t>$2,170</t>
        </is>
      </c>
      <c r="M10" s="79" t="inlineStr">
        <is>
          <t>Not Listed</t>
        </is>
      </c>
      <c r="N10" s="82" t="inlineStr">
        <is>
          <t>$4,345</t>
        </is>
      </c>
      <c r="O10" s="82" t="inlineStr">
        <is>
          <t>$5,215</t>
        </is>
      </c>
      <c r="P10" s="82" t="inlineStr">
        <is>
          <t>$2,780</t>
        </is>
      </c>
      <c r="Q10" s="79" t="inlineStr">
        <is>
          <t>Not Listed</t>
        </is>
      </c>
      <c r="R10" s="82" t="n">
        <v>112</v>
      </c>
      <c r="S10" s="82" t="n">
        <v>1975</v>
      </c>
      <c r="T10" s="82" t="n">
        <v>1</v>
      </c>
      <c r="U10" s="83" t="inlineStr">
        <is>
          <t>Yes</t>
        </is>
      </c>
      <c r="V10" s="84" t="inlineStr">
        <is>
          <t>No</t>
        </is>
      </c>
      <c r="W10" s="84" t="inlineStr">
        <is>
          <t>No</t>
        </is>
      </c>
      <c r="X10" s="84" t="inlineStr">
        <is>
          <t>No</t>
        </is>
      </c>
      <c r="Y10" s="84" t="inlineStr">
        <is>
          <t>No</t>
        </is>
      </c>
      <c r="Z10" s="85" t="inlineStr">
        <is>
          <t>HIGH</t>
        </is>
      </c>
      <c r="AA10" s="86" t="inlineStr">
        <is>
          <t>Section 8/HUD, 1975 vintage, 112 units, 7.1 mi.</t>
        </is>
      </c>
      <c r="AB10" s="87" t="inlineStr">
        <is>
          <t>HUD Multifamily Assisted Housing</t>
        </is>
      </c>
    </row>
    <row r="11" ht="21.75" customFormat="1" customHeight="1" s="273">
      <c r="A11" s="88" t="inlineStr">
        <is>
          <t>3</t>
        </is>
      </c>
      <c r="B11" s="89" t="inlineStr">
        <is>
          <t>AFFORDABLE</t>
        </is>
      </c>
      <c r="C11" s="90" t="inlineStr">
        <is>
          <t>Tarpon Springs Housing Authority</t>
        </is>
      </c>
      <c r="D11" s="354" t="n"/>
      <c r="E11" s="92" t="inlineStr">
        <is>
          <t>200 S Walton Ave</t>
        </is>
      </c>
      <c r="F11" s="92" t="inlineStr">
        <is>
          <t>Tarpon Springs</t>
        </is>
      </c>
      <c r="G11" s="92" t="inlineStr">
        <is>
          <t>FL</t>
        </is>
      </c>
      <c r="H11" s="92" t="inlineStr">
        <is>
          <t>34689</t>
        </is>
      </c>
      <c r="I11" s="92" t="inlineStr">
        <is>
          <t>22.5 mi</t>
        </is>
      </c>
      <c r="J11" s="92" t="inlineStr">
        <is>
          <t>$3,912</t>
        </is>
      </c>
      <c r="K11" s="92" t="inlineStr">
        <is>
          <t>$4,695</t>
        </is>
      </c>
      <c r="L11" s="92" t="inlineStr">
        <is>
          <t>$2,170</t>
        </is>
      </c>
      <c r="M11" s="88" t="inlineStr">
        <is>
          <t>Not Listed</t>
        </is>
      </c>
      <c r="N11" s="92" t="inlineStr">
        <is>
          <t>$4,345</t>
        </is>
      </c>
      <c r="O11" s="92" t="inlineStr">
        <is>
          <t>$5,215</t>
        </is>
      </c>
      <c r="P11" s="92" t="inlineStr">
        <is>
          <t>$2,780</t>
        </is>
      </c>
      <c r="Q11" s="88" t="inlineStr">
        <is>
          <t>Not Listed</t>
        </is>
      </c>
      <c r="R11" s="92" t="n">
        <v>96</v>
      </c>
      <c r="S11" s="92" t="n">
        <v>1972</v>
      </c>
      <c r="T11" s="92" t="n">
        <v>2</v>
      </c>
      <c r="U11" s="93" t="inlineStr">
        <is>
          <t>Yes</t>
        </is>
      </c>
      <c r="V11" s="94" t="inlineStr">
        <is>
          <t>No</t>
        </is>
      </c>
      <c r="W11" s="94" t="inlineStr">
        <is>
          <t>No</t>
        </is>
      </c>
      <c r="X11" s="94" t="inlineStr">
        <is>
          <t>No</t>
        </is>
      </c>
      <c r="Y11" s="94" t="inlineStr">
        <is>
          <t>No</t>
        </is>
      </c>
      <c r="Z11" s="95" t="inlineStr">
        <is>
          <t>MODERATE-HIGH</t>
        </is>
      </c>
      <c r="AA11" s="96" t="inlineStr">
        <is>
          <t>Public Housing/HUD, 1972 vintage, 96 units, 22.5 mi.</t>
        </is>
      </c>
      <c r="AB11" s="97" t="inlineStr">
        <is>
          <t>Tarpon Springs Housing Authority</t>
        </is>
      </c>
    </row>
    <row r="12" ht="24.75" customFormat="1" customHeight="1" s="273">
      <c r="A12" s="98" t="inlineStr">
        <is>
          <t>1</t>
        </is>
      </c>
      <c r="B12" s="99" t="inlineStr">
        <is>
          <t>MARKET RATE</t>
        </is>
      </c>
      <c r="C12" s="100" t="inlineStr">
        <is>
          <t>The Addison Skyway Marina</t>
        </is>
      </c>
      <c r="D12" s="101" t="inlineStr">
        <is>
          <t>COMPETITION</t>
        </is>
      </c>
      <c r="E12" s="102" t="inlineStr">
        <is>
          <t>3951 34th St S</t>
        </is>
      </c>
      <c r="F12" s="103" t="inlineStr">
        <is>
          <t>St. Petersburg</t>
        </is>
      </c>
      <c r="G12" s="103" t="inlineStr">
        <is>
          <t>FL</t>
        </is>
      </c>
      <c r="H12" s="103" t="inlineStr">
        <is>
          <t>33711</t>
        </is>
      </c>
      <c r="I12" s="104" t="inlineStr">
        <is>
          <t>1.2 mi</t>
        </is>
      </c>
      <c r="J12" s="103" t="inlineStr">
        <is>
          <t>N/A</t>
        </is>
      </c>
      <c r="K12" s="103" t="inlineStr">
        <is>
          <t>N/A</t>
        </is>
      </c>
      <c r="L12" s="103" t="inlineStr">
        <is>
          <t>$2,170</t>
        </is>
      </c>
      <c r="M12" s="355" t="n">
        <v>2430</v>
      </c>
      <c r="N12" s="106" t="inlineStr">
        <is>
          <t>N/A</t>
        </is>
      </c>
      <c r="O12" s="106" t="inlineStr">
        <is>
          <t>N/A</t>
        </is>
      </c>
      <c r="P12" s="106" t="inlineStr">
        <is>
          <t>$2,780</t>
        </is>
      </c>
      <c r="Q12" s="355" t="inlineStr">
        <is>
          <t>No 3BD</t>
        </is>
      </c>
      <c r="R12" s="102" t="n">
        <v>266</v>
      </c>
      <c r="S12" s="102" t="n">
        <v>2023</v>
      </c>
      <c r="T12" s="102" t="n">
        <v>5</v>
      </c>
      <c r="U12" s="107" t="inlineStr">
        <is>
          <t>No</t>
        </is>
      </c>
      <c r="V12" s="108" t="inlineStr">
        <is>
          <t>Yes</t>
        </is>
      </c>
      <c r="W12" s="107" t="inlineStr">
        <is>
          <t>No</t>
        </is>
      </c>
      <c r="X12" s="108" t="inlineStr">
        <is>
          <t>Yes</t>
        </is>
      </c>
      <c r="Y12" s="108" t="inlineStr">
        <is>
          <t>Yes</t>
        </is>
      </c>
      <c r="Z12" s="109" t="inlineStr">
        <is>
          <t>HIGH</t>
        </is>
      </c>
      <c r="AA12" s="110" t="inlineStr">
        <is>
          <t>No 3BD offered. 2BD $2,070–$2,789. 4-6 Wks Free thru 8/15.</t>
        </is>
      </c>
      <c r="AB12" s="111" t="inlineStr">
        <is>
          <t>Apartments.com (Aug 4, 2026)</t>
        </is>
      </c>
    </row>
    <row r="13" ht="26.25" customFormat="1" customHeight="1" s="273">
      <c r="A13" s="112" t="inlineStr">
        <is>
          <t>2</t>
        </is>
      </c>
      <c r="B13" s="113" t="inlineStr">
        <is>
          <t>MARKET RATE</t>
        </is>
      </c>
      <c r="C13" s="114" t="inlineStr">
        <is>
          <t>Marina Walk Apartments</t>
        </is>
      </c>
      <c r="D13" s="356" t="n"/>
      <c r="E13" s="116" t="inlineStr">
        <is>
          <t>3680 46th Ave S</t>
        </is>
      </c>
      <c r="F13" s="117" t="inlineStr">
        <is>
          <t>St. Petersburg</t>
        </is>
      </c>
      <c r="G13" s="117" t="inlineStr">
        <is>
          <t>FL</t>
        </is>
      </c>
      <c r="H13" s="117" t="inlineStr">
        <is>
          <t>33711</t>
        </is>
      </c>
      <c r="I13" s="118" t="inlineStr">
        <is>
          <t>2.8 mi</t>
        </is>
      </c>
      <c r="J13" s="117" t="inlineStr">
        <is>
          <t>N/A</t>
        </is>
      </c>
      <c r="K13" s="117" t="inlineStr">
        <is>
          <t>N/A</t>
        </is>
      </c>
      <c r="L13" s="117" t="inlineStr">
        <is>
          <t>$2,170</t>
        </is>
      </c>
      <c r="M13" s="357" t="n">
        <v>3125</v>
      </c>
      <c r="N13" s="120" t="inlineStr">
        <is>
          <t>N/A</t>
        </is>
      </c>
      <c r="O13" s="120" t="inlineStr">
        <is>
          <t>N/A</t>
        </is>
      </c>
      <c r="P13" s="120" t="inlineStr">
        <is>
          <t>$2,780</t>
        </is>
      </c>
      <c r="Q13" s="121" t="inlineStr">
        <is>
          <t>No 3BD</t>
        </is>
      </c>
      <c r="R13" s="116" t="n">
        <v>163</v>
      </c>
      <c r="S13" s="116" t="n">
        <v>2023</v>
      </c>
      <c r="T13" s="116" t="n">
        <v>8</v>
      </c>
      <c r="U13" s="122" t="inlineStr">
        <is>
          <t>No</t>
        </is>
      </c>
      <c r="V13" s="123" t="inlineStr">
        <is>
          <t>Yes</t>
        </is>
      </c>
      <c r="W13" s="123" t="inlineStr">
        <is>
          <t>Yes</t>
        </is>
      </c>
      <c r="X13" s="123" t="inlineStr">
        <is>
          <t>Yes</t>
        </is>
      </c>
      <c r="Y13" s="123" t="inlineStr">
        <is>
          <t>Yes</t>
        </is>
      </c>
      <c r="Z13" s="124" t="inlineStr">
        <is>
          <t>HIGH</t>
        </is>
      </c>
      <c r="AA13" s="125" t="inlineStr">
        <is>
          <t>No 3BD offered. 2BD $2,550–$3,700. All utilities included. 1-2 Mo Free.</t>
        </is>
      </c>
      <c r="AB13" s="126" t="inlineStr">
        <is>
          <t>Apartments.com (Aug 4, 2026)</t>
        </is>
      </c>
    </row>
    <row r="14" ht="25.5" customFormat="1" customHeight="1" s="273">
      <c r="A14" s="112" t="inlineStr">
        <is>
          <t>3</t>
        </is>
      </c>
      <c r="B14" s="113" t="inlineStr">
        <is>
          <t>MARKET RATE</t>
        </is>
      </c>
      <c r="C14" s="114" t="inlineStr">
        <is>
          <t>Flagler Pointe Apartments</t>
        </is>
      </c>
      <c r="D14" s="356" t="n"/>
      <c r="E14" s="116" t="inlineStr">
        <is>
          <t>2540 Roy Hanna Dr S</t>
        </is>
      </c>
      <c r="F14" s="117" t="inlineStr">
        <is>
          <t>St. Petersburg</t>
        </is>
      </c>
      <c r="G14" s="117" t="inlineStr">
        <is>
          <t>FL</t>
        </is>
      </c>
      <c r="H14" s="117" t="inlineStr">
        <is>
          <t>33702</t>
        </is>
      </c>
      <c r="I14" s="118" t="inlineStr">
        <is>
          <t>1.9 mi</t>
        </is>
      </c>
      <c r="J14" s="117" t="inlineStr">
        <is>
          <t>N/A</t>
        </is>
      </c>
      <c r="K14" s="117" t="inlineStr">
        <is>
          <t>N/A</t>
        </is>
      </c>
      <c r="L14" s="117" t="inlineStr">
        <is>
          <t>$2,170</t>
        </is>
      </c>
      <c r="M14" s="357" t="n">
        <v>1715</v>
      </c>
      <c r="N14" s="120" t="inlineStr">
        <is>
          <t>N/A</t>
        </is>
      </c>
      <c r="O14" s="120" t="inlineStr">
        <is>
          <t>N/A</t>
        </is>
      </c>
      <c r="P14" s="120" t="inlineStr">
        <is>
          <t>$2,780</t>
        </is>
      </c>
      <c r="Q14" s="357" t="n">
        <v>2350</v>
      </c>
      <c r="R14" s="116" t="inlineStr">
        <is>
          <t>N/A</t>
        </is>
      </c>
      <c r="S14" s="116" t="n">
        <v>1974</v>
      </c>
      <c r="T14" s="116" t="n">
        <v>0</v>
      </c>
      <c r="U14" s="122" t="inlineStr">
        <is>
          <t>No</t>
        </is>
      </c>
      <c r="V14" s="123" t="inlineStr">
        <is>
          <t>Yes</t>
        </is>
      </c>
      <c r="W14" s="122" t="inlineStr">
        <is>
          <t>No</t>
        </is>
      </c>
      <c r="X14" s="123" t="inlineStr">
        <is>
          <t>Yes</t>
        </is>
      </c>
      <c r="Y14" s="122" t="inlineStr">
        <is>
          <t>No</t>
        </is>
      </c>
      <c r="Z14" s="124" t="inlineStr">
        <is>
          <t>HIGH</t>
        </is>
      </c>
      <c r="AA14" s="125" t="inlineStr">
        <is>
          <t>2BD $1,640–$1,790. 3BD $2,350. 3rd Mo Free.</t>
        </is>
      </c>
      <c r="AB14" s="126" t="inlineStr">
        <is>
          <t>Apartments.com (Aug 4, 2026)</t>
        </is>
      </c>
    </row>
    <row r="15" ht="26.25" customFormat="1" customHeight="1" s="273">
      <c r="A15" s="112" t="inlineStr">
        <is>
          <t>4</t>
        </is>
      </c>
      <c r="B15" s="113" t="inlineStr">
        <is>
          <t>MARKET RATE</t>
        </is>
      </c>
      <c r="C15" s="114" t="inlineStr">
        <is>
          <t>Sur Club</t>
        </is>
      </c>
      <c r="D15" s="356" t="n"/>
      <c r="E15" s="116" t="inlineStr">
        <is>
          <t>3301 32nd Ave S</t>
        </is>
      </c>
      <c r="F15" s="117" t="inlineStr">
        <is>
          <t>St. Petersburg</t>
        </is>
      </c>
      <c r="G15" s="117" t="inlineStr">
        <is>
          <t>FL</t>
        </is>
      </c>
      <c r="H15" s="117" t="inlineStr">
        <is>
          <t>33712</t>
        </is>
      </c>
      <c r="I15" s="118" t="inlineStr">
        <is>
          <t>1.5 mi</t>
        </is>
      </c>
      <c r="J15" s="117" t="inlineStr">
        <is>
          <t>N/A</t>
        </is>
      </c>
      <c r="K15" s="117" t="inlineStr">
        <is>
          <t>N/A</t>
        </is>
      </c>
      <c r="L15" s="117" t="inlineStr">
        <is>
          <t>$2,170</t>
        </is>
      </c>
      <c r="M15" s="357" t="n">
        <v>2450</v>
      </c>
      <c r="N15" s="120" t="inlineStr">
        <is>
          <t>N/A</t>
        </is>
      </c>
      <c r="O15" s="120" t="inlineStr">
        <is>
          <t>N/A</t>
        </is>
      </c>
      <c r="P15" s="120" t="inlineStr">
        <is>
          <t>$2,780</t>
        </is>
      </c>
      <c r="Q15" s="121" t="n">
        <v>2950</v>
      </c>
      <c r="R15" s="116" t="n">
        <v>296</v>
      </c>
      <c r="S15" s="116" t="n">
        <v>2021</v>
      </c>
      <c r="T15" s="116" t="n">
        <v>47</v>
      </c>
      <c r="U15" s="122" t="inlineStr">
        <is>
          <t>No</t>
        </is>
      </c>
      <c r="V15" s="123" t="inlineStr">
        <is>
          <t>Yes</t>
        </is>
      </c>
      <c r="W15" s="122" t="inlineStr">
        <is>
          <t>No</t>
        </is>
      </c>
      <c r="X15" s="123" t="inlineStr">
        <is>
          <t>Yes</t>
        </is>
      </c>
      <c r="Y15" s="123" t="inlineStr">
        <is>
          <t>Yes</t>
        </is>
      </c>
      <c r="Z15" s="124" t="inlineStr">
        <is>
          <t>HIGH</t>
        </is>
      </c>
      <c r="AA15" s="125" t="inlineStr">
        <is>
          <t>2BD $2,450+. 3BD $2,950. Phone-verify 3BD pricing.</t>
        </is>
      </c>
      <c r="AB15" s="126" t="inlineStr">
        <is>
          <t>Apartments.com (Aug 4, 2026)</t>
        </is>
      </c>
    </row>
    <row r="16" ht="29.25" customFormat="1" customHeight="1" s="273">
      <c r="A16" s="112" t="inlineStr">
        <is>
          <t>5</t>
        </is>
      </c>
      <c r="B16" s="113" t="inlineStr">
        <is>
          <t>MARKET RATE</t>
        </is>
      </c>
      <c r="C16" s="114" t="inlineStr">
        <is>
          <t>Lake Maggiore</t>
        </is>
      </c>
      <c r="D16" s="356" t="n"/>
      <c r="E16" s="116" t="inlineStr">
        <is>
          <t>825 32nd Ave S</t>
        </is>
      </c>
      <c r="F16" s="117" t="inlineStr">
        <is>
          <t>St. Petersburg</t>
        </is>
      </c>
      <c r="G16" s="117" t="inlineStr">
        <is>
          <t>FL</t>
        </is>
      </c>
      <c r="H16" s="117" t="inlineStr">
        <is>
          <t>33705</t>
        </is>
      </c>
      <c r="I16" s="118" t="inlineStr">
        <is>
          <t>2.1 mi</t>
        </is>
      </c>
      <c r="J16" s="117" t="inlineStr">
        <is>
          <t>N/A</t>
        </is>
      </c>
      <c r="K16" s="117" t="inlineStr">
        <is>
          <t>N/A</t>
        </is>
      </c>
      <c r="L16" s="117" t="inlineStr">
        <is>
          <t>$2,170</t>
        </is>
      </c>
      <c r="M16" s="357" t="n">
        <v>2398</v>
      </c>
      <c r="N16" s="120" t="inlineStr">
        <is>
          <t>N/A</t>
        </is>
      </c>
      <c r="O16" s="120" t="inlineStr">
        <is>
          <t>N/A</t>
        </is>
      </c>
      <c r="P16" s="120" t="inlineStr">
        <is>
          <t>$2,780</t>
        </is>
      </c>
      <c r="Q16" s="357" t="n">
        <v>3695</v>
      </c>
      <c r="R16" s="116" t="n">
        <v>330</v>
      </c>
      <c r="S16" s="116" t="n">
        <v>2023</v>
      </c>
      <c r="T16" s="116" t="n">
        <v>8</v>
      </c>
      <c r="U16" s="122" t="inlineStr">
        <is>
          <t>No</t>
        </is>
      </c>
      <c r="V16" s="123" t="inlineStr">
        <is>
          <t>Yes</t>
        </is>
      </c>
      <c r="W16" s="123" t="inlineStr">
        <is>
          <t>Yes</t>
        </is>
      </c>
      <c r="X16" s="123" t="inlineStr">
        <is>
          <t>Yes</t>
        </is>
      </c>
      <c r="Y16" s="123" t="inlineStr">
        <is>
          <t>Yes</t>
        </is>
      </c>
      <c r="Z16" s="124" t="inlineStr">
        <is>
          <t>HIGH</t>
        </is>
      </c>
      <c r="AA16" s="125" t="inlineStr">
        <is>
          <t>2BD $2,398. 3BD $3,695. 2 Months Free.</t>
        </is>
      </c>
      <c r="AB16" s="126" t="inlineStr">
        <is>
          <t>Apartments.com (Aug 4, 2026)</t>
        </is>
      </c>
    </row>
    <row r="17" ht="28.5" customFormat="1" customHeight="1" s="273">
      <c r="A17" s="127" t="inlineStr">
        <is>
          <t>6</t>
        </is>
      </c>
      <c r="B17" s="128" t="inlineStr">
        <is>
          <t>MARKET RATE</t>
        </is>
      </c>
      <c r="C17" s="129" t="inlineStr">
        <is>
          <t>The Courtney at Bay Pines</t>
        </is>
      </c>
      <c r="D17" s="358" t="n"/>
      <c r="E17" s="131" t="inlineStr">
        <is>
          <t>4652 Miramar Dr</t>
        </is>
      </c>
      <c r="F17" s="132" t="inlineStr">
        <is>
          <t>St. Petersburg</t>
        </is>
      </c>
      <c r="G17" s="132" t="inlineStr">
        <is>
          <t>FL</t>
        </is>
      </c>
      <c r="H17" s="132" t="inlineStr">
        <is>
          <t>33708</t>
        </is>
      </c>
      <c r="I17" s="133" t="inlineStr">
        <is>
          <t>5.2 mi</t>
        </is>
      </c>
      <c r="J17" s="132" t="inlineStr">
        <is>
          <t>N/A</t>
        </is>
      </c>
      <c r="K17" s="132" t="inlineStr">
        <is>
          <t>N/A</t>
        </is>
      </c>
      <c r="L17" s="132" t="inlineStr">
        <is>
          <t>$2,170</t>
        </is>
      </c>
      <c r="M17" s="359" t="n">
        <v>2690</v>
      </c>
      <c r="N17" s="135" t="inlineStr">
        <is>
          <t>N/A</t>
        </is>
      </c>
      <c r="O17" s="135" t="inlineStr">
        <is>
          <t>N/A</t>
        </is>
      </c>
      <c r="P17" s="135" t="inlineStr">
        <is>
          <t>$2,780</t>
        </is>
      </c>
      <c r="Q17" s="359" t="n">
        <v>3513</v>
      </c>
      <c r="R17" s="131" t="n">
        <v>312</v>
      </c>
      <c r="S17" s="131" t="n">
        <v>2013</v>
      </c>
      <c r="T17" s="131" t="n">
        <v>2</v>
      </c>
      <c r="U17" s="136" t="inlineStr">
        <is>
          <t>No</t>
        </is>
      </c>
      <c r="V17" s="137" t="inlineStr">
        <is>
          <t>Yes</t>
        </is>
      </c>
      <c r="W17" s="137" t="inlineStr">
        <is>
          <t>Yes</t>
        </is>
      </c>
      <c r="X17" s="137" t="inlineStr">
        <is>
          <t>Yes</t>
        </is>
      </c>
      <c r="Y17" s="137" t="inlineStr">
        <is>
          <t>Yes</t>
        </is>
      </c>
      <c r="Z17" s="138" t="inlineStr">
        <is>
          <t>HIGH</t>
        </is>
      </c>
      <c r="AA17" s="139" t="inlineStr">
        <is>
          <t>2BD $2,405–$2,975. 3BD $2,960–$4,065. Up to 2 Mo Free.</t>
        </is>
      </c>
      <c r="AB17" s="140" t="inlineStr">
        <is>
          <t>Apartments.com (Aug 4, 2026)</t>
        </is>
      </c>
    </row>
    <row r="18" ht="28.5" customFormat="1" customHeight="1" s="273">
      <c r="A18" s="141" t="inlineStr">
        <is>
          <t>—</t>
        </is>
      </c>
      <c r="B18" s="142" t="inlineStr">
        <is>
          <t>BENCHMARK</t>
        </is>
      </c>
      <c r="C18" s="143" t="inlineStr">
        <is>
          <t>FY2026 FMR — Tampa-St. Petersburg MSA</t>
        </is>
      </c>
      <c r="D18" s="360" t="n"/>
      <c r="E18" s="141" t="inlineStr">
        <is>
          <t>N/A</t>
        </is>
      </c>
      <c r="F18" s="141" t="inlineStr">
        <is>
          <t>St. Petersburg</t>
        </is>
      </c>
      <c r="G18" s="141" t="inlineStr">
        <is>
          <t>FL</t>
        </is>
      </c>
      <c r="H18" s="141" t="inlineStr">
        <is>
          <t>N/A</t>
        </is>
      </c>
      <c r="I18" s="141" t="inlineStr">
        <is>
          <t>N/A</t>
        </is>
      </c>
      <c r="J18" s="141" t="inlineStr">
        <is>
          <t>$2,170</t>
        </is>
      </c>
      <c r="K18" s="141" t="inlineStr">
        <is>
          <t>$2,170</t>
        </is>
      </c>
      <c r="L18" s="141" t="inlineStr">
        <is>
          <t>$2,170</t>
        </is>
      </c>
      <c r="M18" s="141" t="inlineStr">
        <is>
          <t>N/A</t>
        </is>
      </c>
      <c r="N18" s="141" t="inlineStr">
        <is>
          <t>$2,780</t>
        </is>
      </c>
      <c r="O18" s="141" t="inlineStr">
        <is>
          <t>$2,780</t>
        </is>
      </c>
      <c r="P18" s="141" t="inlineStr">
        <is>
          <t>$2,780</t>
        </is>
      </c>
      <c r="Q18" s="141" t="inlineStr">
        <is>
          <t>N/A</t>
        </is>
      </c>
      <c r="R18" s="141" t="inlineStr">
        <is>
          <t>N/A</t>
        </is>
      </c>
      <c r="S18" s="141" t="inlineStr">
        <is>
          <t>N/A</t>
        </is>
      </c>
      <c r="T18" s="141" t="inlineStr">
        <is>
          <t>N/A</t>
        </is>
      </c>
      <c r="U18" s="141" t="inlineStr">
        <is>
          <t>N/A</t>
        </is>
      </c>
      <c r="V18" s="141" t="inlineStr">
        <is>
          <t>N/A</t>
        </is>
      </c>
      <c r="W18" s="141" t="inlineStr">
        <is>
          <t>N/A</t>
        </is>
      </c>
      <c r="X18" s="141" t="inlineStr">
        <is>
          <t>N/A</t>
        </is>
      </c>
      <c r="Y18" s="141" t="inlineStr">
        <is>
          <t>N/A</t>
        </is>
      </c>
      <c r="Z18" s="145" t="inlineStr">
        <is>
          <t>BENCHMARK</t>
        </is>
      </c>
      <c r="AA18" s="146" t="inlineStr">
        <is>
          <t>HUD FMR for Tampa-St. Petersburg MSA, FY2026. 40th percentile of gross rents.</t>
        </is>
      </c>
      <c r="AB18" s="147" t="inlineStr">
        <is>
          <t>HUD FMR Database (huduser.gov)</t>
        </is>
      </c>
    </row>
    <row r="19" ht="34.5" customFormat="1" customHeight="1" s="273">
      <c r="A19" s="148" t="inlineStr">
        <is>
          <t>—</t>
        </is>
      </c>
      <c r="B19" s="149" t="inlineStr">
        <is>
          <t>BENCHMARK</t>
        </is>
      </c>
      <c r="C19" s="150" t="inlineStr">
        <is>
          <t>Metro Market Avg — St. Petersburg (Aug 2026)</t>
        </is>
      </c>
      <c r="D19" s="351" t="n"/>
      <c r="E19" s="148" t="inlineStr">
        <is>
          <t>N/A</t>
        </is>
      </c>
      <c r="F19" s="148" t="inlineStr">
        <is>
          <t>St. Petersburg</t>
        </is>
      </c>
      <c r="G19" s="148" t="inlineStr">
        <is>
          <t>FL</t>
        </is>
      </c>
      <c r="H19" s="148" t="inlineStr">
        <is>
          <t>N/A</t>
        </is>
      </c>
      <c r="I19" s="148" t="inlineStr">
        <is>
          <t>N/A</t>
        </is>
      </c>
      <c r="J19" s="148" t="inlineStr">
        <is>
          <t>$2,336</t>
        </is>
      </c>
      <c r="K19" s="148" t="inlineStr">
        <is>
          <t>$2,336</t>
        </is>
      </c>
      <c r="L19" s="148" t="inlineStr">
        <is>
          <t>$2,336</t>
        </is>
      </c>
      <c r="M19" s="151" t="inlineStr">
        <is>
          <t>$2,468</t>
        </is>
      </c>
      <c r="N19" s="151" t="inlineStr">
        <is>
          <t>$2,923</t>
        </is>
      </c>
      <c r="O19" s="151" t="inlineStr">
        <is>
          <t>$2,923</t>
        </is>
      </c>
      <c r="P19" s="151" t="inlineStr">
        <is>
          <t>$2,923</t>
        </is>
      </c>
      <c r="Q19" s="151" t="inlineStr">
        <is>
          <t>$3,127</t>
        </is>
      </c>
      <c r="R19" s="148" t="inlineStr">
        <is>
          <t>N/A</t>
        </is>
      </c>
      <c r="S19" s="148" t="inlineStr">
        <is>
          <t>N/A</t>
        </is>
      </c>
      <c r="T19" s="148" t="inlineStr">
        <is>
          <t>N/A</t>
        </is>
      </c>
      <c r="U19" s="148" t="inlineStr">
        <is>
          <t>N/A</t>
        </is>
      </c>
      <c r="V19" s="148" t="inlineStr">
        <is>
          <t>N/A</t>
        </is>
      </c>
      <c r="W19" s="148" t="inlineStr">
        <is>
          <t>N/A</t>
        </is>
      </c>
      <c r="X19" s="148" t="inlineStr">
        <is>
          <t>N/A</t>
        </is>
      </c>
      <c r="Y19" s="148" t="inlineStr">
        <is>
          <t>N/A</t>
        </is>
      </c>
      <c r="Z19" s="113" t="inlineStr">
        <is>
          <t>BENCHMARK</t>
        </is>
      </c>
      <c r="AA19" s="152" t="inlineStr">
        <is>
          <t>Live Market Avg from 6 comps, Aug 4, 2026. 2BD avg $2,468 / 3BD avg $3,127.</t>
        </is>
      </c>
      <c r="AB19" s="153" t="inlineStr">
        <is>
          <t>Apartments.com live data, Aug 4, 2026</t>
        </is>
      </c>
    </row>
    <row r="21" ht="14.25" customFormat="1" customHeight="1" s="273">
      <c r="A21" s="154" t="inlineStr">
        <is>
          <t>COLOR KEY:  GREEN = Subject Property  |  TEAL = Affordable/Income-Restricted Comps  |  BLUE = Market Rate Comps  |  ORANGE = Actual Advertised Rent  |  YELLOW = Market Average Benchmark</t>
        </is>
      </c>
      <c r="B21" s="350" t="n"/>
      <c r="C21" s="350" t="n"/>
      <c r="D21" s="350" t="n"/>
      <c r="E21" s="350" t="n"/>
      <c r="F21" s="350" t="n"/>
      <c r="G21" s="350" t="n"/>
      <c r="H21" s="350" t="n"/>
      <c r="I21" s="350" t="n"/>
      <c r="J21" s="350" t="n"/>
      <c r="K21" s="350" t="n"/>
      <c r="L21" s="350" t="n"/>
      <c r="M21" s="350" t="n"/>
      <c r="N21" s="350" t="n"/>
      <c r="O21" s="350" t="n"/>
      <c r="P21" s="350" t="n"/>
      <c r="Q21" s="350" t="n"/>
      <c r="R21" s="350" t="n"/>
      <c r="S21" s="350" t="n"/>
      <c r="T21" s="350" t="n"/>
      <c r="U21" s="350" t="n"/>
      <c r="V21" s="350" t="n"/>
      <c r="W21" s="350" t="n"/>
      <c r="X21" s="350" t="n"/>
      <c r="Y21" s="350" t="n"/>
      <c r="Z21" s="350" t="n"/>
      <c r="AA21" s="350" t="n"/>
      <c r="AB21" s="351" t="n"/>
    </row>
    <row r="23" ht="18" customFormat="1" customHeight="1" s="273">
      <c r="A23" s="155" t="inlineStr">
        <is>
          <t>CURRENT RENT vs. MARKET AVERAGE</t>
        </is>
      </c>
      <c r="B23" s="350" t="n"/>
      <c r="C23" s="350" t="n"/>
      <c r="D23" s="350" t="n"/>
      <c r="E23" s="350" t="n"/>
      <c r="F23" s="350" t="n"/>
      <c r="G23" s="350" t="n"/>
      <c r="H23" s="351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156" t="inlineStr">
        <is>
          <t>Market Average = Avg of Actual Advertised Rents from 6 Market-Rate Comps (Apartments.com)</t>
        </is>
      </c>
      <c r="B24" s="350" t="n"/>
      <c r="C24" s="350" t="n"/>
      <c r="D24" s="350" t="n"/>
      <c r="E24" s="350" t="n"/>
      <c r="F24" s="350" t="n"/>
      <c r="G24" s="350" t="n"/>
      <c r="H24" s="351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74" t="inlineStr">
        <is>
          <t>2BD</t>
        </is>
      </c>
      <c r="B26" s="361" t="n">
        <v>1736</v>
      </c>
      <c r="C26" s="362" t="n">
        <v>2468</v>
      </c>
      <c r="D26" s="351" t="n"/>
      <c r="E26" s="363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74" t="inlineStr">
        <is>
          <t>3BD</t>
        </is>
      </c>
      <c r="B27" s="361" t="n">
        <v>2376</v>
      </c>
      <c r="C27" s="362" t="n">
        <v>3127</v>
      </c>
      <c r="D27" s="351" t="n"/>
      <c r="E27" s="363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</sheetData>
  <mergeCells count="19">
    <mergeCell ref="A21:AB21"/>
    <mergeCell ref="A24:H24"/>
    <mergeCell ref="A5:AB5"/>
    <mergeCell ref="Z3:AB3"/>
    <mergeCell ref="C26:D26"/>
    <mergeCell ref="A4:AB4"/>
    <mergeCell ref="C10:D10"/>
    <mergeCell ref="C25:D25"/>
    <mergeCell ref="C9:D9"/>
    <mergeCell ref="C11:D11"/>
    <mergeCell ref="C27:D27"/>
    <mergeCell ref="D12:D17"/>
    <mergeCell ref="A23:H23"/>
    <mergeCell ref="A6:AB6"/>
    <mergeCell ref="C8:D8"/>
    <mergeCell ref="C7:D7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7"/>
  <sheetViews>
    <sheetView tabSelected="1" topLeftCell="A1" workbookViewId="0">
      <pane ySplit="1" topLeftCell="A5" activePane="bottomLeft" state="frozen"/>
      <selection pane="bottomLeft" activeCell="C1" sqref="C1"/>
    </sheetView>
  </sheetViews>
  <sheetFormatPr baseColWidth="8" defaultColWidth="9.140625" defaultRowHeight="21.75" customHeight="1"/>
  <cols>
    <col width="9.140625" customWidth="1" style="273" min="1" max="1"/>
    <col width="21.00390625" customWidth="1" style="273" min="2" max="2"/>
    <col width="56.57421875" customWidth="1" style="273" min="3" max="3"/>
    <col width="2.8515625" customWidth="1" style="273" min="4" max="4"/>
    <col width="27.00390625" customWidth="1" style="273" min="5" max="5"/>
    <col width="19.8515625" customWidth="1" style="273" min="6" max="6"/>
    <col width="3.140625" customWidth="1" style="273" min="7" max="7"/>
    <col width="5.28125" customWidth="1" style="273" min="8" max="8"/>
    <col width="7.7109375" customWidth="1" style="273" min="9" max="9"/>
    <col hidden="1" width="7.8515625" customWidth="1" style="273" min="10" max="11"/>
    <col hidden="1" width="5.7109375" customWidth="1" style="273" min="12" max="12"/>
    <col width="16.421875" customWidth="1" style="273" min="13" max="13"/>
    <col hidden="1" width="11.8515625" customWidth="1" style="273" min="14" max="15"/>
    <col hidden="1" width="8.7109375" customWidth="1" style="273" min="16" max="16"/>
    <col width="16.421875" customWidth="1" style="273" min="17" max="17"/>
    <col width="5.28125" customWidth="1" style="273" min="18" max="18"/>
    <col width="7.140625" customWidth="1" style="273" min="19" max="19"/>
    <col width="6.140625" customWidth="1" style="273" min="20" max="20"/>
    <col width="4.57421875" customWidth="1" style="273" min="21" max="21"/>
    <col width="7.7109375" customWidth="1" style="273" min="22" max="22"/>
    <col width="6.00390625" customWidth="1" style="273" min="23" max="23"/>
    <col width="5.00390625" customWidth="1" style="273" min="24" max="24"/>
    <col width="6.7109375" customWidth="1" style="273" min="25" max="25"/>
    <col width="23.57421875" customWidth="1" style="273" min="26" max="26"/>
    <col width="71.7109375" customWidth="1" style="273" min="27" max="27"/>
    <col width="51.281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JEFFERSON ARMS  |  MONTICELLO, FL 32344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166" t="inlineStr">
        <is>
          <t xml:space="preserve">13 - Jefferson  |  60 Units  |  LIHTC / Section 8  |  2BD &amp; 3BD  </t>
        </is>
      </c>
      <c r="AA3" s="364" t="n"/>
      <c r="AB3" s="365" t="n"/>
    </row>
    <row r="4" ht="18" customFormat="1" customHeight="1" s="273">
      <c r="A4" s="167" t="inlineStr">
        <is>
          <t>1001 W Washington St, Monticello, FL 32344  |  Jefferson County</t>
        </is>
      </c>
      <c r="B4" s="366" t="n"/>
      <c r="C4" s="366" t="n"/>
      <c r="D4" s="366" t="n"/>
      <c r="E4" s="366" t="n"/>
      <c r="F4" s="366" t="n"/>
      <c r="G4" s="366" t="n"/>
      <c r="H4" s="366" t="n"/>
      <c r="I4" s="366" t="n"/>
      <c r="J4" s="366" t="n"/>
      <c r="K4" s="366" t="n"/>
      <c r="L4" s="366" t="n"/>
      <c r="M4" s="366" t="n"/>
      <c r="N4" s="366" t="n"/>
      <c r="O4" s="366" t="n"/>
      <c r="P4" s="366" t="n"/>
      <c r="Q4" s="366" t="n"/>
      <c r="R4" s="366" t="n"/>
      <c r="S4" s="366" t="n"/>
      <c r="T4" s="366" t="n"/>
      <c r="U4" s="366" t="n"/>
      <c r="V4" s="366" t="n"/>
      <c r="W4" s="366" t="n"/>
      <c r="X4" s="366" t="n"/>
      <c r="Y4" s="366" t="n"/>
      <c r="Z4" s="366" t="n"/>
      <c r="AA4" s="366" t="n"/>
      <c r="AB4" s="367" t="n"/>
    </row>
    <row r="5" ht="14.25" customFormat="1" customHeight="1" s="273">
      <c r="A5" s="170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36" customFormat="1" customHeight="1" s="273">
      <c r="A7" s="172" t="inlineStr">
        <is>
          <t>Rank</t>
        </is>
      </c>
      <c r="B7" s="172" t="inlineStr">
        <is>
          <t>Type</t>
        </is>
      </c>
      <c r="C7" s="172" t="inlineStr">
        <is>
          <t>Property Name</t>
        </is>
      </c>
      <c r="D7" s="368" t="n"/>
      <c r="E7" s="172" t="inlineStr">
        <is>
          <t>Address</t>
        </is>
      </c>
      <c r="F7" s="172" t="inlineStr">
        <is>
          <t>City</t>
        </is>
      </c>
      <c r="G7" s="174" t="inlineStr">
        <is>
          <t>St</t>
        </is>
      </c>
      <c r="H7" s="174" t="inlineStr">
        <is>
          <t>ZIP</t>
        </is>
      </c>
      <c r="I7" s="174" t="inlineStr">
        <is>
          <t>Distance</t>
        </is>
      </c>
      <c r="J7" s="174" t="inlineStr">
        <is>
          <t>2BD
50% AMI</t>
        </is>
      </c>
      <c r="K7" s="174" t="inlineStr">
        <is>
          <t>2BD
60% AMI</t>
        </is>
      </c>
      <c r="L7" s="174" t="inlineStr">
        <is>
          <t>2BD
FMR</t>
        </is>
      </c>
      <c r="M7" s="175" t="inlineStr">
        <is>
          <t>2BD -
Actual</t>
        </is>
      </c>
      <c r="N7" s="176" t="inlineStr">
        <is>
          <t>3BD
50% AMI</t>
        </is>
      </c>
      <c r="O7" s="176" t="inlineStr">
        <is>
          <t>3BD
60% AMI</t>
        </is>
      </c>
      <c r="P7" s="176" t="inlineStr">
        <is>
          <t>3BD
FMR</t>
        </is>
      </c>
      <c r="Q7" s="175" t="inlineStr">
        <is>
          <t>3BD -
Actual</t>
        </is>
      </c>
      <c r="R7" s="177" t="inlineStr">
        <is>
          <t>Units</t>
        </is>
      </c>
      <c r="S7" s="177" t="inlineStr">
        <is>
          <t>Yr Built</t>
        </is>
      </c>
      <c r="T7" s="177" t="inlineStr">
        <is>
          <t>Yr Diff</t>
        </is>
      </c>
      <c r="U7" s="177" t="inlineStr">
        <is>
          <t>Utils
Incl.</t>
        </is>
      </c>
      <c r="V7" s="177" t="inlineStr">
        <is>
          <t>Pet
Friendly</t>
        </is>
      </c>
      <c r="W7" s="177" t="inlineStr">
        <is>
          <t>Gated</t>
        </is>
      </c>
      <c r="X7" s="177" t="inlineStr">
        <is>
          <t>Pool</t>
        </is>
      </c>
      <c r="Y7" s="177" t="inlineStr">
        <is>
          <t>W/D
In-Unit</t>
        </is>
      </c>
      <c r="Z7" s="178" t="inlineStr">
        <is>
          <t>Competition Level</t>
        </is>
      </c>
      <c r="AA7" s="179" t="inlineStr">
        <is>
          <t>Notes / Why Competitive</t>
        </is>
      </c>
      <c r="AB7" s="17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182" t="inlineStr">
        <is>
          <t>Jefferson (SUBJECT)</t>
        </is>
      </c>
      <c r="D8" s="367" t="n"/>
      <c r="E8" s="183" t="inlineStr">
        <is>
          <t>1001 W Washington St</t>
        </is>
      </c>
      <c r="F8" s="183" t="inlineStr">
        <is>
          <t>Monticello</t>
        </is>
      </c>
      <c r="G8" s="183" t="inlineStr">
        <is>
          <t>FL</t>
        </is>
      </c>
      <c r="H8" s="183" t="inlineStr">
        <is>
          <t>32344</t>
        </is>
      </c>
      <c r="I8" s="183" t="inlineStr">
        <is>
          <t>0.0 mi</t>
        </is>
      </c>
      <c r="J8" s="183" t="inlineStr">
        <is>
          <t>$2,420</t>
        </is>
      </c>
      <c r="K8" s="183" t="inlineStr">
        <is>
          <t>$2,904</t>
        </is>
      </c>
      <c r="L8" s="183" t="inlineStr">
        <is>
          <t>$1,210</t>
        </is>
      </c>
      <c r="M8" s="369">
        <f>'Current Rents'!E13</f>
        <v/>
      </c>
      <c r="N8" s="185" t="inlineStr">
        <is>
          <t>$2,797</t>
        </is>
      </c>
      <c r="O8" s="185" t="inlineStr">
        <is>
          <t>$3,357</t>
        </is>
      </c>
      <c r="P8" s="185" t="inlineStr">
        <is>
          <t>$1,540</t>
        </is>
      </c>
      <c r="Q8" s="369">
        <f>'Current Rents'!F13</f>
        <v/>
      </c>
      <c r="R8" s="183" t="inlineStr">
        <is>
          <t>60</t>
        </is>
      </c>
      <c r="S8" s="183" t="inlineStr">
        <is>
          <t>1971</t>
        </is>
      </c>
      <c r="T8" s="183" t="n"/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60 units | LIHTC/Section 8. Year built: 1971.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191" t="inlineStr">
        <is>
          <t>AFFORDABLE</t>
        </is>
      </c>
      <c r="C9" s="192" t="inlineStr">
        <is>
          <t>Monticello Manor</t>
        </is>
      </c>
      <c r="D9" s="365" t="n"/>
      <c r="E9" s="193" t="inlineStr">
        <is>
          <t>500 S Jefferson St</t>
        </is>
      </c>
      <c r="F9" s="194" t="inlineStr">
        <is>
          <t>Monticello</t>
        </is>
      </c>
      <c r="G9" s="194" t="inlineStr">
        <is>
          <t>FL</t>
        </is>
      </c>
      <c r="H9" s="194" t="inlineStr">
        <is>
          <t>32344</t>
        </is>
      </c>
      <c r="I9" s="194" t="inlineStr">
        <is>
          <t>0.5 mi</t>
        </is>
      </c>
      <c r="J9" s="194" t="inlineStr">
        <is>
          <t>$2,420</t>
        </is>
      </c>
      <c r="K9" s="194" t="inlineStr">
        <is>
          <t>$2,904</t>
        </is>
      </c>
      <c r="L9" s="194" t="inlineStr">
        <is>
          <t>$1,210</t>
        </is>
      </c>
      <c r="M9" s="190" t="inlineStr">
        <is>
          <t>Not Listed</t>
        </is>
      </c>
      <c r="N9" s="194" t="inlineStr">
        <is>
          <t>$2,797</t>
        </is>
      </c>
      <c r="O9" s="194" t="inlineStr">
        <is>
          <t>$3,357</t>
        </is>
      </c>
      <c r="P9" s="194" t="inlineStr">
        <is>
          <t>$1,540</t>
        </is>
      </c>
      <c r="Q9" s="190" t="inlineStr">
        <is>
          <t>Not Listed</t>
        </is>
      </c>
      <c r="R9" s="194" t="inlineStr">
        <is>
          <t>40</t>
        </is>
      </c>
      <c r="S9" s="194" t="inlineStr">
        <is>
          <t>1972</t>
        </is>
      </c>
      <c r="T9" s="194" t="n">
        <v>1</v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197" t="inlineStr">
        <is>
          <t>HIGH</t>
        </is>
      </c>
      <c r="AA9" s="198" t="inlineStr">
        <is>
          <t>Section 8/HUD, 1972 vintage, 40 units, 0.5 mi.</t>
        </is>
      </c>
      <c r="AB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191" t="inlineStr">
        <is>
          <t>AFFORDABLE</t>
        </is>
      </c>
      <c r="C10" s="192" t="inlineStr">
        <is>
          <t>Waukeenah Manor</t>
        </is>
      </c>
      <c r="D10" s="365" t="n"/>
      <c r="E10" s="193" t="inlineStr">
        <is>
          <t>US-19, Waukeenah</t>
        </is>
      </c>
      <c r="F10" s="194" t="inlineStr">
        <is>
          <t>Waukeenah</t>
        </is>
      </c>
      <c r="G10" s="194" t="inlineStr">
        <is>
          <t>FL</t>
        </is>
      </c>
      <c r="H10" s="194" t="inlineStr">
        <is>
          <t>32344</t>
        </is>
      </c>
      <c r="I10" s="194" t="inlineStr">
        <is>
          <t>8.0 mi</t>
        </is>
      </c>
      <c r="J10" s="194" t="inlineStr">
        <is>
          <t>$2,420</t>
        </is>
      </c>
      <c r="K10" s="194" t="inlineStr">
        <is>
          <t>$2,904</t>
        </is>
      </c>
      <c r="L10" s="194" t="inlineStr">
        <is>
          <t>$1,210</t>
        </is>
      </c>
      <c r="M10" s="190" t="inlineStr">
        <is>
          <t>Not Listed</t>
        </is>
      </c>
      <c r="N10" s="194" t="inlineStr">
        <is>
          <t>$2,797</t>
        </is>
      </c>
      <c r="O10" s="194" t="inlineStr">
        <is>
          <t>$3,357</t>
        </is>
      </c>
      <c r="P10" s="194" t="inlineStr">
        <is>
          <t>$1,540</t>
        </is>
      </c>
      <c r="Q10" s="190" t="inlineStr">
        <is>
          <t>Not Listed</t>
        </is>
      </c>
      <c r="R10" s="194" t="inlineStr">
        <is>
          <t>24</t>
        </is>
      </c>
      <c r="S10" s="194" t="inlineStr">
        <is>
          <t>1974</t>
        </is>
      </c>
      <c r="T10" s="194" t="inlineStr">
        <is>
          <t>3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197" t="inlineStr">
        <is>
          <t>HIGH</t>
        </is>
      </c>
      <c r="AA10" s="198" t="inlineStr">
        <is>
          <t>Section 8/HUD, 1974 vintage, 24 units, 8.0 mi.</t>
        </is>
      </c>
      <c r="AB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191" t="inlineStr">
        <is>
          <t>AFFORDABLE</t>
        </is>
      </c>
      <c r="C11" s="192" t="inlineStr">
        <is>
          <t>Greenville Manor</t>
        </is>
      </c>
      <c r="D11" s="365" t="n"/>
      <c r="E11" s="193" t="inlineStr">
        <is>
          <t>Hwy 221, Greenville</t>
        </is>
      </c>
      <c r="F11" s="194" t="inlineStr">
        <is>
          <t>Greenville</t>
        </is>
      </c>
      <c r="G11" s="194" t="inlineStr">
        <is>
          <t>FL</t>
        </is>
      </c>
      <c r="H11" s="194" t="inlineStr">
        <is>
          <t>32331</t>
        </is>
      </c>
      <c r="I11" s="194" t="inlineStr">
        <is>
          <t>15.0 mi</t>
        </is>
      </c>
      <c r="J11" s="194" t="inlineStr">
        <is>
          <t>$2,420</t>
        </is>
      </c>
      <c r="K11" s="194" t="inlineStr">
        <is>
          <t>$2,904</t>
        </is>
      </c>
      <c r="L11" s="194" t="inlineStr">
        <is>
          <t>$1,210</t>
        </is>
      </c>
      <c r="M11" s="190" t="inlineStr">
        <is>
          <t>Not Listed</t>
        </is>
      </c>
      <c r="N11" s="194" t="inlineStr">
        <is>
          <t>$2,797</t>
        </is>
      </c>
      <c r="O11" s="194" t="inlineStr">
        <is>
          <t>$3,357</t>
        </is>
      </c>
      <c r="P11" s="194" t="inlineStr">
        <is>
          <t>$1,540</t>
        </is>
      </c>
      <c r="Q11" s="190" t="inlineStr">
        <is>
          <t>Not Listed</t>
        </is>
      </c>
      <c r="R11" s="194" t="inlineStr">
        <is>
          <t>20</t>
        </is>
      </c>
      <c r="S11" s="194" t="inlineStr">
        <is>
          <t>1975</t>
        </is>
      </c>
      <c r="T11" s="194" t="inlineStr">
        <is>
          <t>4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00" t="inlineStr">
        <is>
          <t>MODERATE-HIGH</t>
        </is>
      </c>
      <c r="AA11" s="198" t="inlineStr">
        <is>
          <t>Section 8/HUD, 1975 vintage, 20 units, 15.0 mi.</t>
        </is>
      </c>
      <c r="AB11" s="199" t="inlineStr">
        <is>
          <t>HUD Multifamily Assisted Housing</t>
        </is>
      </c>
    </row>
    <row r="12" ht="24.75" customFormat="1" customHeight="1" s="273">
      <c r="A12" s="201" t="inlineStr">
        <is>
          <t>1</t>
        </is>
      </c>
      <c r="B12" s="202" t="inlineStr">
        <is>
          <t>MARKET RATE</t>
        </is>
      </c>
      <c r="C12" s="203" t="inlineStr">
        <is>
          <t>The Crossing at 2600</t>
        </is>
      </c>
      <c r="D12" s="204" t="inlineStr">
        <is>
          <t>COMPETITION</t>
        </is>
      </c>
      <c r="E12" s="205" t="inlineStr">
        <is>
          <t>2600 Miccosukee Rd</t>
        </is>
      </c>
      <c r="F12" s="206" t="inlineStr">
        <is>
          <t>Tallahassee</t>
        </is>
      </c>
      <c r="G12" s="206" t="inlineStr">
        <is>
          <t>FL</t>
        </is>
      </c>
      <c r="H12" s="206" t="inlineStr">
        <is>
          <t>32308</t>
        </is>
      </c>
      <c r="I12" s="207" t="inlineStr">
        <is>
          <t>25 mi</t>
        </is>
      </c>
      <c r="J12" s="206" t="inlineStr">
        <is>
          <t>N/A</t>
        </is>
      </c>
      <c r="K12" s="206" t="inlineStr">
        <is>
          <t>N/A</t>
        </is>
      </c>
      <c r="L12" s="206" t="inlineStr">
        <is>
          <t>$1,210</t>
        </is>
      </c>
      <c r="M12" s="370" t="n">
        <v>1349</v>
      </c>
      <c r="N12" s="209" t="inlineStr">
        <is>
          <t>N/A</t>
        </is>
      </c>
      <c r="O12" s="209" t="inlineStr">
        <is>
          <t>N/A</t>
        </is>
      </c>
      <c r="P12" s="209" t="inlineStr">
        <is>
          <t>$1,540</t>
        </is>
      </c>
      <c r="Q12" s="370" t="n">
        <v>1549</v>
      </c>
      <c r="R12" s="205" t="n">
        <v>312</v>
      </c>
      <c r="S12" s="205" t="n">
        <v>2003</v>
      </c>
      <c r="T12" s="205" t="inlineStr">
        <is>
          <t>14</t>
        </is>
      </c>
      <c r="U12" s="210" t="inlineStr">
        <is>
          <t>No</t>
        </is>
      </c>
      <c r="V12" s="211" t="inlineStr">
        <is>
          <t>Yes</t>
        </is>
      </c>
      <c r="W12" s="210" t="inlineStr">
        <is>
          <t>No</t>
        </is>
      </c>
      <c r="X12" s="211" t="inlineStr">
        <is>
          <t>Yes</t>
        </is>
      </c>
      <c r="Y12" s="210" t="inlineStr">
        <is>
          <t>No</t>
        </is>
      </c>
      <c r="Z12" s="212" t="inlineStr">
        <is>
          <t>HIGH</t>
        </is>
      </c>
      <c r="AA12" s="213" t="inlineStr">
        <is>
          <t>Market-rate; 25 mi from subject. 2BD $1,299–$1,399. 3BD $1,499–$1,599.</t>
        </is>
      </c>
      <c r="AB12" s="214" t="inlineStr">
        <is>
          <t>Apartments.com (Aug 4, 2026)</t>
        </is>
      </c>
    </row>
    <row r="13" ht="26.25" customFormat="1" customHeight="1" s="273">
      <c r="A13" s="201" t="inlineStr">
        <is>
          <t>2</t>
        </is>
      </c>
      <c r="B13" s="202" t="inlineStr">
        <is>
          <t>MARKET RATE</t>
        </is>
      </c>
      <c r="C13" s="215" t="inlineStr">
        <is>
          <t>Capital Place at Southwood</t>
        </is>
      </c>
      <c r="D13" s="371" t="n"/>
      <c r="E13" s="205" t="inlineStr">
        <is>
          <t>2300 Bluff Oak Way</t>
        </is>
      </c>
      <c r="F13" s="206" t="inlineStr">
        <is>
          <t>Tallahassee</t>
        </is>
      </c>
      <c r="G13" s="206" t="inlineStr">
        <is>
          <t>FL</t>
        </is>
      </c>
      <c r="H13" s="206" t="inlineStr">
        <is>
          <t>32311</t>
        </is>
      </c>
      <c r="I13" s="207" t="inlineStr">
        <is>
          <t>25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$1,210</t>
        </is>
      </c>
      <c r="M13" s="370" t="n">
        <v>1713</v>
      </c>
      <c r="N13" s="209" t="inlineStr">
        <is>
          <t>N/A</t>
        </is>
      </c>
      <c r="O13" s="209" t="inlineStr">
        <is>
          <t>N/A</t>
        </is>
      </c>
      <c r="P13" s="209" t="inlineStr">
        <is>
          <t>$1,540</t>
        </is>
      </c>
      <c r="Q13" s="370" t="n">
        <v>1939</v>
      </c>
      <c r="R13" s="205" t="n">
        <v>240</v>
      </c>
      <c r="S13" s="205" t="n">
        <v>2007</v>
      </c>
      <c r="T13" s="205" t="inlineStr">
        <is>
          <t>7</t>
        </is>
      </c>
      <c r="U13" s="210" t="inlineStr">
        <is>
          <t>No</t>
        </is>
      </c>
      <c r="V13" s="211" t="inlineStr">
        <is>
          <t>Yes</t>
        </is>
      </c>
      <c r="W13" s="210" t="inlineStr">
        <is>
          <t>No</t>
        </is>
      </c>
      <c r="X13" s="210" t="inlineStr">
        <is>
          <t>No</t>
        </is>
      </c>
      <c r="Y13" s="210" t="inlineStr">
        <is>
          <t>No</t>
        </is>
      </c>
      <c r="Z13" s="212" t="inlineStr">
        <is>
          <t>HIGH</t>
        </is>
      </c>
      <c r="AA13" s="213" t="inlineStr">
        <is>
          <t>Correct address: 2300 Bluff Oak Way. 1BD $1,469–$1,613. 2BD $1,656–$1,770. 3BD $1,930–$1,948. Greystar managed.</t>
        </is>
      </c>
      <c r="AB13" s="214" t="inlineStr">
        <is>
          <t>Apartments.com (Aug 4, 2026)</t>
        </is>
      </c>
    </row>
    <row r="14" ht="25.5" customFormat="1" customHeight="1" s="273">
      <c r="A14" s="201" t="inlineStr">
        <is>
          <t>3</t>
        </is>
      </c>
      <c r="B14" s="202" t="inlineStr">
        <is>
          <t>MARKET RATE</t>
        </is>
      </c>
      <c r="C14" s="215" t="inlineStr">
        <is>
          <t>Arbor Station</t>
        </is>
      </c>
      <c r="D14" s="371" t="n"/>
      <c r="E14" s="205" t="inlineStr">
        <is>
          <t>3800 Arbor Station Way</t>
        </is>
      </c>
      <c r="F14" s="206" t="inlineStr">
        <is>
          <t>Tallahassee</t>
        </is>
      </c>
      <c r="G14" s="206" t="inlineStr">
        <is>
          <t>FL</t>
        </is>
      </c>
      <c r="H14" s="206" t="inlineStr">
        <is>
          <t>32311</t>
        </is>
      </c>
      <c r="I14" s="207" t="inlineStr">
        <is>
          <t>26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$1,210</t>
        </is>
      </c>
      <c r="M14" s="370" t="n">
        <v>1300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$1,540</t>
        </is>
      </c>
      <c r="Q14" s="370" t="n">
        <v>1500</v>
      </c>
      <c r="R14" s="205" t="n">
        <v>200</v>
      </c>
      <c r="S14" s="205" t="n">
        <v>2001</v>
      </c>
      <c r="T14" s="205" t="n"/>
      <c r="U14" s="210" t="inlineStr">
        <is>
          <t>No</t>
        </is>
      </c>
      <c r="V14" s="210" t="inlineStr">
        <is>
          <t>No</t>
        </is>
      </c>
      <c r="W14" s="210" t="inlineStr">
        <is>
          <t>No</t>
        </is>
      </c>
      <c r="X14" s="210" t="inlineStr">
        <is>
          <t>No</t>
        </is>
      </c>
      <c r="Y14" s="210" t="inlineStr">
        <is>
          <t>No</t>
        </is>
      </c>
      <c r="Z14" s="212" t="inlineStr">
        <is>
          <t>HIGH</t>
        </is>
      </c>
      <c r="AA14" s="213" t="inlineStr">
        <is>
          <t>Market-rate; 26 mi. 2BD $1,250–$1,350. 3BD $1,450–$1,550.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4</t>
        </is>
      </c>
      <c r="B15" s="202" t="inlineStr">
        <is>
          <t>MARKET RATE</t>
        </is>
      </c>
      <c r="C15" s="215" t="inlineStr">
        <is>
          <t>Tallahassee Crossing</t>
        </is>
      </c>
      <c r="D15" s="371" t="n"/>
      <c r="E15" s="205" t="inlineStr">
        <is>
          <t>2600 Miccosukee Rd</t>
        </is>
      </c>
      <c r="F15" s="206" t="inlineStr">
        <is>
          <t>Tallahassee</t>
        </is>
      </c>
      <c r="G15" s="206" t="inlineStr">
        <is>
          <t>FL</t>
        </is>
      </c>
      <c r="H15" s="206" t="inlineStr">
        <is>
          <t>32308</t>
        </is>
      </c>
      <c r="I15" s="207" t="inlineStr">
        <is>
          <t>25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$1,210</t>
        </is>
      </c>
      <c r="M15" s="370" t="n">
        <v>1275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$1,540</t>
        </is>
      </c>
      <c r="Q15" s="370" t="n">
        <v>1450</v>
      </c>
      <c r="R15" s="205" t="n">
        <v>180</v>
      </c>
      <c r="S15" s="205" t="n">
        <v>1998</v>
      </c>
      <c r="T15" s="205" t="inlineStr">
        <is>
          <t>34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12" t="inlineStr">
        <is>
          <t>HIGH</t>
        </is>
      </c>
      <c r="AA15" s="213" t="inlineStr">
        <is>
          <t>Market-rate; 25 mi. 2BD $1,200–$1,350. 3BD $1,400–$1,500.</t>
        </is>
      </c>
      <c r="AB15" s="214" t="inlineStr">
        <is>
          <t>Apartments.com (Aug 4, 2026)</t>
        </is>
      </c>
    </row>
    <row r="16" ht="29.25" customFormat="1" customHeight="1" s="273">
      <c r="A16" s="201" t="inlineStr">
        <is>
          <t>5</t>
        </is>
      </c>
      <c r="B16" s="202" t="inlineStr">
        <is>
          <t>MARKET RATE</t>
        </is>
      </c>
      <c r="C16" s="215" t="inlineStr">
        <is>
          <t>Magnolia Terrace</t>
        </is>
      </c>
      <c r="D16" s="371" t="n"/>
      <c r="E16" s="205" t="inlineStr">
        <is>
          <t>Monticello</t>
        </is>
      </c>
      <c r="F16" s="206" t="inlineStr">
        <is>
          <t>Monticello</t>
        </is>
      </c>
      <c r="G16" s="206" t="inlineStr">
        <is>
          <t>FL</t>
        </is>
      </c>
      <c r="H16" s="206" t="inlineStr">
        <is>
          <t>32344</t>
        </is>
      </c>
      <c r="I16" s="207" t="inlineStr">
        <is>
          <t>0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$1,210</t>
        </is>
      </c>
      <c r="M16" s="370" t="inlineStr">
        <is>
          <t>Phone Verify</t>
        </is>
      </c>
      <c r="N16" s="209" t="inlineStr">
        <is>
          <t>N/A</t>
        </is>
      </c>
      <c r="O16" s="209" t="inlineStr">
        <is>
          <t>N/A</t>
        </is>
      </c>
      <c r="P16" s="209" t="inlineStr">
        <is>
          <t>$1,540</t>
        </is>
      </c>
      <c r="Q16" s="370" t="inlineStr">
        <is>
          <t>Phone Verify</t>
        </is>
      </c>
      <c r="R16" s="205" t="inlineStr">
        <is>
          <t>252</t>
        </is>
      </c>
      <c r="S16" s="205" t="inlineStr">
        <is>
          <t>1990</t>
        </is>
      </c>
      <c r="T16" s="205" t="inlineStr">
        <is>
          <t>19</t>
        </is>
      </c>
      <c r="U16" s="210" t="inlineStr">
        <is>
          <t>No</t>
        </is>
      </c>
      <c r="V16" s="211" t="inlineStr">
        <is>
          <t>Yes</t>
        </is>
      </c>
      <c r="W16" s="210" t="inlineStr">
        <is>
          <t>No</t>
        </is>
      </c>
      <c r="X16" s="211" t="inlineStr">
        <is>
          <t>Yes</t>
        </is>
      </c>
      <c r="Y16" s="211" t="inlineStr">
        <is>
          <t>Yes</t>
        </is>
      </c>
      <c r="Z16" s="212" t="inlineStr">
        <is>
          <t>HIGH</t>
        </is>
      </c>
      <c r="AA16" s="213" t="inlineStr">
        <is>
          <t>PHONE VERIFY — no public listing found. Call Monticello leasing office.</t>
        </is>
      </c>
      <c r="AB16" s="214" t="inlineStr">
        <is>
          <t>Apartments.com (Aug 4, 2026)</t>
        </is>
      </c>
    </row>
    <row r="17" ht="28.5" customFormat="1" customHeight="1" s="273">
      <c r="A17" s="201" t="inlineStr">
        <is>
          <t>6</t>
        </is>
      </c>
      <c r="B17" s="202" t="inlineStr">
        <is>
          <t>MARKET RATE</t>
        </is>
      </c>
      <c r="C17" s="217" t="inlineStr">
        <is>
          <t>Jefferson Commons</t>
        </is>
      </c>
      <c r="D17" s="372" t="n"/>
      <c r="E17" s="205" t="inlineStr">
        <is>
          <t>Monticello</t>
        </is>
      </c>
      <c r="F17" s="206" t="inlineStr">
        <is>
          <t>Monticello</t>
        </is>
      </c>
      <c r="G17" s="206" t="inlineStr">
        <is>
          <t>FL</t>
        </is>
      </c>
      <c r="H17" s="206" t="inlineStr">
        <is>
          <t>32344</t>
        </is>
      </c>
      <c r="I17" s="207" t="inlineStr">
        <is>
          <t>0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$1,210</t>
        </is>
      </c>
      <c r="M17" s="219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$1,540</t>
        </is>
      </c>
      <c r="Q17" s="370" t="inlineStr">
        <is>
          <t>Phone Verify</t>
        </is>
      </c>
      <c r="R17" s="205" t="inlineStr">
        <is>
          <t>288</t>
        </is>
      </c>
      <c r="S17" s="205" t="inlineStr">
        <is>
          <t>2013</t>
        </is>
      </c>
      <c r="T17" s="205" t="inlineStr">
        <is>
          <t>42</t>
        </is>
      </c>
      <c r="U17" s="210" t="inlineStr">
        <is>
          <t>No</t>
        </is>
      </c>
      <c r="V17" s="211" t="inlineStr">
        <is>
          <t>Yes</t>
        </is>
      </c>
      <c r="W17" s="211" t="inlineStr">
        <is>
          <t>Yes</t>
        </is>
      </c>
      <c r="X17" s="211" t="inlineStr">
        <is>
          <t>Yes</t>
        </is>
      </c>
      <c r="Y17" s="211" t="inlineStr">
        <is>
          <t>Yes</t>
        </is>
      </c>
      <c r="Z17" s="212" t="inlineStr">
        <is>
          <t>HIGH</t>
        </is>
      </c>
      <c r="AA17" s="213" t="inlineStr">
        <is>
          <t>PHONE VERIFY — no public listing found. Call Monticello leasing office.</t>
        </is>
      </c>
      <c r="AB17" s="214" t="inlineStr">
        <is>
          <t>Apartments.com (Aug 4, 2026)</t>
        </is>
      </c>
    </row>
    <row r="18" ht="28.5" customFormat="1" customHeight="1" s="273">
      <c r="A18" s="220" t="inlineStr">
        <is>
          <t>—</t>
        </is>
      </c>
      <c r="B18" s="221" t="inlineStr">
        <is>
          <t>BENCHMARK</t>
        </is>
      </c>
      <c r="C18" s="222" t="inlineStr">
        <is>
          <t>FY2026 FMR — Jefferson County, FL</t>
        </is>
      </c>
      <c r="D18" s="365" t="n"/>
      <c r="E18" s="223" t="inlineStr">
        <is>
          <t>N/A</t>
        </is>
      </c>
      <c r="F18" s="220" t="inlineStr">
        <is>
          <t>Monticello</t>
        </is>
      </c>
      <c r="G18" s="220" t="inlineStr">
        <is>
          <t>FL</t>
        </is>
      </c>
      <c r="H18" s="220" t="inlineStr">
        <is>
          <t>N/A</t>
        </is>
      </c>
      <c r="I18" s="220" t="inlineStr">
        <is>
          <t>N/A</t>
        </is>
      </c>
      <c r="J18" s="220" t="inlineStr">
        <is>
          <t>$1,210</t>
        </is>
      </c>
      <c r="K18" s="220" t="inlineStr">
        <is>
          <t>$1,210</t>
        </is>
      </c>
      <c r="L18" s="220" t="inlineStr">
        <is>
          <t>$1,210</t>
        </is>
      </c>
      <c r="M18" s="220" t="inlineStr">
        <is>
          <t>N/A</t>
        </is>
      </c>
      <c r="N18" s="220" t="inlineStr">
        <is>
          <t>$1,540</t>
        </is>
      </c>
      <c r="O18" s="220" t="inlineStr">
        <is>
          <t>$1,540</t>
        </is>
      </c>
      <c r="P18" s="220" t="inlineStr">
        <is>
          <t>$1,540</t>
        </is>
      </c>
      <c r="Q18" s="220" t="inlineStr">
        <is>
          <t>N/A</t>
        </is>
      </c>
      <c r="R18" s="220" t="inlineStr">
        <is>
          <t>N/A</t>
        </is>
      </c>
      <c r="S18" s="220" t="inlineStr">
        <is>
          <t>N/A</t>
        </is>
      </c>
      <c r="T18" s="220" t="inlineStr">
        <is>
          <t>N/A</t>
        </is>
      </c>
      <c r="U18" s="220" t="inlineStr">
        <is>
          <t>N/A</t>
        </is>
      </c>
      <c r="V18" s="220" t="inlineStr">
        <is>
          <t>N/A</t>
        </is>
      </c>
      <c r="W18" s="220" t="inlineStr">
        <is>
          <t>N/A</t>
        </is>
      </c>
      <c r="X18" s="220" t="inlineStr">
        <is>
          <t>N/A</t>
        </is>
      </c>
      <c r="Y18" s="220" t="inlineStr">
        <is>
          <t>N/A</t>
        </is>
      </c>
      <c r="Z18" s="202" t="inlineStr">
        <is>
          <t>BENCHMARK</t>
        </is>
      </c>
      <c r="AA18" s="224" t="inlineStr">
        <is>
          <t>HUD FMR for Jefferson County, FL, FY2026. 40th percentile rent.</t>
        </is>
      </c>
      <c r="AB18" s="225" t="inlineStr">
        <is>
          <t>HUD FMR Database (huduser.gov)</t>
        </is>
      </c>
    </row>
    <row r="19" ht="34.5" customFormat="1" customHeight="1" s="273">
      <c r="A19" s="226" t="inlineStr">
        <is>
          <t>—</t>
        </is>
      </c>
      <c r="B19" s="221" t="inlineStr">
        <is>
          <t>BENCHMARK</t>
        </is>
      </c>
      <c r="C19" s="227" t="inlineStr">
        <is>
          <t>Metro Market Avg — Monticello/Tallahassee (Aug 2026)</t>
        </is>
      </c>
      <c r="D19" s="365" t="n"/>
      <c r="E19" s="228" t="inlineStr">
        <is>
          <t>N/A</t>
        </is>
      </c>
      <c r="F19" s="226" t="inlineStr">
        <is>
          <t>Monticello</t>
        </is>
      </c>
      <c r="G19" s="226" t="inlineStr">
        <is>
          <t>FL</t>
        </is>
      </c>
      <c r="H19" s="226" t="inlineStr">
        <is>
          <t>N/A</t>
        </is>
      </c>
      <c r="I19" s="226" t="inlineStr">
        <is>
          <t>N/A</t>
        </is>
      </c>
      <c r="J19" s="226" t="inlineStr">
        <is>
          <t>$1,380</t>
        </is>
      </c>
      <c r="K19" s="226" t="inlineStr">
        <is>
          <t>$1,380</t>
        </is>
      </c>
      <c r="L19" s="226" t="inlineStr">
        <is>
          <t>$1,380</t>
        </is>
      </c>
      <c r="M19" s="229" t="inlineStr">
        <is>
          <t>$1,409</t>
        </is>
      </c>
      <c r="N19" s="229" t="inlineStr">
        <is>
          <t>$1,507</t>
        </is>
      </c>
      <c r="O19" s="229" t="inlineStr">
        <is>
          <t>$1,507</t>
        </is>
      </c>
      <c r="P19" s="229" t="inlineStr">
        <is>
          <t>$1,507</t>
        </is>
      </c>
      <c r="Q19" s="229" t="inlineStr">
        <is>
          <t>$1,610</t>
        </is>
      </c>
      <c r="R19" s="226" t="inlineStr">
        <is>
          <t>N/A</t>
        </is>
      </c>
      <c r="S19" s="226" t="inlineStr">
        <is>
          <t>N/A</t>
        </is>
      </c>
      <c r="T19" s="226" t="inlineStr">
        <is>
          <t>N/A</t>
        </is>
      </c>
      <c r="U19" s="226" t="inlineStr">
        <is>
          <t>N/A</t>
        </is>
      </c>
      <c r="V19" s="226" t="inlineStr">
        <is>
          <t>N/A</t>
        </is>
      </c>
      <c r="W19" s="226" t="inlineStr">
        <is>
          <t>N/A</t>
        </is>
      </c>
      <c r="X19" s="226" t="inlineStr">
        <is>
          <t>N/A</t>
        </is>
      </c>
      <c r="Y19" s="226" t="inlineStr">
        <is>
          <t>N/A</t>
        </is>
      </c>
      <c r="Z19" s="202" t="inlineStr">
        <is>
          <t>BENCHMARK</t>
        </is>
      </c>
      <c r="AA19" s="230" t="inlineStr">
        <is>
          <t>Live Market Avg from verified comps only, Aug 4, 2026. 1BD/2BD avg $1,409 / 2BD/3BD/4BD avg $1,610.</t>
        </is>
      </c>
      <c r="AB19" s="231" t="inlineStr">
        <is>
          <t>Apartments.com live data, Aug 4, 2026</t>
        </is>
      </c>
    </row>
    <row r="21" ht="14.25" customFormat="1" customHeight="1" s="273">
      <c r="A21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3" ht="18" customFormat="1" customHeight="1" s="273">
      <c r="A23" s="233" t="inlineStr">
        <is>
          <t>CURRENT RENT vs. MARKET AVERAGE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34" t="inlineStr">
        <is>
          <t>Market Average = Avg of Actual Advertised Rents from 6 Market-Rate Comps (Apartments.com)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4" t="n"/>
      <c r="B25" s="157" t="inlineStr">
        <is>
          <t>Current Rents</t>
        </is>
      </c>
      <c r="C25" s="157" t="inlineStr">
        <is>
          <t>Market Avg</t>
        </is>
      </c>
      <c r="D25" s="351" t="n"/>
      <c r="E25" s="157" t="inlineStr">
        <is>
          <t>Difference</t>
        </is>
      </c>
      <c r="F25" s="273" t="n"/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235" t="inlineStr">
        <is>
          <t>2BD</t>
        </is>
      </c>
      <c r="B26" s="373">
        <f>'Current Rents'!E13</f>
        <v/>
      </c>
      <c r="C26" s="374" t="n">
        <v>1409</v>
      </c>
      <c r="D26" s="375" t="n"/>
      <c r="E26" s="376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3BD</t>
        </is>
      </c>
      <c r="B27" s="373">
        <f>'Current Rents'!F13</f>
        <v/>
      </c>
      <c r="C27" s="377" t="n">
        <v>1610</v>
      </c>
      <c r="E27" s="376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30" ht="21.75" customFormat="1" customHeight="1" s="273"/>
    <row r="31" ht="21.75" customFormat="1" customHeight="1" s="273"/>
    <row r="32" ht="21.75" customFormat="1" customHeight="1" s="273"/>
  </sheetData>
  <mergeCells count="25">
    <mergeCell ref="A21:AB21"/>
    <mergeCell ref="C17"/>
    <mergeCell ref="A24:H24"/>
    <mergeCell ref="A5:AB5"/>
    <mergeCell ref="Z3:AB3"/>
    <mergeCell ref="C26:D26"/>
    <mergeCell ref="C13"/>
    <mergeCell ref="A4:AB4"/>
    <mergeCell ref="C10:D10"/>
    <mergeCell ref="C25:D25"/>
    <mergeCell ref="C15"/>
    <mergeCell ref="C9:D9"/>
    <mergeCell ref="C14"/>
    <mergeCell ref="C11:D11"/>
    <mergeCell ref="C27:D27"/>
    <mergeCell ref="D12:D17"/>
    <mergeCell ref="C16"/>
    <mergeCell ref="A23:H23"/>
    <mergeCell ref="A6:AB6"/>
    <mergeCell ref="C8:D8"/>
    <mergeCell ref="C7:D7"/>
    <mergeCell ref="C12"/>
    <mergeCell ref="C19:D19"/>
    <mergeCell ref="C18:D1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273" min="1" max="1"/>
    <col width="18.421875" customWidth="1" style="273" min="2" max="2"/>
    <col width="41.7109375" customWidth="1" style="273" min="3" max="3"/>
    <col width="4.7109375" customWidth="1" style="273" min="4" max="4"/>
    <col width="30.8515625" customWidth="1" style="273" min="5" max="5"/>
    <col width="14.28125" customWidth="1" style="273" min="6" max="6"/>
    <col width="9.28125" customWidth="1" style="273" min="7" max="9"/>
    <col hidden="1" width="6.8515625" customWidth="1" style="273" min="10" max="11"/>
    <col hidden="1" width="5.28125" customWidth="1" style="273" min="12" max="12"/>
    <col width="16.7109375" customWidth="1" style="273" min="13" max="13"/>
    <col hidden="1" width="10.421875" customWidth="1" style="273" min="14" max="15"/>
    <col hidden="1" width="7.8515625" customWidth="1" style="273" min="16" max="16"/>
    <col width="16.7109375" customWidth="1" style="273" min="17" max="17"/>
    <col hidden="1" width="10.421875" customWidth="1" style="273" min="18" max="19"/>
    <col hidden="1" width="7.8515625" customWidth="1" style="273" min="20" max="20"/>
    <col width="16.7109375" customWidth="1" style="273" min="21" max="21"/>
    <col width="9.421875" customWidth="1" style="273" min="22" max="29"/>
    <col width="24.57421875" customWidth="1" style="273" min="30" max="30"/>
    <col width="55.7109375" customWidth="1" style="273" min="31" max="32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163" t="inlineStr">
        <is>
          <t>RENT COMPARABLES ANALYSIS  —  OPA LOCKA 135TH ST  |  OPA LOCKA, FL 33054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4" t="n"/>
      <c r="Z3" s="364" t="n"/>
      <c r="AA3" s="364" t="n"/>
      <c r="AB3" s="364" t="n"/>
      <c r="AC3" s="365" t="n"/>
      <c r="AD3" s="166" t="inlineStr">
        <is>
          <t>18 - Opa Locka  |  65 Units  |  LIHTC / Section 8  |  1BD, 2BD &amp; 3BD</t>
        </is>
      </c>
      <c r="AE3" s="364" t="n"/>
      <c r="AF3" s="365" t="n"/>
    </row>
    <row r="4" ht="18" customFormat="1" customHeight="1" s="273">
      <c r="A4" s="241" t="inlineStr">
        <is>
          <t>2860 NW 135th Street, Opa Locka, FL 33054  |  Miami-Dade County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4" t="n"/>
      <c r="AC4" s="364" t="n"/>
      <c r="AD4" s="364" t="n"/>
      <c r="AE4" s="364" t="n"/>
      <c r="AF4" s="365" t="n"/>
    </row>
    <row r="5" ht="14.25" customFormat="1" customHeight="1" s="273">
      <c r="A5" s="242" t="inlineStr">
        <is>
          <t>Data as of June 16,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4" t="n"/>
      <c r="AC5" s="364" t="n"/>
      <c r="AD5" s="364" t="n"/>
      <c r="AE5" s="364" t="n"/>
      <c r="AF5" s="365" t="n"/>
    </row>
    <row r="6" ht="25.5" customFormat="1" customHeight="1" s="273">
      <c r="A6" s="171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4" t="n"/>
      <c r="AC6" s="364" t="n"/>
      <c r="AD6" s="364" t="n"/>
      <c r="AE6" s="364" t="n"/>
      <c r="AF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1BD
50% AMI</t>
        </is>
      </c>
      <c r="K7" s="244" t="inlineStr">
        <is>
          <t>1BD
60% AMI</t>
        </is>
      </c>
      <c r="L7" s="244" t="inlineStr">
        <is>
          <t>1BD
FMR</t>
        </is>
      </c>
      <c r="M7" s="245" t="inlineStr">
        <is>
          <t>1BD -
Actual</t>
        </is>
      </c>
      <c r="N7" s="246" t="inlineStr">
        <is>
          <t>2BD
50% AMI</t>
        </is>
      </c>
      <c r="O7" s="246" t="inlineStr">
        <is>
          <t>2BD
60% AMI</t>
        </is>
      </c>
      <c r="P7" s="246" t="inlineStr">
        <is>
          <t>2BD
FMR</t>
        </is>
      </c>
      <c r="Q7" s="245" t="inlineStr">
        <is>
          <t>2BD -
Actual</t>
        </is>
      </c>
      <c r="R7" s="246" t="inlineStr">
        <is>
          <t>3BD
50% AMI</t>
        </is>
      </c>
      <c r="S7" s="246" t="inlineStr">
        <is>
          <t>3BD
60% AMI</t>
        </is>
      </c>
      <c r="T7" s="246" t="inlineStr">
        <is>
          <t>3BD
FMR</t>
        </is>
      </c>
      <c r="U7" s="245" t="inlineStr">
        <is>
          <t>3BD -
Actual</t>
        </is>
      </c>
      <c r="V7" s="247" t="inlineStr">
        <is>
          <t>Units</t>
        </is>
      </c>
      <c r="W7" s="247" t="inlineStr">
        <is>
          <t>Yr Built</t>
        </is>
      </c>
      <c r="X7" s="247" t="inlineStr">
        <is>
          <t>Yr Diff</t>
        </is>
      </c>
      <c r="Y7" s="247" t="inlineStr">
        <is>
          <t>Utils
Incl.</t>
        </is>
      </c>
      <c r="Z7" s="247" t="inlineStr">
        <is>
          <t>Pet
Friendly</t>
        </is>
      </c>
      <c r="AA7" s="247" t="inlineStr">
        <is>
          <t>Gated</t>
        </is>
      </c>
      <c r="AB7" s="247" t="inlineStr">
        <is>
          <t>Pool</t>
        </is>
      </c>
      <c r="AC7" s="247" t="inlineStr">
        <is>
          <t>W/D
In-Unit</t>
        </is>
      </c>
      <c r="AD7" s="248" t="inlineStr">
        <is>
          <t>Competition Level</t>
        </is>
      </c>
      <c r="AE7" s="249" t="inlineStr">
        <is>
          <t>Notes / Why Competitive</t>
        </is>
      </c>
      <c r="AF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Opa Locka 135th St (SUBJECT)</t>
        </is>
      </c>
      <c r="D8" s="365" t="n"/>
      <c r="E8" s="183" t="inlineStr">
        <is>
          <t>2860 NW 135th Street</t>
        </is>
      </c>
      <c r="F8" s="183" t="inlineStr">
        <is>
          <t>Opa Locka</t>
        </is>
      </c>
      <c r="G8" s="183" t="inlineStr">
        <is>
          <t>FL</t>
        </is>
      </c>
      <c r="H8" s="183" t="inlineStr">
        <is>
          <t>33054</t>
        </is>
      </c>
      <c r="I8" s="183" t="inlineStr">
        <is>
          <t>0.0 mi</t>
        </is>
      </c>
      <c r="J8" s="183" t="inlineStr">
        <is>
          <t>$3,872</t>
        </is>
      </c>
      <c r="K8" s="183" t="inlineStr">
        <is>
          <t>$4,647</t>
        </is>
      </c>
      <c r="L8" s="183" t="inlineStr">
        <is>
          <t>$1,736</t>
        </is>
      </c>
      <c r="M8" s="369">
        <f>'Current Rents'!D14</f>
        <v/>
      </c>
      <c r="N8" s="183" t="inlineStr">
        <is>
          <t>$4,645</t>
        </is>
      </c>
      <c r="O8" s="183" t="inlineStr">
        <is>
          <t>$5,575</t>
        </is>
      </c>
      <c r="P8" s="183" t="inlineStr">
        <is>
          <t>$2,376</t>
        </is>
      </c>
      <c r="Q8" s="369">
        <f>'Current Rents'!E14</f>
        <v/>
      </c>
      <c r="R8" s="183" t="inlineStr">
        <is>
          <t>$5,162</t>
        </is>
      </c>
      <c r="S8" s="183" t="inlineStr">
        <is>
          <t>$6,195</t>
        </is>
      </c>
      <c r="T8" s="183" t="inlineStr">
        <is>
          <t>$3,044</t>
        </is>
      </c>
      <c r="U8" s="369">
        <f>'Current Rents'!F14</f>
        <v/>
      </c>
      <c r="V8" s="183" t="inlineStr">
        <is>
          <t>65</t>
        </is>
      </c>
      <c r="W8" s="183" t="inlineStr">
        <is>
          <t>1968</t>
        </is>
      </c>
      <c r="X8" s="183" t="inlineStr">
        <is>
          <t>0</t>
        </is>
      </c>
      <c r="Y8" s="186" t="inlineStr">
        <is>
          <t>Yes</t>
        </is>
      </c>
      <c r="Z8" s="187" t="inlineStr">
        <is>
          <t>No</t>
        </is>
      </c>
      <c r="AA8" s="187" t="inlineStr">
        <is>
          <t>No</t>
        </is>
      </c>
      <c r="AB8" s="187" t="inlineStr">
        <is>
          <t>No</t>
        </is>
      </c>
      <c r="AC8" s="187" t="inlineStr">
        <is>
          <t>No</t>
        </is>
      </c>
      <c r="AD8" s="181" t="inlineStr">
        <is>
          <t>SUBJECT</t>
        </is>
      </c>
      <c r="AE8" s="188" t="inlineStr">
        <is>
          <t>65 units | LIHTC/Section 8. Year built: 1968. Subject property.</t>
        </is>
      </c>
      <c r="AF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Liberty City Manor</t>
        </is>
      </c>
      <c r="D9" s="365" t="n"/>
      <c r="E9" s="194" t="inlineStr">
        <is>
          <t>6200 NW 7th Ave</t>
        </is>
      </c>
      <c r="F9" s="194" t="inlineStr">
        <is>
          <t>Miami</t>
        </is>
      </c>
      <c r="G9" s="194" t="inlineStr">
        <is>
          <t>FL</t>
        </is>
      </c>
      <c r="H9" s="194" t="inlineStr">
        <is>
          <t>33150</t>
        </is>
      </c>
      <c r="I9" s="194" t="inlineStr">
        <is>
          <t>8.5 mi</t>
        </is>
      </c>
      <c r="J9" s="194" t="inlineStr">
        <is>
          <t>$3,872</t>
        </is>
      </c>
      <c r="K9" s="194" t="inlineStr">
        <is>
          <t>$4,647</t>
        </is>
      </c>
      <c r="L9" s="194" t="inlineStr">
        <is>
          <t>$1,736</t>
        </is>
      </c>
      <c r="M9" s="190" t="inlineStr">
        <is>
          <t>Not Listed</t>
        </is>
      </c>
      <c r="N9" s="194" t="inlineStr">
        <is>
          <t>$4,645</t>
        </is>
      </c>
      <c r="O9" s="194" t="inlineStr">
        <is>
          <t>$5,575</t>
        </is>
      </c>
      <c r="P9" s="194" t="inlineStr">
        <is>
          <t>$2,376</t>
        </is>
      </c>
      <c r="Q9" s="190" t="inlineStr">
        <is>
          <t>Not Listed</t>
        </is>
      </c>
      <c r="R9" s="194" t="inlineStr">
        <is>
          <t>$5,162</t>
        </is>
      </c>
      <c r="S9" s="194" t="inlineStr">
        <is>
          <t>$6,195</t>
        </is>
      </c>
      <c r="T9" s="194" t="inlineStr">
        <is>
          <t>$3,044</t>
        </is>
      </c>
      <c r="U9" s="190" t="inlineStr">
        <is>
          <t>Not Listed</t>
        </is>
      </c>
      <c r="V9" s="194" t="inlineStr">
        <is>
          <t>64</t>
        </is>
      </c>
      <c r="W9" s="194" t="inlineStr">
        <is>
          <t>1968</t>
        </is>
      </c>
      <c r="X9" s="194" t="inlineStr">
        <is>
          <t>0</t>
        </is>
      </c>
      <c r="Y9" s="195" t="inlineStr">
        <is>
          <t>Yes</t>
        </is>
      </c>
      <c r="Z9" s="196" t="inlineStr">
        <is>
          <t>No</t>
        </is>
      </c>
      <c r="AA9" s="196" t="inlineStr">
        <is>
          <t>No</t>
        </is>
      </c>
      <c r="AB9" s="196" t="inlineStr">
        <is>
          <t>No</t>
        </is>
      </c>
      <c r="AC9" s="196" t="inlineStr">
        <is>
          <t>No</t>
        </is>
      </c>
      <c r="AD9" s="197" t="inlineStr">
        <is>
          <t>HIGH</t>
        </is>
      </c>
      <c r="AE9" s="198" t="inlineStr">
        <is>
          <t>Section 8/HUD, 1968 vintage, 64 units, 8.5 mi. Income-restricted.</t>
        </is>
      </c>
      <c r="AF9" s="199" t="inlineStr">
        <is>
          <t>HUD Multifamily Assisted Housing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Hialeah Gardens Apartments</t>
        </is>
      </c>
      <c r="D10" s="365" t="n"/>
      <c r="E10" s="194" t="inlineStr">
        <is>
          <t>1200 W 68th St</t>
        </is>
      </c>
      <c r="F10" s="194" t="inlineStr">
        <is>
          <t>Hialeah</t>
        </is>
      </c>
      <c r="G10" s="194" t="inlineStr">
        <is>
          <t>FL</t>
        </is>
      </c>
      <c r="H10" s="194" t="inlineStr">
        <is>
          <t>33012</t>
        </is>
      </c>
      <c r="I10" s="194" t="inlineStr">
        <is>
          <t>5.2 mi</t>
        </is>
      </c>
      <c r="J10" s="194" t="inlineStr">
        <is>
          <t>$3,872</t>
        </is>
      </c>
      <c r="K10" s="194" t="inlineStr">
        <is>
          <t>$4,647</t>
        </is>
      </c>
      <c r="L10" s="194" t="inlineStr">
        <is>
          <t>$1,736</t>
        </is>
      </c>
      <c r="M10" s="378" t="n">
        <v>3200</v>
      </c>
      <c r="N10" s="194" t="inlineStr">
        <is>
          <t>$4,645</t>
        </is>
      </c>
      <c r="O10" s="194" t="inlineStr">
        <is>
          <t>$5,575</t>
        </is>
      </c>
      <c r="P10" s="194" t="inlineStr">
        <is>
          <t>$2,376</t>
        </is>
      </c>
      <c r="Q10" s="378" t="n">
        <v>3896</v>
      </c>
      <c r="R10" s="194" t="inlineStr">
        <is>
          <t>$5,162</t>
        </is>
      </c>
      <c r="S10" s="194" t="inlineStr">
        <is>
          <t>$6,195</t>
        </is>
      </c>
      <c r="T10" s="194" t="inlineStr">
        <is>
          <t>$3,044</t>
        </is>
      </c>
      <c r="U10" s="378" t="n">
        <v>4686</v>
      </c>
      <c r="V10" s="194" t="inlineStr">
        <is>
          <t>72</t>
        </is>
      </c>
      <c r="W10" s="194" t="inlineStr">
        <is>
          <t>1970</t>
        </is>
      </c>
      <c r="X10" s="194" t="inlineStr">
        <is>
          <t>2</t>
        </is>
      </c>
      <c r="Y10" s="195" t="inlineStr">
        <is>
          <t>Yes</t>
        </is>
      </c>
      <c r="Z10" s="196" t="inlineStr">
        <is>
          <t>No</t>
        </is>
      </c>
      <c r="AA10" s="196" t="inlineStr">
        <is>
          <t>No</t>
        </is>
      </c>
      <c r="AB10" s="196" t="inlineStr">
        <is>
          <t>No</t>
        </is>
      </c>
      <c r="AC10" s="196" t="inlineStr">
        <is>
          <t>No</t>
        </is>
      </c>
      <c r="AD10" s="197" t="inlineStr">
        <is>
          <t>HIGH</t>
        </is>
      </c>
      <c r="AE10" s="198" t="inlineStr">
        <is>
          <t>Section 8/HUD, 1970 vintage, 72 units, 5.2 mi. Income-restricted.</t>
        </is>
      </c>
      <c r="AF10" s="199" t="inlineStr">
        <is>
          <t>HUD Multifamily Assisted Housing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Carol City Manor</t>
        </is>
      </c>
      <c r="D11" s="365" t="n"/>
      <c r="E11" s="194" t="inlineStr">
        <is>
          <t>18800 NW 27th Ave</t>
        </is>
      </c>
      <c r="F11" s="194" t="inlineStr">
        <is>
          <t>Miami Gardens</t>
        </is>
      </c>
      <c r="G11" s="194" t="inlineStr">
        <is>
          <t>FL</t>
        </is>
      </c>
      <c r="H11" s="194" t="inlineStr">
        <is>
          <t>33056</t>
        </is>
      </c>
      <c r="I11" s="194" t="inlineStr">
        <is>
          <t>4.1 mi</t>
        </is>
      </c>
      <c r="J11" s="194" t="inlineStr">
        <is>
          <t>$3,872</t>
        </is>
      </c>
      <c r="K11" s="194" t="inlineStr">
        <is>
          <t>$4,647</t>
        </is>
      </c>
      <c r="L11" s="194" t="inlineStr">
        <is>
          <t>$1,736</t>
        </is>
      </c>
      <c r="M11" s="190" t="inlineStr">
        <is>
          <t>Not Listed</t>
        </is>
      </c>
      <c r="N11" s="194" t="inlineStr">
        <is>
          <t>$4,645</t>
        </is>
      </c>
      <c r="O11" s="194" t="inlineStr">
        <is>
          <t>$5,575</t>
        </is>
      </c>
      <c r="P11" s="194" t="inlineStr">
        <is>
          <t>$2,376</t>
        </is>
      </c>
      <c r="Q11" s="190" t="inlineStr">
        <is>
          <t>Not Listed</t>
        </is>
      </c>
      <c r="R11" s="194" t="inlineStr">
        <is>
          <t>$5,162</t>
        </is>
      </c>
      <c r="S11" s="194" t="inlineStr">
        <is>
          <t>$6,195</t>
        </is>
      </c>
      <c r="T11" s="194" t="inlineStr">
        <is>
          <t>$3,044</t>
        </is>
      </c>
      <c r="U11" s="190" t="inlineStr">
        <is>
          <t>Not Listed</t>
        </is>
      </c>
      <c r="V11" s="194" t="inlineStr">
        <is>
          <t>60</t>
        </is>
      </c>
      <c r="W11" s="194" t="inlineStr">
        <is>
          <t>1967</t>
        </is>
      </c>
      <c r="X11" s="194" t="inlineStr">
        <is>
          <t>1</t>
        </is>
      </c>
      <c r="Y11" s="195" t="inlineStr">
        <is>
          <t>Yes</t>
        </is>
      </c>
      <c r="Z11" s="196" t="inlineStr">
        <is>
          <t>No</t>
        </is>
      </c>
      <c r="AA11" s="196" t="inlineStr">
        <is>
          <t>No</t>
        </is>
      </c>
      <c r="AB11" s="196" t="inlineStr">
        <is>
          <t>No</t>
        </is>
      </c>
      <c r="AC11" s="196" t="inlineStr">
        <is>
          <t>No</t>
        </is>
      </c>
      <c r="AD11" s="197" t="inlineStr">
        <is>
          <t>HIGH</t>
        </is>
      </c>
      <c r="AE11" s="198" t="inlineStr">
        <is>
          <t>Section 8/HUD, 1967 vintage, 60 units, 4.1 mi. Income-restricted.</t>
        </is>
      </c>
      <c r="AF11" s="199" t="inlineStr">
        <is>
          <t>HUD Multifamily Assisted Housing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North Miami HA - Arch Creek Apts</t>
        </is>
      </c>
      <c r="D12" s="365" t="n"/>
      <c r="E12" s="194" t="inlineStr">
        <is>
          <t>1800 NE 135th St</t>
        </is>
      </c>
      <c r="F12" s="194" t="inlineStr">
        <is>
          <t>North Miami</t>
        </is>
      </c>
      <c r="G12" s="194" t="inlineStr">
        <is>
          <t>FL</t>
        </is>
      </c>
      <c r="H12" s="194" t="inlineStr">
        <is>
          <t>33161</t>
        </is>
      </c>
      <c r="I12" s="194" t="inlineStr">
        <is>
          <t>6.8 mi</t>
        </is>
      </c>
      <c r="J12" s="194" t="inlineStr">
        <is>
          <t>$3,872</t>
        </is>
      </c>
      <c r="K12" s="194" t="inlineStr">
        <is>
          <t>$4,647</t>
        </is>
      </c>
      <c r="L12" s="194" t="inlineStr">
        <is>
          <t>$1,736</t>
        </is>
      </c>
      <c r="M12" s="190" t="inlineStr">
        <is>
          <t>Not Listed</t>
        </is>
      </c>
      <c r="N12" s="194" t="inlineStr">
        <is>
          <t>$4,645</t>
        </is>
      </c>
      <c r="O12" s="194" t="inlineStr">
        <is>
          <t>$5,575</t>
        </is>
      </c>
      <c r="P12" s="194" t="inlineStr">
        <is>
          <t>$2,376</t>
        </is>
      </c>
      <c r="Q12" s="190" t="inlineStr">
        <is>
          <t>Not Listed</t>
        </is>
      </c>
      <c r="R12" s="194" t="inlineStr">
        <is>
          <t>$5,162</t>
        </is>
      </c>
      <c r="S12" s="194" t="inlineStr">
        <is>
          <t>$6,195</t>
        </is>
      </c>
      <c r="T12" s="194" t="inlineStr">
        <is>
          <t>$3,044</t>
        </is>
      </c>
      <c r="U12" s="190" t="inlineStr">
        <is>
          <t>Not Listed</t>
        </is>
      </c>
      <c r="V12" s="194" t="inlineStr">
        <is>
          <t>68</t>
        </is>
      </c>
      <c r="W12" s="194" t="inlineStr">
        <is>
          <t>1969</t>
        </is>
      </c>
      <c r="X12" s="194" t="inlineStr">
        <is>
          <t>1</t>
        </is>
      </c>
      <c r="Y12" s="195" t="inlineStr">
        <is>
          <t>Yes</t>
        </is>
      </c>
      <c r="Z12" s="196" t="inlineStr">
        <is>
          <t>No</t>
        </is>
      </c>
      <c r="AA12" s="196" t="inlineStr">
        <is>
          <t>No</t>
        </is>
      </c>
      <c r="AB12" s="196" t="inlineStr">
        <is>
          <t>No</t>
        </is>
      </c>
      <c r="AC12" s="196" t="inlineStr">
        <is>
          <t>No</t>
        </is>
      </c>
      <c r="AD12" s="200" t="inlineStr">
        <is>
          <t>MODERATE-HIGH</t>
        </is>
      </c>
      <c r="AE12" s="198" t="inlineStr">
        <is>
          <t>Public Housing/HUD, 1969 vintage, 68 units, 6.8 mi. Income-restricted.</t>
        </is>
      </c>
      <c r="AF12" s="199" t="inlineStr">
        <is>
          <t>HUD Multifamily Assisted Housing</t>
        </is>
      </c>
    </row>
    <row r="13" ht="24.7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Sherbondy Villas</t>
        </is>
      </c>
      <c r="D13" s="253" t="inlineStr">
        <is>
          <t>COMPETITION</t>
        </is>
      </c>
      <c r="E13" s="205" t="inlineStr">
        <is>
          <t>200 S Perviz Ave</t>
        </is>
      </c>
      <c r="F13" s="206" t="inlineStr">
        <is>
          <t>Opa Locka</t>
        </is>
      </c>
      <c r="G13" s="206" t="inlineStr">
        <is>
          <t>FL</t>
        </is>
      </c>
      <c r="H13" s="206" t="inlineStr">
        <is>
          <t>33054</t>
        </is>
      </c>
      <c r="I13" s="207" t="inlineStr">
        <is>
          <t>1.2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$1,736</t>
        </is>
      </c>
      <c r="M13" s="370" t="inlineStr">
        <is>
          <t>Phone Verify</t>
        </is>
      </c>
      <c r="N13" s="209" t="inlineStr">
        <is>
          <t>N/A</t>
        </is>
      </c>
      <c r="O13" s="209" t="inlineStr">
        <is>
          <t>N/A</t>
        </is>
      </c>
      <c r="P13" s="209" t="inlineStr">
        <is>
          <t>$2,376</t>
        </is>
      </c>
      <c r="Q13" s="219" t="inlineStr">
        <is>
          <t>Phone Verify</t>
        </is>
      </c>
      <c r="R13" s="209" t="inlineStr">
        <is>
          <t>N/A</t>
        </is>
      </c>
      <c r="S13" s="209" t="inlineStr">
        <is>
          <t>N/A</t>
        </is>
      </c>
      <c r="T13" s="209" t="inlineStr">
        <is>
          <t>$3,044</t>
        </is>
      </c>
      <c r="U13" s="219" t="inlineStr">
        <is>
          <t>Phone Verify</t>
        </is>
      </c>
      <c r="V13" s="207" t="inlineStr">
        <is>
          <t>32</t>
        </is>
      </c>
      <c r="W13" s="207" t="inlineStr">
        <is>
          <t>1967</t>
        </is>
      </c>
      <c r="X13" s="207" t="inlineStr">
        <is>
          <t>1</t>
        </is>
      </c>
      <c r="Y13" s="254" t="inlineStr">
        <is>
          <t>No</t>
        </is>
      </c>
      <c r="Z13" s="254" t="inlineStr">
        <is>
          <t>No</t>
        </is>
      </c>
      <c r="AA13" s="254" t="inlineStr">
        <is>
          <t>No</t>
        </is>
      </c>
      <c r="AB13" s="254" t="inlineStr">
        <is>
          <t>No</t>
        </is>
      </c>
      <c r="AC13" s="254" t="inlineStr">
        <is>
          <t>No</t>
        </is>
      </c>
      <c r="AD13" s="212" t="inlineStr">
        <is>
          <t>HIGH</t>
        </is>
      </c>
      <c r="AE13" s="213" t="inlineStr">
        <is>
          <t>PHONE VERIFY — rents not published online. Call (305) 685-5551.</t>
        </is>
      </c>
      <c r="AF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Oak Enclave</t>
        </is>
      </c>
      <c r="D14" s="371" t="n"/>
      <c r="E14" s="205" t="inlineStr">
        <is>
          <t>2301 NW 167th St</t>
        </is>
      </c>
      <c r="F14" s="206" t="inlineStr">
        <is>
          <t>Miami Gardens</t>
        </is>
      </c>
      <c r="G14" s="206" t="inlineStr">
        <is>
          <t>FL</t>
        </is>
      </c>
      <c r="H14" s="206" t="inlineStr">
        <is>
          <t>33056</t>
        </is>
      </c>
      <c r="I14" s="207" t="inlineStr">
        <is>
          <t>3.1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$1,736</t>
        </is>
      </c>
      <c r="M14" s="370" t="n">
        <v>1850</v>
      </c>
      <c r="N14" s="209" t="inlineStr">
        <is>
          <t>N/A</t>
        </is>
      </c>
      <c r="O14" s="209" t="inlineStr">
        <is>
          <t>N/A</t>
        </is>
      </c>
      <c r="P14" s="209" t="inlineStr">
        <is>
          <t>$2,376</t>
        </is>
      </c>
      <c r="Q14" s="370" t="n">
        <v>2250</v>
      </c>
      <c r="R14" s="209" t="inlineStr">
        <is>
          <t>N/A</t>
        </is>
      </c>
      <c r="S14" s="209" t="inlineStr">
        <is>
          <t>N/A</t>
        </is>
      </c>
      <c r="T14" s="209" t="inlineStr">
        <is>
          <t>$3,044</t>
        </is>
      </c>
      <c r="U14" s="219" t="n">
        <v>2585</v>
      </c>
      <c r="V14" s="207" t="inlineStr">
        <is>
          <t>N/A</t>
        </is>
      </c>
      <c r="W14" s="207" t="inlineStr">
        <is>
          <t>2024</t>
        </is>
      </c>
      <c r="X14" s="207" t="inlineStr">
        <is>
          <t>56</t>
        </is>
      </c>
      <c r="Y14" s="254" t="inlineStr">
        <is>
          <t>No</t>
        </is>
      </c>
      <c r="Z14" s="255" t="inlineStr">
        <is>
          <t>Yes</t>
        </is>
      </c>
      <c r="AA14" s="254" t="inlineStr">
        <is>
          <t>No</t>
        </is>
      </c>
      <c r="AB14" s="255" t="inlineStr">
        <is>
          <t>Yes</t>
        </is>
      </c>
      <c r="AC14" s="254" t="inlineStr">
        <is>
          <t>No</t>
        </is>
      </c>
      <c r="AD14" s="212" t="inlineStr">
        <is>
          <t>HIGH</t>
        </is>
      </c>
      <c r="AE14" s="213" t="inlineStr">
        <is>
          <t>Conventional market-rate. 1BD $1,850+. 2BD $2,250+. 3BD $2,585+.</t>
        </is>
      </c>
      <c r="AF14" s="214" t="inlineStr">
        <is>
          <t>Apartments.com (Aug 4, 2026)</t>
        </is>
      </c>
    </row>
    <row r="15" ht="25.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Emerald Bay</t>
        </is>
      </c>
      <c r="D15" s="371" t="n"/>
      <c r="E15" s="205" t="inlineStr">
        <is>
          <t>8570 W 40th Ave</t>
        </is>
      </c>
      <c r="F15" s="206" t="inlineStr">
        <is>
          <t>Hialeah</t>
        </is>
      </c>
      <c r="G15" s="206" t="inlineStr">
        <is>
          <t>FL</t>
        </is>
      </c>
      <c r="H15" s="206" t="inlineStr">
        <is>
          <t>33018</t>
        </is>
      </c>
      <c r="I15" s="207" t="inlineStr">
        <is>
          <t>4.2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$1,736</t>
        </is>
      </c>
      <c r="M15" s="370" t="n">
        <v>2250</v>
      </c>
      <c r="N15" s="209" t="inlineStr">
        <is>
          <t>N/A</t>
        </is>
      </c>
      <c r="O15" s="209" t="inlineStr">
        <is>
          <t>N/A</t>
        </is>
      </c>
      <c r="P15" s="209" t="inlineStr">
        <is>
          <t>$2,376</t>
        </is>
      </c>
      <c r="Q15" s="370" t="n">
        <v>2650</v>
      </c>
      <c r="R15" s="209" t="inlineStr">
        <is>
          <t>N/A</t>
        </is>
      </c>
      <c r="S15" s="209" t="inlineStr">
        <is>
          <t>N/A</t>
        </is>
      </c>
      <c r="T15" s="209" t="inlineStr">
        <is>
          <t>$3,044</t>
        </is>
      </c>
      <c r="U15" s="370" t="n">
        <v>2950</v>
      </c>
      <c r="V15" s="207" t="inlineStr">
        <is>
          <t>N/A</t>
        </is>
      </c>
      <c r="W15" s="207" t="inlineStr">
        <is>
          <t>Various</t>
        </is>
      </c>
      <c r="X15" s="207" t="inlineStr">
        <is>
          <t>N/A</t>
        </is>
      </c>
      <c r="Y15" s="254" t="inlineStr">
        <is>
          <t>Varies</t>
        </is>
      </c>
      <c r="Z15" s="254" t="inlineStr">
        <is>
          <t>Varies</t>
        </is>
      </c>
      <c r="AA15" s="254" t="inlineStr">
        <is>
          <t>Varies</t>
        </is>
      </c>
      <c r="AB15" s="254" t="inlineStr">
        <is>
          <t>Varies</t>
        </is>
      </c>
      <c r="AC15" s="254" t="inlineStr">
        <is>
          <t>Varies</t>
        </is>
      </c>
      <c r="AD15" s="256" t="inlineStr">
        <is>
          <t>MODERATE-HIGH</t>
        </is>
      </c>
      <c r="AE15" s="213" t="inlineStr">
        <is>
          <t>Conventional market-rate. 1BD $2,250. 2BD $2,650+. 3BD $2,950+.</t>
        </is>
      </c>
      <c r="AF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Glorieta Gardens</t>
        </is>
      </c>
      <c r="D16" s="371" t="n"/>
      <c r="E16" s="205" t="inlineStr">
        <is>
          <t>13800 NW 22nd Ave</t>
        </is>
      </c>
      <c r="F16" s="206" t="inlineStr">
        <is>
          <t>Opa Locka</t>
        </is>
      </c>
      <c r="G16" s="206" t="inlineStr">
        <is>
          <t>FL</t>
        </is>
      </c>
      <c r="H16" s="206" t="inlineStr">
        <is>
          <t>33054</t>
        </is>
      </c>
      <c r="I16" s="207" t="inlineStr">
        <is>
          <t>0.8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$1,736</t>
        </is>
      </c>
      <c r="M16" s="370" t="n">
        <v>1300</v>
      </c>
      <c r="N16" s="209" t="inlineStr">
        <is>
          <t>N/A</t>
        </is>
      </c>
      <c r="O16" s="209" t="inlineStr">
        <is>
          <t>N/A</t>
        </is>
      </c>
      <c r="P16" s="209" t="inlineStr">
        <is>
          <t>$2,376</t>
        </is>
      </c>
      <c r="Q16" s="370" t="n">
        <v>1600</v>
      </c>
      <c r="R16" s="209" t="inlineStr">
        <is>
          <t>N/A</t>
        </is>
      </c>
      <c r="S16" s="209" t="inlineStr">
        <is>
          <t>N/A</t>
        </is>
      </c>
      <c r="T16" s="209" t="inlineStr">
        <is>
          <t>$3,044</t>
        </is>
      </c>
      <c r="U16" s="370" t="n">
        <v>2000</v>
      </c>
      <c r="V16" s="207" t="inlineStr">
        <is>
          <t>N/A</t>
        </is>
      </c>
      <c r="W16" s="207" t="inlineStr">
        <is>
          <t>N/A</t>
        </is>
      </c>
      <c r="X16" s="207" t="inlineStr">
        <is>
          <t>N/A</t>
        </is>
      </c>
      <c r="Y16" s="254" t="inlineStr">
        <is>
          <t>N/A</t>
        </is>
      </c>
      <c r="Z16" s="254" t="inlineStr">
        <is>
          <t>N/A</t>
        </is>
      </c>
      <c r="AA16" s="254" t="inlineStr">
        <is>
          <t>N/A</t>
        </is>
      </c>
      <c r="AB16" s="254" t="inlineStr">
        <is>
          <t>No</t>
        </is>
      </c>
      <c r="AC16" s="254" t="inlineStr">
        <is>
          <t>No</t>
        </is>
      </c>
      <c r="AD16" s="212" t="inlineStr">
        <is>
          <t>HIGH</t>
        </is>
      </c>
      <c r="AE16" s="213" t="inlineStr">
        <is>
          <t>Income-restricted — affordable benchmark only.</t>
        </is>
      </c>
      <c r="AF16" s="214" t="inlineStr">
        <is>
          <t>Apartments.com (Aug 4, 2026)</t>
        </is>
      </c>
    </row>
    <row r="17" ht="29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Lakeview at NoMi</t>
        </is>
      </c>
      <c r="D17" s="371" t="n"/>
      <c r="E17" s="205" t="inlineStr">
        <is>
          <t>1800 NE 123rd St</t>
        </is>
      </c>
      <c r="F17" s="206" t="inlineStr">
        <is>
          <t>North Miami</t>
        </is>
      </c>
      <c r="G17" s="206" t="inlineStr">
        <is>
          <t>FL</t>
        </is>
      </c>
      <c r="H17" s="206" t="inlineStr">
        <is>
          <t>33181</t>
        </is>
      </c>
      <c r="I17" s="207" t="inlineStr">
        <is>
          <t>7.5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$1,736</t>
        </is>
      </c>
      <c r="M17" s="370" t="inlineStr">
        <is>
          <t>Phone Verify</t>
        </is>
      </c>
      <c r="N17" s="209" t="inlineStr">
        <is>
          <t>N/A</t>
        </is>
      </c>
      <c r="O17" s="209" t="inlineStr">
        <is>
          <t>N/A</t>
        </is>
      </c>
      <c r="P17" s="209" t="inlineStr">
        <is>
          <t>$2,376</t>
        </is>
      </c>
      <c r="Q17" s="370" t="inlineStr">
        <is>
          <t>Phone Verify</t>
        </is>
      </c>
      <c r="R17" s="209" t="inlineStr">
        <is>
          <t>N/A</t>
        </is>
      </c>
      <c r="S17" s="209" t="inlineStr">
        <is>
          <t>N/A</t>
        </is>
      </c>
      <c r="T17" s="209" t="inlineStr">
        <is>
          <t>$3,044</t>
        </is>
      </c>
      <c r="U17" s="219" t="inlineStr">
        <is>
          <t>Phone Verify</t>
        </is>
      </c>
      <c r="V17" s="207" t="inlineStr">
        <is>
          <t>N/A</t>
        </is>
      </c>
      <c r="W17" s="207" t="inlineStr">
        <is>
          <t>2020</t>
        </is>
      </c>
      <c r="X17" s="207" t="inlineStr">
        <is>
          <t>52</t>
        </is>
      </c>
      <c r="Y17" s="254" t="inlineStr">
        <is>
          <t>No</t>
        </is>
      </c>
      <c r="Z17" s="255" t="inlineStr">
        <is>
          <t>Yes</t>
        </is>
      </c>
      <c r="AA17" s="255" t="inlineStr">
        <is>
          <t>Yes</t>
        </is>
      </c>
      <c r="AB17" s="255" t="inlineStr">
        <is>
          <t>Yes</t>
        </is>
      </c>
      <c r="AC17" s="255" t="inlineStr">
        <is>
          <t>Yes</t>
        </is>
      </c>
      <c r="AD17" s="212" t="inlineStr">
        <is>
          <t>HIGH</t>
        </is>
      </c>
      <c r="AE17" s="213" t="inlineStr">
        <is>
          <t>PHONE VERIFY — rents not consistently published online. Call property directly.</t>
        </is>
      </c>
      <c r="AF17" s="214" t="inlineStr">
        <is>
          <t>Apartments.com (Aug 4, 2026)</t>
        </is>
      </c>
    </row>
    <row r="18" ht="28.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Mosaic Apartments</t>
        </is>
      </c>
      <c r="D18" s="372" t="n"/>
      <c r="E18" s="205" t="inlineStr">
        <is>
          <t>13800 NW 22nd Ave</t>
        </is>
      </c>
      <c r="F18" s="206" t="inlineStr">
        <is>
          <t>Opa Locka</t>
        </is>
      </c>
      <c r="G18" s="206" t="inlineStr">
        <is>
          <t>FL</t>
        </is>
      </c>
      <c r="H18" s="206" t="inlineStr">
        <is>
          <t>33054</t>
        </is>
      </c>
      <c r="I18" s="207" t="inlineStr">
        <is>
          <t>0.8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$1,736</t>
        </is>
      </c>
      <c r="M18" s="370" t="inlineStr">
        <is>
          <t>No 1BD</t>
        </is>
      </c>
      <c r="N18" s="209" t="inlineStr">
        <is>
          <t>N/A</t>
        </is>
      </c>
      <c r="O18" s="209" t="inlineStr">
        <is>
          <t>N/A</t>
        </is>
      </c>
      <c r="P18" s="209" t="inlineStr">
        <is>
          <t>$2,376</t>
        </is>
      </c>
      <c r="Q18" s="370" t="inlineStr">
        <is>
          <t>No 2BD</t>
        </is>
      </c>
      <c r="R18" s="209" t="inlineStr">
        <is>
          <t>N/A</t>
        </is>
      </c>
      <c r="S18" s="209" t="inlineStr">
        <is>
          <t>N/A</t>
        </is>
      </c>
      <c r="T18" s="209" t="inlineStr">
        <is>
          <t>$3,044</t>
        </is>
      </c>
      <c r="U18" s="370" t="n">
        <v>2550</v>
      </c>
      <c r="V18" s="207" t="inlineStr">
        <is>
          <t>N/A</t>
        </is>
      </c>
      <c r="W18" s="207" t="n">
        <v>2024</v>
      </c>
      <c r="X18" s="207" t="inlineStr">
        <is>
          <t>50</t>
        </is>
      </c>
      <c r="Y18" s="254" t="inlineStr">
        <is>
          <t>No</t>
        </is>
      </c>
      <c r="Z18" s="255" t="inlineStr">
        <is>
          <t>Yes</t>
        </is>
      </c>
      <c r="AA18" s="255" t="inlineStr">
        <is>
          <t>Yes</t>
        </is>
      </c>
      <c r="AB18" s="255" t="inlineStr">
        <is>
          <t>Yes</t>
        </is>
      </c>
      <c r="AC18" s="254" t="inlineStr">
        <is>
          <t>No</t>
        </is>
      </c>
      <c r="AD18" s="212" t="inlineStr">
        <is>
          <t>HIGH</t>
        </is>
      </c>
      <c r="AE18" s="213" t="inlineStr">
        <is>
          <t>No 1BD or 2BD units offered — 3BD only. Col 21 verified from listing.</t>
        </is>
      </c>
      <c r="AF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Miami-Dade County</t>
        </is>
      </c>
      <c r="D19" s="365" t="n"/>
      <c r="E19" s="220" t="inlineStr">
        <is>
          <t>N/A</t>
        </is>
      </c>
      <c r="F19" s="220" t="inlineStr">
        <is>
          <t>Opa Locka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$1,736</t>
        </is>
      </c>
      <c r="K19" s="220" t="inlineStr">
        <is>
          <t>$1,736</t>
        </is>
      </c>
      <c r="L19" s="220" t="inlineStr">
        <is>
          <t>$1,736</t>
        </is>
      </c>
      <c r="M19" s="220" t="inlineStr">
        <is>
          <t>N/A</t>
        </is>
      </c>
      <c r="N19" s="220" t="inlineStr">
        <is>
          <t>$2,376</t>
        </is>
      </c>
      <c r="O19" s="220" t="inlineStr">
        <is>
          <t>$2,376</t>
        </is>
      </c>
      <c r="P19" s="220" t="inlineStr">
        <is>
          <t>$2,376</t>
        </is>
      </c>
      <c r="Q19" s="220" t="inlineStr">
        <is>
          <t>N/A</t>
        </is>
      </c>
      <c r="R19" s="220" t="inlineStr">
        <is>
          <t>$3,044</t>
        </is>
      </c>
      <c r="S19" s="220" t="inlineStr">
        <is>
          <t>$3,044</t>
        </is>
      </c>
      <c r="T19" s="220" t="inlineStr">
        <is>
          <t>$3,044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20" t="inlineStr">
        <is>
          <t>N/A</t>
        </is>
      </c>
      <c r="AA19" s="220" t="inlineStr">
        <is>
          <t>N/A</t>
        </is>
      </c>
      <c r="AB19" s="220" t="inlineStr">
        <is>
          <t>N/A</t>
        </is>
      </c>
      <c r="AC19" s="220" t="inlineStr">
        <is>
          <t>N/A</t>
        </is>
      </c>
      <c r="AD19" s="202" t="inlineStr">
        <is>
          <t>BENCHMARK</t>
        </is>
      </c>
      <c r="AE19" s="224" t="inlineStr">
        <is>
          <t>HUD FMR for Miami-Dade County, FL, FY2026. 40th percentile rent.</t>
        </is>
      </c>
      <c r="AF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Opa Locka/Miami Gardens (Aug 2026)</t>
        </is>
      </c>
      <c r="D20" s="365" t="n"/>
      <c r="E20" s="226" t="inlineStr">
        <is>
          <t>N/A</t>
        </is>
      </c>
      <c r="F20" s="226" t="inlineStr">
        <is>
          <t>Opa Locka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$1,723</t>
        </is>
      </c>
      <c r="K20" s="226" t="inlineStr">
        <is>
          <t>$1,723</t>
        </is>
      </c>
      <c r="L20" s="226" t="inlineStr">
        <is>
          <t>$1,723</t>
        </is>
      </c>
      <c r="M20" s="229" t="inlineStr">
        <is>
          <t>$1,800</t>
        </is>
      </c>
      <c r="N20" s="226" t="inlineStr">
        <is>
          <t>$2,148</t>
        </is>
      </c>
      <c r="O20" s="226" t="inlineStr">
        <is>
          <t>$2,148</t>
        </is>
      </c>
      <c r="P20" s="226" t="inlineStr">
        <is>
          <t>$2,148</t>
        </is>
      </c>
      <c r="Q20" s="229" t="inlineStr">
        <is>
          <t>$2,167</t>
        </is>
      </c>
      <c r="R20" s="226" t="inlineStr">
        <is>
          <t>$2,589</t>
        </is>
      </c>
      <c r="S20" s="226" t="inlineStr">
        <is>
          <t>$2,589</t>
        </is>
      </c>
      <c r="T20" s="226" t="inlineStr">
        <is>
          <t>$2,589</t>
        </is>
      </c>
      <c r="U20" s="229" t="inlineStr">
        <is>
          <t>$2,521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26" t="inlineStr">
        <is>
          <t>N/A</t>
        </is>
      </c>
      <c r="AA20" s="226" t="inlineStr">
        <is>
          <t>N/A</t>
        </is>
      </c>
      <c r="AB20" s="226" t="inlineStr">
        <is>
          <t>N/A</t>
        </is>
      </c>
      <c r="AC20" s="226" t="inlineStr">
        <is>
          <t>N/A</t>
        </is>
      </c>
      <c r="AD20" s="202" t="inlineStr">
        <is>
          <t>BENCHMARK</t>
        </is>
      </c>
      <c r="AE20" s="230" t="inlineStr">
        <is>
          <t>Live Market Avg from verified comps only, Aug 4, 2026. 1BD/2BD avg $1,800 / 2BD/3BD/4BD avg $2,167 / 3BD/4BD avg $2,521.</t>
        </is>
      </c>
      <c r="AF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235" t="inlineStr">
        <is>
          <t>1BD</t>
        </is>
      </c>
      <c r="B27" s="373">
        <f>'Current Rents'!D14</f>
        <v/>
      </c>
      <c r="C27" s="377" t="n">
        <v>1800</v>
      </c>
      <c r="D27" s="273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235" t="inlineStr">
        <is>
          <t>2BD</t>
        </is>
      </c>
      <c r="B28" s="373">
        <f>'Current Rents'!E14</f>
        <v/>
      </c>
      <c r="C28" s="377" t="n">
        <v>2167</v>
      </c>
      <c r="D28" s="273" t="n"/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235" t="inlineStr">
        <is>
          <t>3BD</t>
        </is>
      </c>
      <c r="B29" s="373">
        <f>'Current Rents'!F14</f>
        <v/>
      </c>
      <c r="C29" s="377" t="n">
        <v>2521</v>
      </c>
      <c r="D29" s="273" t="n"/>
      <c r="E29" s="379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C11:D11"/>
    <mergeCell ref="A25:H25"/>
    <mergeCell ref="A24:H24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topLeftCell="A1"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.00390625" customWidth="1" style="273" min="1" max="1"/>
    <col width="18.421875" customWidth="1" style="273" min="2" max="2"/>
    <col width="37.28125" customWidth="1" style="273" min="3" max="3"/>
    <col width="3.57421875" customWidth="1" style="273" min="4" max="4"/>
    <col width="25.7109375" customWidth="1" style="273" min="5" max="5"/>
    <col width="18.7109375" customWidth="1" style="273" min="6" max="6"/>
    <col width="6.28125" customWidth="1" style="273" min="7" max="8"/>
    <col width="9.421875" customWidth="1" style="273" min="9" max="9"/>
    <col hidden="1" width="6.8515625" customWidth="1" style="273" min="10" max="11"/>
    <col hidden="1" width="5.28125" customWidth="1" style="273" min="12" max="12"/>
    <col width="18.57421875" customWidth="1" style="274" min="13" max="13"/>
    <col hidden="1" width="6.8515625" customWidth="1" style="273" min="14" max="15"/>
    <col hidden="1" width="5.28125" customWidth="1" style="273" min="16" max="16"/>
    <col width="19.00390625" customWidth="1" style="274" min="17" max="17"/>
    <col width="9.28125" customWidth="1" style="273" min="18" max="25"/>
    <col width="26.421875" customWidth="1" style="273" min="26" max="26"/>
    <col width="59.8515625" customWidth="1" style="273" min="27" max="27"/>
    <col width="48.140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260" t="n"/>
      <c r="N1" s="4" t="n"/>
      <c r="O1" s="4" t="n"/>
      <c r="P1" s="4" t="n"/>
      <c r="Q1" s="260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260" t="n"/>
      <c r="N2" s="4" t="n"/>
      <c r="O2" s="4" t="n"/>
      <c r="P2" s="4" t="n"/>
      <c r="Q2" s="260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163" t="inlineStr">
        <is>
          <t>RENT COMPARABLES ANALYSIS  —  MACEDONIA  |  PANAMA CITY, FL 32405</t>
        </is>
      </c>
      <c r="B3" s="364" t="n"/>
      <c r="C3" s="364" t="n"/>
      <c r="D3" s="364" t="n"/>
      <c r="E3" s="364" t="n"/>
      <c r="F3" s="364" t="n"/>
      <c r="G3" s="364" t="n"/>
      <c r="H3" s="364" t="n"/>
      <c r="I3" s="364" t="n"/>
      <c r="J3" s="364" t="n"/>
      <c r="K3" s="364" t="n"/>
      <c r="L3" s="364" t="n"/>
      <c r="M3" s="364" t="n"/>
      <c r="N3" s="364" t="n"/>
      <c r="O3" s="364" t="n"/>
      <c r="P3" s="364" t="n"/>
      <c r="Q3" s="364" t="n"/>
      <c r="R3" s="364" t="n"/>
      <c r="S3" s="364" t="n"/>
      <c r="T3" s="364" t="n"/>
      <c r="U3" s="364" t="n"/>
      <c r="V3" s="364" t="n"/>
      <c r="W3" s="364" t="n"/>
      <c r="X3" s="364" t="n"/>
      <c r="Y3" s="365" t="n"/>
      <c r="Z3" s="262" t="inlineStr">
        <is>
          <t xml:space="preserve">14 - Macedonia  |  100 Units  |  LIHTC / Section 8  |  2BD &amp; 3BD  </t>
        </is>
      </c>
      <c r="AA3" s="364" t="n"/>
      <c r="AB3" s="365" t="n"/>
    </row>
    <row r="4" ht="18" customFormat="1" customHeight="1" s="273">
      <c r="A4" s="241" t="inlineStr">
        <is>
          <t>3101 E 15th St, Panama City, FL 32405  |  Bay County  |  Panama City MSA</t>
        </is>
      </c>
      <c r="B4" s="364" t="n"/>
      <c r="C4" s="364" t="n"/>
      <c r="D4" s="364" t="n"/>
      <c r="E4" s="364" t="n"/>
      <c r="F4" s="364" t="n"/>
      <c r="G4" s="364" t="n"/>
      <c r="H4" s="364" t="n"/>
      <c r="I4" s="364" t="n"/>
      <c r="J4" s="364" t="n"/>
      <c r="K4" s="364" t="n"/>
      <c r="L4" s="364" t="n"/>
      <c r="M4" s="364" t="n"/>
      <c r="N4" s="364" t="n"/>
      <c r="O4" s="364" t="n"/>
      <c r="P4" s="364" t="n"/>
      <c r="Q4" s="364" t="n"/>
      <c r="R4" s="364" t="n"/>
      <c r="S4" s="364" t="n"/>
      <c r="T4" s="364" t="n"/>
      <c r="U4" s="364" t="n"/>
      <c r="V4" s="364" t="n"/>
      <c r="W4" s="364" t="n"/>
      <c r="X4" s="364" t="n"/>
      <c r="Y4" s="364" t="n"/>
      <c r="Z4" s="364" t="n"/>
      <c r="AA4" s="364" t="n"/>
      <c r="AB4" s="365" t="n"/>
    </row>
    <row r="5" ht="14.25" customFormat="1" customHeight="1" s="273">
      <c r="A5" s="170" t="inlineStr">
        <is>
          <t>Data as of April 30, 2026  |  Sources: Apartments.com, HUD FMR Database, Apartment Corp Records</t>
        </is>
      </c>
      <c r="B5" s="364" t="n"/>
      <c r="C5" s="364" t="n"/>
      <c r="D5" s="364" t="n"/>
      <c r="E5" s="364" t="n"/>
      <c r="F5" s="364" t="n"/>
      <c r="G5" s="364" t="n"/>
      <c r="H5" s="364" t="n"/>
      <c r="I5" s="364" t="n"/>
      <c r="J5" s="364" t="n"/>
      <c r="K5" s="364" t="n"/>
      <c r="L5" s="364" t="n"/>
      <c r="M5" s="364" t="n"/>
      <c r="N5" s="364" t="n"/>
      <c r="O5" s="364" t="n"/>
      <c r="P5" s="364" t="n"/>
      <c r="Q5" s="364" t="n"/>
      <c r="R5" s="364" t="n"/>
      <c r="S5" s="364" t="n"/>
      <c r="T5" s="364" t="n"/>
      <c r="U5" s="364" t="n"/>
      <c r="V5" s="364" t="n"/>
      <c r="W5" s="364" t="n"/>
      <c r="X5" s="364" t="n"/>
      <c r="Y5" s="364" t="n"/>
      <c r="Z5" s="364" t="n"/>
      <c r="AA5" s="364" t="n"/>
      <c r="AB5" s="365" t="n"/>
    </row>
    <row r="6" ht="25.5" customFormat="1" customHeight="1" s="273">
      <c r="A6" s="263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4" t="n"/>
      <c r="Y6" s="364" t="n"/>
      <c r="Z6" s="364" t="n"/>
      <c r="AA6" s="364" t="n"/>
      <c r="AB6" s="365" t="n"/>
    </row>
    <row r="7" ht="25.5" customFormat="1" customHeight="1" s="273">
      <c r="A7" s="243" t="inlineStr">
        <is>
          <t>Rank</t>
        </is>
      </c>
      <c r="B7" s="243" t="inlineStr">
        <is>
          <t>Type</t>
        </is>
      </c>
      <c r="C7" s="243" t="inlineStr">
        <is>
          <t>Property Name</t>
        </is>
      </c>
      <c r="D7" s="365" t="n"/>
      <c r="E7" s="243" t="inlineStr">
        <is>
          <t>Address</t>
        </is>
      </c>
      <c r="F7" s="243" t="inlineStr">
        <is>
          <t>City</t>
        </is>
      </c>
      <c r="G7" s="244" t="inlineStr">
        <is>
          <t>St</t>
        </is>
      </c>
      <c r="H7" s="244" t="inlineStr">
        <is>
          <t>ZIP</t>
        </is>
      </c>
      <c r="I7" s="244" t="inlineStr">
        <is>
          <t>Distance</t>
        </is>
      </c>
      <c r="J7" s="244" t="inlineStr">
        <is>
          <t>2BD
50% AMI</t>
        </is>
      </c>
      <c r="K7" s="244" t="inlineStr">
        <is>
          <t>2BD
60% AMI</t>
        </is>
      </c>
      <c r="L7" s="244" t="inlineStr">
        <is>
          <t>2BD
FMR</t>
        </is>
      </c>
      <c r="M7" s="264" t="inlineStr">
        <is>
          <t>2BD - 
Actual</t>
        </is>
      </c>
      <c r="N7" s="265" t="inlineStr">
        <is>
          <t>3BD
50% AMI</t>
        </is>
      </c>
      <c r="O7" s="265" t="inlineStr">
        <is>
          <t>3BD
60% AMI</t>
        </is>
      </c>
      <c r="P7" s="265" t="inlineStr">
        <is>
          <t>3BD
FMR</t>
        </is>
      </c>
      <c r="Q7" s="264" t="inlineStr">
        <is>
          <t>3BD -
Actual</t>
        </is>
      </c>
      <c r="R7" s="247" t="inlineStr">
        <is>
          <t>Units</t>
        </is>
      </c>
      <c r="S7" s="247" t="inlineStr">
        <is>
          <t>Yr Built</t>
        </is>
      </c>
      <c r="T7" s="247" t="inlineStr">
        <is>
          <t>Yr Diff</t>
        </is>
      </c>
      <c r="U7" s="247" t="inlineStr">
        <is>
          <t>Utils
Incl.</t>
        </is>
      </c>
      <c r="V7" s="247" t="inlineStr">
        <is>
          <t>Pet
Friendly</t>
        </is>
      </c>
      <c r="W7" s="247" t="inlineStr">
        <is>
          <t>Gated</t>
        </is>
      </c>
      <c r="X7" s="247" t="inlineStr">
        <is>
          <t>Pool</t>
        </is>
      </c>
      <c r="Y7" s="247" t="inlineStr">
        <is>
          <t>W/D
In-Unit</t>
        </is>
      </c>
      <c r="Z7" s="248" t="inlineStr">
        <is>
          <t>Competition Level</t>
        </is>
      </c>
      <c r="AA7" s="249" t="inlineStr">
        <is>
          <t>Notes / Why Competitive</t>
        </is>
      </c>
      <c r="AB7" s="249" t="inlineStr">
        <is>
          <t>Data Source</t>
        </is>
      </c>
    </row>
    <row r="8" ht="21.75" customFormat="1" customHeight="1" s="273">
      <c r="A8" s="180" t="inlineStr">
        <is>
          <t>★</t>
        </is>
      </c>
      <c r="B8" s="181" t="inlineStr">
        <is>
          <t>SUBJECT</t>
        </is>
      </c>
      <c r="C8" s="250" t="inlineStr">
        <is>
          <t>Macedonia (SUBJECT)</t>
        </is>
      </c>
      <c r="D8" s="365" t="n"/>
      <c r="E8" s="183" t="inlineStr">
        <is>
          <t>3101 E 15th St</t>
        </is>
      </c>
      <c r="F8" s="183" t="inlineStr">
        <is>
          <t>Panama City</t>
        </is>
      </c>
      <c r="G8" s="183" t="inlineStr">
        <is>
          <t>FL</t>
        </is>
      </c>
      <c r="H8" s="183" t="inlineStr">
        <is>
          <t>32405</t>
        </is>
      </c>
      <c r="I8" s="183" t="inlineStr">
        <is>
          <t>0.0 mi</t>
        </is>
      </c>
      <c r="J8" s="183" t="inlineStr">
        <is>
          <t>$3,529</t>
        </is>
      </c>
      <c r="K8" s="183" t="inlineStr">
        <is>
          <t>$4,235</t>
        </is>
      </c>
      <c r="L8" s="183" t="inlineStr">
        <is>
          <t>$1,426</t>
        </is>
      </c>
      <c r="M8" s="380">
        <f>'Current Rents'!E15</f>
        <v/>
      </c>
      <c r="N8" s="183" t="inlineStr">
        <is>
          <t>$3,920</t>
        </is>
      </c>
      <c r="O8" s="183" t="inlineStr">
        <is>
          <t>$4,705</t>
        </is>
      </c>
      <c r="P8" s="183" t="inlineStr">
        <is>
          <t>$1,818</t>
        </is>
      </c>
      <c r="Q8" s="380">
        <f>'Current Rents'!F15</f>
        <v/>
      </c>
      <c r="R8" s="183" t="inlineStr">
        <is>
          <t>100</t>
        </is>
      </c>
      <c r="S8" s="183" t="inlineStr">
        <is>
          <t>1969</t>
        </is>
      </c>
      <c r="T8" s="183" t="inlineStr">
        <is>
          <t>0</t>
        </is>
      </c>
      <c r="U8" s="186" t="inlineStr">
        <is>
          <t>Yes</t>
        </is>
      </c>
      <c r="V8" s="187" t="inlineStr">
        <is>
          <t>No</t>
        </is>
      </c>
      <c r="W8" s="187" t="inlineStr">
        <is>
          <t>No</t>
        </is>
      </c>
      <c r="X8" s="187" t="inlineStr">
        <is>
          <t>No</t>
        </is>
      </c>
      <c r="Y8" s="187" t="inlineStr">
        <is>
          <t>No</t>
        </is>
      </c>
      <c r="Z8" s="181" t="inlineStr">
        <is>
          <t>SUBJECT</t>
        </is>
      </c>
      <c r="AA8" s="188" t="inlineStr">
        <is>
          <t>100 units | LIHTC/Section 8. Year built: 1969. Subject property.</t>
        </is>
      </c>
      <c r="AB8" s="189" t="inlineStr">
        <is>
          <t>Apartment Corp Records</t>
        </is>
      </c>
    </row>
    <row r="9" ht="21.75" customFormat="1" customHeight="1" s="273">
      <c r="A9" s="190" t="inlineStr">
        <is>
          <t>1</t>
        </is>
      </c>
      <c r="B9" s="251" t="inlineStr">
        <is>
          <t>AFFORDABLE</t>
        </is>
      </c>
      <c r="C9" s="192" t="inlineStr">
        <is>
          <t>Bay County Housing Authority</t>
        </is>
      </c>
      <c r="D9" s="365" t="n"/>
      <c r="E9" s="194" t="inlineStr">
        <is>
          <t>2300 E 11th St</t>
        </is>
      </c>
      <c r="F9" s="194" t="inlineStr">
        <is>
          <t>Panama City</t>
        </is>
      </c>
      <c r="G9" s="194" t="inlineStr">
        <is>
          <t>FL</t>
        </is>
      </c>
      <c r="H9" s="194" t="inlineStr">
        <is>
          <t>32401</t>
        </is>
      </c>
      <c r="I9" s="194" t="inlineStr">
        <is>
          <t>3.2 mi</t>
        </is>
      </c>
      <c r="J9" s="194" t="inlineStr">
        <is>
          <t>$3,529</t>
        </is>
      </c>
      <c r="K9" s="194" t="inlineStr">
        <is>
          <t>$4,235</t>
        </is>
      </c>
      <c r="L9" s="194" t="inlineStr">
        <is>
          <t>$1,426</t>
        </is>
      </c>
      <c r="M9" s="267" t="inlineStr">
        <is>
          <t>Not Listed</t>
        </is>
      </c>
      <c r="N9" s="194" t="inlineStr">
        <is>
          <t>$3,920</t>
        </is>
      </c>
      <c r="O9" s="194" t="inlineStr">
        <is>
          <t>$4,705</t>
        </is>
      </c>
      <c r="P9" s="194" t="inlineStr">
        <is>
          <t>$1,818</t>
        </is>
      </c>
      <c r="Q9" s="267" t="inlineStr">
        <is>
          <t>Not Listed</t>
        </is>
      </c>
      <c r="R9" s="194" t="inlineStr">
        <is>
          <t>100</t>
        </is>
      </c>
      <c r="S9" s="194" t="inlineStr">
        <is>
          <t>1969</t>
        </is>
      </c>
      <c r="T9" s="194" t="inlineStr">
        <is>
          <t>0</t>
        </is>
      </c>
      <c r="U9" s="195" t="inlineStr">
        <is>
          <t>Yes</t>
        </is>
      </c>
      <c r="V9" s="196" t="inlineStr">
        <is>
          <t>No</t>
        </is>
      </c>
      <c r="W9" s="196" t="inlineStr">
        <is>
          <t>No</t>
        </is>
      </c>
      <c r="X9" s="196" t="inlineStr">
        <is>
          <t>No</t>
        </is>
      </c>
      <c r="Y9" s="196" t="inlineStr">
        <is>
          <t>No</t>
        </is>
      </c>
      <c r="Z9" s="268" t="inlineStr">
        <is>
          <t>HIGH</t>
        </is>
      </c>
      <c r="AA9" s="198" t="inlineStr">
        <is>
          <t>Public Housing/HUD, 1969 vintage, 100 units, 3.2 mi. Income-restricted.</t>
        </is>
      </c>
      <c r="AB9" s="199" t="inlineStr">
        <is>
          <t>Bay County Housing Authority</t>
        </is>
      </c>
    </row>
    <row r="10" ht="21.75" customFormat="1" customHeight="1" s="273">
      <c r="A10" s="190" t="inlineStr">
        <is>
          <t>2</t>
        </is>
      </c>
      <c r="B10" s="251" t="inlineStr">
        <is>
          <t>AFFORDABLE</t>
        </is>
      </c>
      <c r="C10" s="192" t="inlineStr">
        <is>
          <t>Pensacola HA - Attucks Court</t>
        </is>
      </c>
      <c r="D10" s="365" t="n"/>
      <c r="E10" s="194" t="inlineStr">
        <is>
          <t>600 N Hayne St</t>
        </is>
      </c>
      <c r="F10" s="194" t="inlineStr">
        <is>
          <t>Pensacola</t>
        </is>
      </c>
      <c r="G10" s="194" t="inlineStr">
        <is>
          <t>FL</t>
        </is>
      </c>
      <c r="H10" s="194" t="inlineStr">
        <is>
          <t>32501</t>
        </is>
      </c>
      <c r="I10" s="194" t="inlineStr">
        <is>
          <t>95.0 mi</t>
        </is>
      </c>
      <c r="J10" s="194" t="inlineStr">
        <is>
          <t>$3,529</t>
        </is>
      </c>
      <c r="K10" s="194" t="inlineStr">
        <is>
          <t>$4,235</t>
        </is>
      </c>
      <c r="L10" s="194" t="inlineStr">
        <is>
          <t>$1,426</t>
        </is>
      </c>
      <c r="M10" s="267" t="inlineStr">
        <is>
          <t>Not Listed</t>
        </is>
      </c>
      <c r="N10" s="194" t="inlineStr">
        <is>
          <t>$3,920</t>
        </is>
      </c>
      <c r="O10" s="194" t="inlineStr">
        <is>
          <t>$4,705</t>
        </is>
      </c>
      <c r="P10" s="194" t="inlineStr">
        <is>
          <t>$1,818</t>
        </is>
      </c>
      <c r="Q10" s="267" t="inlineStr">
        <is>
          <t>Not Listed</t>
        </is>
      </c>
      <c r="R10" s="194" t="inlineStr">
        <is>
          <t>96</t>
        </is>
      </c>
      <c r="S10" s="194" t="inlineStr">
        <is>
          <t>1970</t>
        </is>
      </c>
      <c r="T10" s="194" t="inlineStr">
        <is>
          <t>1</t>
        </is>
      </c>
      <c r="U10" s="195" t="inlineStr">
        <is>
          <t>Yes</t>
        </is>
      </c>
      <c r="V10" s="196" t="inlineStr">
        <is>
          <t>No</t>
        </is>
      </c>
      <c r="W10" s="196" t="inlineStr">
        <is>
          <t>No</t>
        </is>
      </c>
      <c r="X10" s="196" t="inlineStr">
        <is>
          <t>No</t>
        </is>
      </c>
      <c r="Y10" s="196" t="inlineStr">
        <is>
          <t>No</t>
        </is>
      </c>
      <c r="Z10" s="269" t="inlineStr">
        <is>
          <t>LOW-MODERATE</t>
        </is>
      </c>
      <c r="AA10" s="198" t="inlineStr">
        <is>
          <t>Public Housing/HUD, 1970 vintage, 96 units, 95.0 mi.</t>
        </is>
      </c>
      <c r="AB10" s="199" t="inlineStr">
        <is>
          <t>Pensacola Housing Authority</t>
        </is>
      </c>
    </row>
    <row r="11" ht="21.75" customFormat="1" customHeight="1" s="273">
      <c r="A11" s="190" t="inlineStr">
        <is>
          <t>3</t>
        </is>
      </c>
      <c r="B11" s="251" t="inlineStr">
        <is>
          <t>AFFORDABLE</t>
        </is>
      </c>
      <c r="C11" s="192" t="inlineStr">
        <is>
          <t>Tallahassee HA - Bond Homes</t>
        </is>
      </c>
      <c r="D11" s="365" t="n"/>
      <c r="E11" s="194" t="inlineStr">
        <is>
          <t>1400 S Bronough St</t>
        </is>
      </c>
      <c r="F11" s="194" t="inlineStr">
        <is>
          <t>Tallahassee</t>
        </is>
      </c>
      <c r="G11" s="194" t="inlineStr">
        <is>
          <t>FL</t>
        </is>
      </c>
      <c r="H11" s="194" t="inlineStr">
        <is>
          <t>32301</t>
        </is>
      </c>
      <c r="I11" s="194" t="inlineStr">
        <is>
          <t>100.0 mi</t>
        </is>
      </c>
      <c r="J11" s="194" t="inlineStr">
        <is>
          <t>$3,529</t>
        </is>
      </c>
      <c r="K11" s="194" t="inlineStr">
        <is>
          <t>$4,235</t>
        </is>
      </c>
      <c r="L11" s="194" t="inlineStr">
        <is>
          <t>$1,426</t>
        </is>
      </c>
      <c r="M11" s="267" t="inlineStr">
        <is>
          <t>Not Listed</t>
        </is>
      </c>
      <c r="N11" s="194" t="inlineStr">
        <is>
          <t>$3,920</t>
        </is>
      </c>
      <c r="O11" s="194" t="inlineStr">
        <is>
          <t>$4,705</t>
        </is>
      </c>
      <c r="P11" s="194" t="inlineStr">
        <is>
          <t>$1,818</t>
        </is>
      </c>
      <c r="Q11" s="267" t="inlineStr">
        <is>
          <t>Not Listed</t>
        </is>
      </c>
      <c r="R11" s="194" t="inlineStr">
        <is>
          <t>104</t>
        </is>
      </c>
      <c r="S11" s="194" t="inlineStr">
        <is>
          <t>1968</t>
        </is>
      </c>
      <c r="T11" s="194" t="inlineStr">
        <is>
          <t>1</t>
        </is>
      </c>
      <c r="U11" s="195" t="inlineStr">
        <is>
          <t>Yes</t>
        </is>
      </c>
      <c r="V11" s="196" t="inlineStr">
        <is>
          <t>No</t>
        </is>
      </c>
      <c r="W11" s="196" t="inlineStr">
        <is>
          <t>No</t>
        </is>
      </c>
      <c r="X11" s="196" t="inlineStr">
        <is>
          <t>No</t>
        </is>
      </c>
      <c r="Y11" s="196" t="inlineStr">
        <is>
          <t>No</t>
        </is>
      </c>
      <c r="Z11" s="269" t="inlineStr">
        <is>
          <t>LOW-MODERATE</t>
        </is>
      </c>
      <c r="AA11" s="198" t="inlineStr">
        <is>
          <t>Public Housing/HUD, 1968 vintage, 104 units, 100.0 mi.</t>
        </is>
      </c>
      <c r="AB11" s="199" t="inlineStr">
        <is>
          <t>Tallahassee Housing Authority</t>
        </is>
      </c>
    </row>
    <row r="12" ht="21.75" customFormat="1" customHeight="1" s="273">
      <c r="A12" s="190" t="inlineStr">
        <is>
          <t>4</t>
        </is>
      </c>
      <c r="B12" s="251" t="inlineStr">
        <is>
          <t>AFFORDABLE</t>
        </is>
      </c>
      <c r="C12" s="192" t="inlineStr">
        <is>
          <t>Panama City Beach Housing Authority</t>
        </is>
      </c>
      <c r="D12" s="365" t="n"/>
      <c r="E12" s="194" t="inlineStr">
        <is>
          <t>800 Thomas Dr</t>
        </is>
      </c>
      <c r="F12" s="194" t="inlineStr">
        <is>
          <t>Panama City Beach</t>
        </is>
      </c>
      <c r="G12" s="194" t="inlineStr">
        <is>
          <t>FL</t>
        </is>
      </c>
      <c r="H12" s="194" t="inlineStr">
        <is>
          <t>32408</t>
        </is>
      </c>
      <c r="I12" s="194" t="inlineStr">
        <is>
          <t>8.5 mi</t>
        </is>
      </c>
      <c r="J12" s="194" t="inlineStr">
        <is>
          <t>$3,529</t>
        </is>
      </c>
      <c r="K12" s="194" t="inlineStr">
        <is>
          <t>$4,235</t>
        </is>
      </c>
      <c r="L12" s="194" t="inlineStr">
        <is>
          <t>$1,426</t>
        </is>
      </c>
      <c r="M12" s="267" t="inlineStr">
        <is>
          <t>Not Listed</t>
        </is>
      </c>
      <c r="N12" s="194" t="inlineStr">
        <is>
          <t>$3,920</t>
        </is>
      </c>
      <c r="O12" s="194" t="inlineStr">
        <is>
          <t>$4,705</t>
        </is>
      </c>
      <c r="P12" s="194" t="inlineStr">
        <is>
          <t>$1,818</t>
        </is>
      </c>
      <c r="Q12" s="267" t="inlineStr">
        <is>
          <t>Not Listed</t>
        </is>
      </c>
      <c r="R12" s="194" t="inlineStr">
        <is>
          <t>88</t>
        </is>
      </c>
      <c r="S12" s="194" t="inlineStr">
        <is>
          <t>1970</t>
        </is>
      </c>
      <c r="T12" s="194" t="inlineStr">
        <is>
          <t>1</t>
        </is>
      </c>
      <c r="U12" s="195" t="inlineStr">
        <is>
          <t>Yes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196" t="inlineStr">
        <is>
          <t>No</t>
        </is>
      </c>
      <c r="Z12" s="268" t="inlineStr">
        <is>
          <t>HIGH</t>
        </is>
      </c>
      <c r="AA12" s="198" t="inlineStr">
        <is>
          <t>Section 8/HUD, 1970 vintage, 88 units, 8.5 mi.</t>
        </is>
      </c>
      <c r="AB12" s="199" t="inlineStr">
        <is>
          <t>HUD Multifamily Assisted Housing</t>
        </is>
      </c>
    </row>
    <row r="13" ht="26.25" customFormat="1" customHeight="1" s="273">
      <c r="A13" s="201" t="inlineStr">
        <is>
          <t>1</t>
        </is>
      </c>
      <c r="B13" s="202" t="inlineStr">
        <is>
          <t>MARKET RATE</t>
        </is>
      </c>
      <c r="C13" s="215" t="inlineStr">
        <is>
          <t>Arbor Crossing at Mill Bayou</t>
        </is>
      </c>
      <c r="D13" s="253" t="inlineStr">
        <is>
          <t>COMPETITION</t>
        </is>
      </c>
      <c r="E13" s="205" t="inlineStr">
        <is>
          <t>198 Mill Bayou Blvd</t>
        </is>
      </c>
      <c r="F13" s="205" t="inlineStr">
        <is>
          <t>Panama City</t>
        </is>
      </c>
      <c r="G13" s="205" t="inlineStr">
        <is>
          <t>FL</t>
        </is>
      </c>
      <c r="H13" s="205" t="inlineStr">
        <is>
          <t>32405</t>
        </is>
      </c>
      <c r="I13" s="205" t="inlineStr">
        <is>
          <t>2.1 mi</t>
        </is>
      </c>
      <c r="J13" s="206" t="inlineStr">
        <is>
          <t>N/A</t>
        </is>
      </c>
      <c r="K13" s="206" t="inlineStr">
        <is>
          <t>N/A</t>
        </is>
      </c>
      <c r="L13" s="206" t="inlineStr">
        <is>
          <t>$1,426</t>
        </is>
      </c>
      <c r="M13" s="381" t="n">
        <v>1559</v>
      </c>
      <c r="N13" s="206" t="inlineStr">
        <is>
          <t>N/A</t>
        </is>
      </c>
      <c r="O13" s="206" t="inlineStr">
        <is>
          <t>N/A</t>
        </is>
      </c>
      <c r="P13" s="206" t="inlineStr">
        <is>
          <t>$1,818</t>
        </is>
      </c>
      <c r="Q13" s="381" t="n">
        <v>1799</v>
      </c>
      <c r="R13" s="205" t="inlineStr">
        <is>
          <t>N/A</t>
        </is>
      </c>
      <c r="S13" s="205" t="inlineStr">
        <is>
          <t>2024</t>
        </is>
      </c>
      <c r="T13" s="205" t="inlineStr">
        <is>
          <t>55</t>
        </is>
      </c>
      <c r="U13" s="210" t="inlineStr">
        <is>
          <t>No</t>
        </is>
      </c>
      <c r="V13" s="211" t="inlineStr">
        <is>
          <t>Yes</t>
        </is>
      </c>
      <c r="W13" s="211" t="inlineStr">
        <is>
          <t>Yes</t>
        </is>
      </c>
      <c r="X13" s="211" t="inlineStr">
        <is>
          <t>Yes</t>
        </is>
      </c>
      <c r="Y13" s="211" t="inlineStr">
        <is>
          <t>Yes</t>
        </is>
      </c>
      <c r="Z13" s="268" t="inlineStr">
        <is>
          <t>HIGH</t>
        </is>
      </c>
      <c r="AA13" s="213" t="inlineStr">
        <is>
          <t>2BD $1,559. 3BD $1,799.</t>
        </is>
      </c>
      <c r="AB13" s="214" t="inlineStr">
        <is>
          <t>Apartments.com (Aug 4, 2026)</t>
        </is>
      </c>
    </row>
    <row r="14" ht="26.25" customFormat="1" customHeight="1" s="273">
      <c r="A14" s="201" t="inlineStr">
        <is>
          <t>2</t>
        </is>
      </c>
      <c r="B14" s="202" t="inlineStr">
        <is>
          <t>MARKET RATE</t>
        </is>
      </c>
      <c r="C14" s="215" t="inlineStr">
        <is>
          <t>The Kelly at 23rd Luxury Apts</t>
        </is>
      </c>
      <c r="D14" s="371" t="n"/>
      <c r="E14" s="205" t="inlineStr">
        <is>
          <t>2002 Wilson Ave</t>
        </is>
      </c>
      <c r="F14" s="205" t="inlineStr">
        <is>
          <t>Panama City</t>
        </is>
      </c>
      <c r="G14" s="205" t="inlineStr">
        <is>
          <t>FL</t>
        </is>
      </c>
      <c r="H14" s="205" t="inlineStr">
        <is>
          <t>32405</t>
        </is>
      </c>
      <c r="I14" s="205" t="inlineStr">
        <is>
          <t>1.8 mi</t>
        </is>
      </c>
      <c r="J14" s="206" t="inlineStr">
        <is>
          <t>N/A</t>
        </is>
      </c>
      <c r="K14" s="206" t="inlineStr">
        <is>
          <t>N/A</t>
        </is>
      </c>
      <c r="L14" s="206" t="inlineStr">
        <is>
          <t>$1,426</t>
        </is>
      </c>
      <c r="M14" s="381" t="n">
        <v>1839</v>
      </c>
      <c r="N14" s="206" t="inlineStr">
        <is>
          <t>N/A</t>
        </is>
      </c>
      <c r="O14" s="206" t="inlineStr">
        <is>
          <t>N/A</t>
        </is>
      </c>
      <c r="P14" s="206" t="inlineStr">
        <is>
          <t>$1,818</t>
        </is>
      </c>
      <c r="Q14" s="381" t="n">
        <v>1850</v>
      </c>
      <c r="R14" s="205" t="inlineStr">
        <is>
          <t>N/A</t>
        </is>
      </c>
      <c r="S14" s="205" t="n">
        <v>2025</v>
      </c>
      <c r="T14" s="205" t="inlineStr">
        <is>
          <t>56</t>
        </is>
      </c>
      <c r="U14" s="210" t="inlineStr">
        <is>
          <t>No</t>
        </is>
      </c>
      <c r="V14" s="211" t="inlineStr">
        <is>
          <t>Yes</t>
        </is>
      </c>
      <c r="W14" s="211" t="inlineStr">
        <is>
          <t>Yes</t>
        </is>
      </c>
      <c r="X14" s="211" t="inlineStr">
        <is>
          <t>Yes</t>
        </is>
      </c>
      <c r="Y14" s="211" t="inlineStr">
        <is>
          <t>Yes</t>
        </is>
      </c>
      <c r="Z14" s="268" t="inlineStr">
        <is>
          <t>HIGH</t>
        </is>
      </c>
      <c r="AA14" s="213" t="inlineStr">
        <is>
          <t>2025 vintage. 2BD $1,839. 3BD $1,850.</t>
        </is>
      </c>
      <c r="AB14" s="214" t="inlineStr">
        <is>
          <t>Apartments.com (Aug 4, 2026)</t>
        </is>
      </c>
    </row>
    <row r="15" ht="26.25" customFormat="1" customHeight="1" s="273">
      <c r="A15" s="201" t="inlineStr">
        <is>
          <t>3</t>
        </is>
      </c>
      <c r="B15" s="202" t="inlineStr">
        <is>
          <t>MARKET RATE</t>
        </is>
      </c>
      <c r="C15" s="215" t="inlineStr">
        <is>
          <t>Residences at SweetBay</t>
        </is>
      </c>
      <c r="D15" s="371" t="n"/>
      <c r="E15" s="205" t="inlineStr">
        <is>
          <t>3100 Sweetbay Ave</t>
        </is>
      </c>
      <c r="F15" s="205" t="inlineStr">
        <is>
          <t>Panama City</t>
        </is>
      </c>
      <c r="G15" s="205" t="inlineStr">
        <is>
          <t>FL</t>
        </is>
      </c>
      <c r="H15" s="205" t="inlineStr">
        <is>
          <t>32408</t>
        </is>
      </c>
      <c r="I15" s="205" t="inlineStr">
        <is>
          <t>5.2 mi</t>
        </is>
      </c>
      <c r="J15" s="206" t="inlineStr">
        <is>
          <t>N/A</t>
        </is>
      </c>
      <c r="K15" s="206" t="inlineStr">
        <is>
          <t>N/A</t>
        </is>
      </c>
      <c r="L15" s="206" t="inlineStr">
        <is>
          <t>$1,426</t>
        </is>
      </c>
      <c r="M15" s="381" t="n">
        <v>1657</v>
      </c>
      <c r="N15" s="206" t="inlineStr">
        <is>
          <t>N/A</t>
        </is>
      </c>
      <c r="O15" s="206" t="inlineStr">
        <is>
          <t>N/A</t>
        </is>
      </c>
      <c r="P15" s="206" t="inlineStr">
        <is>
          <t>$1,818</t>
        </is>
      </c>
      <c r="Q15" s="381" t="n">
        <v>2159</v>
      </c>
      <c r="R15" s="205" t="inlineStr">
        <is>
          <t>N/A</t>
        </is>
      </c>
      <c r="S15" s="205" t="n">
        <v>2018</v>
      </c>
      <c r="T15" s="205" t="inlineStr">
        <is>
          <t>53</t>
        </is>
      </c>
      <c r="U15" s="210" t="inlineStr">
        <is>
          <t>No</t>
        </is>
      </c>
      <c r="V15" s="211" t="inlineStr">
        <is>
          <t>Yes</t>
        </is>
      </c>
      <c r="W15" s="211" t="inlineStr">
        <is>
          <t>Yes</t>
        </is>
      </c>
      <c r="X15" s="211" t="inlineStr">
        <is>
          <t>Yes</t>
        </is>
      </c>
      <c r="Y15" s="211" t="inlineStr">
        <is>
          <t>Yes</t>
        </is>
      </c>
      <c r="Z15" s="268" t="inlineStr">
        <is>
          <t>HIGH</t>
        </is>
      </c>
      <c r="AA15" s="213" t="inlineStr">
        <is>
          <t>2BD $1,544–$1,770. 3BD $2,159. 1 Mo Free.</t>
        </is>
      </c>
      <c r="AB15" s="214" t="inlineStr">
        <is>
          <t>Apartments.com (Aug 4, 2026)</t>
        </is>
      </c>
    </row>
    <row r="16" ht="26.25" customFormat="1" customHeight="1" s="273">
      <c r="A16" s="201" t="inlineStr">
        <is>
          <t>4</t>
        </is>
      </c>
      <c r="B16" s="202" t="inlineStr">
        <is>
          <t>MARKET RATE</t>
        </is>
      </c>
      <c r="C16" s="215" t="inlineStr">
        <is>
          <t>Exchange at North Bay</t>
        </is>
      </c>
      <c r="D16" s="371" t="n"/>
      <c r="E16" s="205" t="inlineStr">
        <is>
          <t>3625 Frankford Ave</t>
        </is>
      </c>
      <c r="F16" s="205" t="inlineStr">
        <is>
          <t>Panama City</t>
        </is>
      </c>
      <c r="G16" s="205" t="inlineStr">
        <is>
          <t>FL</t>
        </is>
      </c>
      <c r="H16" s="205" t="inlineStr">
        <is>
          <t>32405</t>
        </is>
      </c>
      <c r="I16" s="205" t="inlineStr">
        <is>
          <t>3.1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$1,426</t>
        </is>
      </c>
      <c r="M16" s="381" t="n">
        <v>1479</v>
      </c>
      <c r="N16" s="206" t="inlineStr">
        <is>
          <t>N/A</t>
        </is>
      </c>
      <c r="O16" s="206" t="inlineStr">
        <is>
          <t>N/A</t>
        </is>
      </c>
      <c r="P16" s="206" t="inlineStr">
        <is>
          <t>$1,818</t>
        </is>
      </c>
      <c r="Q16" s="381" t="n">
        <v>2059</v>
      </c>
      <c r="R16" s="205" t="inlineStr">
        <is>
          <t>N/A</t>
        </is>
      </c>
      <c r="S16" s="205" t="n">
        <v>2015</v>
      </c>
      <c r="T16" s="205" t="inlineStr">
        <is>
          <t>53</t>
        </is>
      </c>
      <c r="U16" s="210" t="inlineStr">
        <is>
          <t>No</t>
        </is>
      </c>
      <c r="V16" s="211" t="inlineStr">
        <is>
          <t>Yes</t>
        </is>
      </c>
      <c r="W16" s="211" t="inlineStr">
        <is>
          <t>Yes</t>
        </is>
      </c>
      <c r="X16" s="211" t="inlineStr">
        <is>
          <t>Yes</t>
        </is>
      </c>
      <c r="Y16" s="211" t="inlineStr">
        <is>
          <t>Yes</t>
        </is>
      </c>
      <c r="Z16" s="268" t="inlineStr">
        <is>
          <t>HIGH</t>
        </is>
      </c>
      <c r="AA16" s="213" t="inlineStr">
        <is>
          <t>2BD $1,479+. 3BD $2,059.</t>
        </is>
      </c>
      <c r="AB16" s="214" t="inlineStr">
        <is>
          <t>Apartments.com (Aug 4, 2026)</t>
        </is>
      </c>
    </row>
    <row r="17" ht="26.25" customFormat="1" customHeight="1" s="273">
      <c r="A17" s="201" t="inlineStr">
        <is>
          <t>5</t>
        </is>
      </c>
      <c r="B17" s="202" t="inlineStr">
        <is>
          <t>MARKET RATE</t>
        </is>
      </c>
      <c r="C17" s="215" t="inlineStr">
        <is>
          <t>Eagles Landing Luxury Apts</t>
        </is>
      </c>
      <c r="D17" s="371" t="n"/>
      <c r="E17" s="205" t="inlineStr">
        <is>
          <t>2870 Harrison Ave</t>
        </is>
      </c>
      <c r="F17" s="205" t="inlineStr">
        <is>
          <t>Panama City</t>
        </is>
      </c>
      <c r="G17" s="205" t="inlineStr">
        <is>
          <t>FL</t>
        </is>
      </c>
      <c r="H17" s="205" t="inlineStr">
        <is>
          <t>32405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$1,426</t>
        </is>
      </c>
      <c r="M17" s="381" t="n">
        <v>1509</v>
      </c>
      <c r="N17" s="206" t="inlineStr">
        <is>
          <t>N/A</t>
        </is>
      </c>
      <c r="O17" s="206" t="inlineStr">
        <is>
          <t>N/A</t>
        </is>
      </c>
      <c r="P17" s="206" t="inlineStr">
        <is>
          <t>$1,818</t>
        </is>
      </c>
      <c r="Q17" s="381" t="n">
        <v>1770</v>
      </c>
      <c r="R17" s="205" t="inlineStr">
        <is>
          <t>N/A</t>
        </is>
      </c>
      <c r="S17" s="205" t="n">
        <v>2010</v>
      </c>
      <c r="T17" s="205" t="inlineStr">
        <is>
          <t>24</t>
        </is>
      </c>
      <c r="U17" s="210" t="inlineStr">
        <is>
          <t>No</t>
        </is>
      </c>
      <c r="V17" s="211" t="inlineStr">
        <is>
          <t>Yes</t>
        </is>
      </c>
      <c r="W17" s="210" t="inlineStr">
        <is>
          <t>No</t>
        </is>
      </c>
      <c r="X17" s="211" t="inlineStr">
        <is>
          <t>Yes</t>
        </is>
      </c>
      <c r="Y17" s="210" t="inlineStr">
        <is>
          <t>No</t>
        </is>
      </c>
      <c r="Z17" s="268" t="inlineStr">
        <is>
          <t>HIGH</t>
        </is>
      </c>
      <c r="AA17" s="213" t="inlineStr">
        <is>
          <t>2BD $1,509. 3BD $1,770.</t>
        </is>
      </c>
      <c r="AB17" s="214" t="inlineStr">
        <is>
          <t>Apartments.com (Aug 4, 2026)</t>
        </is>
      </c>
    </row>
    <row r="18" ht="26.25" customFormat="1" customHeight="1" s="273">
      <c r="A18" s="201" t="inlineStr">
        <is>
          <t>6</t>
        </is>
      </c>
      <c r="B18" s="202" t="inlineStr">
        <is>
          <t>MARKET RATE</t>
        </is>
      </c>
      <c r="C18" s="215" t="inlineStr">
        <is>
          <t>The Enclave</t>
        </is>
      </c>
      <c r="D18" s="372" t="n"/>
      <c r="E18" s="205" t="inlineStr">
        <is>
          <t>2950 Harrison Ave</t>
        </is>
      </c>
      <c r="F18" s="205" t="inlineStr">
        <is>
          <t>Panama City</t>
        </is>
      </c>
      <c r="G18" s="205" t="inlineStr">
        <is>
          <t>FL</t>
        </is>
      </c>
      <c r="H18" s="205" t="inlineStr">
        <is>
          <t>32405</t>
        </is>
      </c>
      <c r="I18" s="205" t="inlineStr">
        <is>
          <t>1.6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$1,426</t>
        </is>
      </c>
      <c r="M18" s="381" t="n">
        <v>1692</v>
      </c>
      <c r="N18" s="206" t="inlineStr">
        <is>
          <t>N/A</t>
        </is>
      </c>
      <c r="O18" s="206" t="inlineStr">
        <is>
          <t>N/A</t>
        </is>
      </c>
      <c r="P18" s="206" t="inlineStr">
        <is>
          <t>$1,818</t>
        </is>
      </c>
      <c r="Q18" s="381" t="n">
        <v>1873</v>
      </c>
      <c r="R18" s="205" t="inlineStr">
        <is>
          <t>N/A</t>
        </is>
      </c>
      <c r="S18" s="205" t="n">
        <v>1993</v>
      </c>
      <c r="T18" s="205" t="inlineStr">
        <is>
          <t>24</t>
        </is>
      </c>
      <c r="U18" s="210" t="inlineStr">
        <is>
          <t>No</t>
        </is>
      </c>
      <c r="V18" s="211" t="inlineStr">
        <is>
          <t>Yes</t>
        </is>
      </c>
      <c r="W18" s="210" t="inlineStr">
        <is>
          <t>No</t>
        </is>
      </c>
      <c r="X18" s="211" t="inlineStr">
        <is>
          <t>Yes</t>
        </is>
      </c>
      <c r="Y18" s="210" t="inlineStr">
        <is>
          <t>No</t>
        </is>
      </c>
      <c r="Z18" s="268" t="inlineStr">
        <is>
          <t>HIGH</t>
        </is>
      </c>
      <c r="AA18" s="213" t="inlineStr">
        <is>
          <t>2BD $1,509–$1,875. 3BD $1,750–$1,995.</t>
        </is>
      </c>
      <c r="AB18" s="214" t="inlineStr">
        <is>
          <t>Apartments.com (Aug 4, 2026)</t>
        </is>
      </c>
    </row>
    <row r="19" ht="28.5" customFormat="1" customHeight="1" s="273">
      <c r="A19" s="220" t="inlineStr">
        <is>
          <t>—</t>
        </is>
      </c>
      <c r="B19" s="257" t="inlineStr">
        <is>
          <t>BENCHMARK</t>
        </is>
      </c>
      <c r="C19" s="222" t="inlineStr">
        <is>
          <t>FY2026 FMR — Bay County, FL</t>
        </is>
      </c>
      <c r="D19" s="365" t="n"/>
      <c r="E19" s="220" t="inlineStr">
        <is>
          <t>N/A</t>
        </is>
      </c>
      <c r="F19" s="220" t="inlineStr">
        <is>
          <t>Panama City</t>
        </is>
      </c>
      <c r="G19" s="220" t="inlineStr">
        <is>
          <t>FL</t>
        </is>
      </c>
      <c r="H19" s="220" t="inlineStr">
        <is>
          <t>N/A</t>
        </is>
      </c>
      <c r="I19" s="220" t="inlineStr">
        <is>
          <t>N/A</t>
        </is>
      </c>
      <c r="J19" s="220" t="inlineStr">
        <is>
          <t>$1,426</t>
        </is>
      </c>
      <c r="K19" s="220" t="inlineStr">
        <is>
          <t>$1,426</t>
        </is>
      </c>
      <c r="L19" s="220" t="inlineStr">
        <is>
          <t>$1,426</t>
        </is>
      </c>
      <c r="M19" s="271" t="inlineStr">
        <is>
          <t>N/A</t>
        </is>
      </c>
      <c r="N19" s="220" t="inlineStr">
        <is>
          <t>$1,818</t>
        </is>
      </c>
      <c r="O19" s="220" t="inlineStr">
        <is>
          <t>$1,818</t>
        </is>
      </c>
      <c r="P19" s="220" t="inlineStr">
        <is>
          <t>$1,818</t>
        </is>
      </c>
      <c r="Q19" s="271" t="inlineStr">
        <is>
          <t>N/A</t>
        </is>
      </c>
      <c r="R19" s="220" t="inlineStr">
        <is>
          <t>N/A</t>
        </is>
      </c>
      <c r="S19" s="220" t="inlineStr">
        <is>
          <t>N/A</t>
        </is>
      </c>
      <c r="T19" s="220" t="inlineStr">
        <is>
          <t>N/A</t>
        </is>
      </c>
      <c r="U19" s="220" t="inlineStr">
        <is>
          <t>N/A</t>
        </is>
      </c>
      <c r="V19" s="220" t="inlineStr">
        <is>
          <t>N/A</t>
        </is>
      </c>
      <c r="W19" s="220" t="inlineStr">
        <is>
          <t>N/A</t>
        </is>
      </c>
      <c r="X19" s="220" t="inlineStr">
        <is>
          <t>N/A</t>
        </is>
      </c>
      <c r="Y19" s="220" t="inlineStr">
        <is>
          <t>N/A</t>
        </is>
      </c>
      <c r="Z19" s="202" t="inlineStr">
        <is>
          <t>BENCHMARK</t>
        </is>
      </c>
      <c r="AA19" s="224" t="inlineStr">
        <is>
          <t>HUD FMR for Bay County (Panama City MSA), FL, FY2026. 40th percentile rent.</t>
        </is>
      </c>
      <c r="AB19" s="225" t="inlineStr">
        <is>
          <t>HUD FMR Database (huduser.gov)</t>
        </is>
      </c>
    </row>
    <row r="20" ht="34.5" customFormat="1" customHeight="1" s="273">
      <c r="A20" s="226" t="inlineStr">
        <is>
          <t>—</t>
        </is>
      </c>
      <c r="B20" s="257" t="inlineStr">
        <is>
          <t>BENCHMARK</t>
        </is>
      </c>
      <c r="C20" s="227" t="inlineStr">
        <is>
          <t>Metro Market Avg — Panama City (Aug 2026)</t>
        </is>
      </c>
      <c r="D20" s="365" t="n"/>
      <c r="E20" s="226" t="inlineStr">
        <is>
          <t>N/A</t>
        </is>
      </c>
      <c r="F20" s="226" t="inlineStr">
        <is>
          <t>Panama City</t>
        </is>
      </c>
      <c r="G20" s="226" t="inlineStr">
        <is>
          <t>FL</t>
        </is>
      </c>
      <c r="H20" s="226" t="inlineStr">
        <is>
          <t>N/A</t>
        </is>
      </c>
      <c r="I20" s="226" t="inlineStr">
        <is>
          <t>N/A</t>
        </is>
      </c>
      <c r="J20" s="226" t="inlineStr">
        <is>
          <t>$1,586</t>
        </is>
      </c>
      <c r="K20" s="226" t="inlineStr">
        <is>
          <t>$1,586</t>
        </is>
      </c>
      <c r="L20" s="226" t="inlineStr">
        <is>
          <t>$1,586</t>
        </is>
      </c>
      <c r="M20" s="272" t="inlineStr">
        <is>
          <t>$1,622</t>
        </is>
      </c>
      <c r="N20" s="226" t="inlineStr">
        <is>
          <t>$1,820</t>
        </is>
      </c>
      <c r="O20" s="226" t="inlineStr">
        <is>
          <t>$1,820</t>
        </is>
      </c>
      <c r="P20" s="226" t="inlineStr">
        <is>
          <t>$1,820</t>
        </is>
      </c>
      <c r="Q20" s="272" t="inlineStr">
        <is>
          <t>$1,918</t>
        </is>
      </c>
      <c r="R20" s="226" t="inlineStr">
        <is>
          <t>N/A</t>
        </is>
      </c>
      <c r="S20" s="226" t="inlineStr">
        <is>
          <t>N/A</t>
        </is>
      </c>
      <c r="T20" s="226" t="inlineStr">
        <is>
          <t>N/A</t>
        </is>
      </c>
      <c r="U20" s="226" t="inlineStr">
        <is>
          <t>N/A</t>
        </is>
      </c>
      <c r="V20" s="226" t="inlineStr">
        <is>
          <t>N/A</t>
        </is>
      </c>
      <c r="W20" s="226" t="inlineStr">
        <is>
          <t>N/A</t>
        </is>
      </c>
      <c r="X20" s="226" t="inlineStr">
        <is>
          <t>N/A</t>
        </is>
      </c>
      <c r="Y20" s="226" t="inlineStr">
        <is>
          <t>N/A</t>
        </is>
      </c>
      <c r="Z20" s="202" t="inlineStr">
        <is>
          <t>BENCHMARK</t>
        </is>
      </c>
      <c r="AA20" s="230" t="inlineStr">
        <is>
          <t>Live Market Avg from 6 comps, Aug 4, 2026. 2BD avg $1,622 / 3BD avg $1,918.</t>
        </is>
      </c>
      <c r="AB20" s="231" t="inlineStr">
        <is>
          <t>Apartments.com live data, Aug 4, 2026</t>
        </is>
      </c>
    </row>
    <row r="22" ht="14.25" customFormat="1" customHeight="1" s="273">
      <c r="A22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4" ht="18" customFormat="1" customHeight="1" s="273">
      <c r="A24" s="233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15.75" customFormat="1" customHeight="1" s="273">
      <c r="A25" s="234" t="inlineStr">
        <is>
          <t>Market Average = Avg of Actual Advertised Rents from 6 Market-Rate Comps (Apartments.com)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15.75" customFormat="1" customHeight="1" s="273">
      <c r="A26" s="24" t="n"/>
      <c r="B26" s="157" t="inlineStr">
        <is>
          <t>Current Rents</t>
        </is>
      </c>
      <c r="C26" s="157" t="inlineStr">
        <is>
          <t>Market Avg</t>
        </is>
      </c>
      <c r="D26" s="351" t="n"/>
      <c r="E26" s="157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 ht="20.25" customFormat="1" customHeight="1" s="273">
      <c r="A27" s="235" t="inlineStr">
        <is>
          <t>2BD</t>
        </is>
      </c>
      <c r="B27" s="373">
        <f>'Current Rents'!E15</f>
        <v/>
      </c>
      <c r="C27" s="374" t="n">
        <v>1622</v>
      </c>
      <c r="D27" s="375" t="n"/>
      <c r="E27" s="379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</row>
    <row r="28" ht="20.25" customFormat="1" customHeight="1" s="273">
      <c r="A28" s="235" t="inlineStr">
        <is>
          <t>3BD</t>
        </is>
      </c>
      <c r="B28" s="373">
        <f>'Current Rents'!F15</f>
        <v/>
      </c>
      <c r="C28" s="377" t="n">
        <v>1918</v>
      </c>
      <c r="E28" s="379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</row>
  </sheetData>
  <mergeCells count="20">
    <mergeCell ref="A24:H24"/>
    <mergeCell ref="A5:AB5"/>
    <mergeCell ref="Z3:AB3"/>
    <mergeCell ref="C26:D26"/>
    <mergeCell ref="A22:AB22"/>
    <mergeCell ref="A4:AB4"/>
    <mergeCell ref="C20:D20"/>
    <mergeCell ref="C10:D10"/>
    <mergeCell ref="A25:H25"/>
    <mergeCell ref="C9:D9"/>
    <mergeCell ref="C12:D12"/>
    <mergeCell ref="D13:D18"/>
    <mergeCell ref="C11:D11"/>
    <mergeCell ref="C27:D27"/>
    <mergeCell ref="A6:AB6"/>
    <mergeCell ref="C8:D8"/>
    <mergeCell ref="C7:D7"/>
    <mergeCell ref="C19:D19"/>
    <mergeCell ref="C28:D28"/>
    <mergeCell ref="A3:Y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1875" customWidth="1" style="273" min="1" max="1"/>
    <col width="16.7109375" customWidth="1" style="273" min="2" max="2"/>
    <col width="33.57421875" customWidth="1" style="273" min="3" max="3"/>
    <col width="4.140625" customWidth="1" style="273" min="4" max="4"/>
    <col width="26.57421875" customWidth="1" style="273" min="5" max="5"/>
    <col width="14.28125" customWidth="1" style="273" min="6" max="6"/>
    <col width="6.28125" customWidth="1" style="273" min="7" max="8"/>
    <col width="9.140625" customWidth="1" style="273" min="9" max="9"/>
    <col hidden="1" width="6.8515625" customWidth="1" style="273" min="10" max="11"/>
    <col hidden="1" width="5.28125" customWidth="1" style="273" min="12" max="12"/>
    <col width="17.140625" customWidth="1" style="273" min="13" max="13"/>
    <col hidden="1" width="6.8515625" customWidth="1" style="273" min="14" max="15"/>
    <col hidden="1" width="5.28125" customWidth="1" style="273" min="16" max="16"/>
    <col width="13.5742187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140625" customWidth="1" style="273" min="21" max="21"/>
    <col width="6.8515625" customWidth="1" style="273" min="22" max="22"/>
    <col width="5.28125" customWidth="1" style="273" min="23" max="23"/>
    <col width="4.140625" customWidth="1" style="273" min="24" max="24"/>
    <col width="6.00390625" customWidth="1" style="273" min="25" max="25"/>
    <col width="23.28125" customWidth="1" style="273" min="26" max="26"/>
    <col width="56.28125" customWidth="1" style="273" min="27" max="27"/>
    <col width="46.851562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21.7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</row>
    <row r="4" ht="21.7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  <c r="AU4" s="4" t="n"/>
      <c r="AV4" s="4" t="n"/>
      <c r="AW4" s="4" t="n"/>
      <c r="AX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8" ht="8.25" customFormat="1" customHeight="1" s="273"/>
    <row r="9" ht="36" customFormat="1" customHeight="1" s="273">
      <c r="A9" s="163" t="inlineStr">
        <is>
          <t>RENT COMPARABLES ANALYSIS  —  CORAL VILLAGE  |  CAPE CORAL, FL 33990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48 - Coral Village  |  72 Units  |  Section 8 / HUD  |  1BD &amp; 2BD</t>
        </is>
      </c>
      <c r="AA9" s="364" t="n"/>
      <c r="AB9" s="365" t="n"/>
    </row>
    <row r="10" ht="18" customFormat="1" customHeight="1" s="273">
      <c r="A10" s="241" t="inlineStr">
        <is>
          <t>Cape Coral, FL 33990  |  Lee County  |  Cape Coral-Fort Myers MSA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8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8" t="inlineStr">
        <is>
          <t>2BD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Coral Village (SUBJECT)</t>
        </is>
      </c>
      <c r="D14" s="365" t="n"/>
      <c r="E14" s="183" t="inlineStr">
        <is>
          <t>Cape Coral</t>
        </is>
      </c>
      <c r="F14" s="183" t="inlineStr">
        <is>
          <t>Cape Coral</t>
        </is>
      </c>
      <c r="G14" s="183" t="inlineStr">
        <is>
          <t>FL</t>
        </is>
      </c>
      <c r="H14" s="183" t="inlineStr">
        <is>
          <t>33990</t>
        </is>
      </c>
      <c r="I14" s="183" t="inlineStr">
        <is>
          <t>0.0 mi</t>
        </is>
      </c>
      <c r="J14" s="183" t="inlineStr">
        <is>
          <t>$3,193</t>
        </is>
      </c>
      <c r="K14" s="183" t="inlineStr">
        <is>
          <t>$3,832</t>
        </is>
      </c>
      <c r="L14" s="183" t="inlineStr">
        <is>
          <t>$1,371</t>
        </is>
      </c>
      <c r="M14" s="369">
        <f>'Current Rents'!D16</f>
        <v/>
      </c>
      <c r="N14" s="183" t="inlineStr">
        <is>
          <t>$3,829</t>
        </is>
      </c>
      <c r="O14" s="183" t="inlineStr">
        <is>
          <t>$4,595</t>
        </is>
      </c>
      <c r="P14" s="183" t="inlineStr">
        <is>
          <t>$1,876</t>
        </is>
      </c>
      <c r="Q14" s="369">
        <f>'Current Rents'!E16</f>
        <v/>
      </c>
      <c r="R14" s="183" t="inlineStr">
        <is>
          <t>72</t>
        </is>
      </c>
      <c r="S14" s="183" t="inlineStr">
        <is>
          <t>1999</t>
        </is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6" t="inlineStr">
        <is>
          <t>Yes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72 units | Section 8/HUD. Year built: 1999.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Brittany II</t>
        </is>
      </c>
      <c r="D15" s="365" t="n"/>
      <c r="E15" s="194" t="inlineStr">
        <is>
          <t>4050 Winkler Ave Ext</t>
        </is>
      </c>
      <c r="F15" s="194" t="inlineStr">
        <is>
          <t>Fort Myers</t>
        </is>
      </c>
      <c r="G15" s="194" t="inlineStr">
        <is>
          <t>FL</t>
        </is>
      </c>
      <c r="H15" s="194" t="inlineStr">
        <is>
          <t>33916</t>
        </is>
      </c>
      <c r="I15" s="194" t="inlineStr">
        <is>
          <t>8.0 mi</t>
        </is>
      </c>
      <c r="J15" s="194" t="inlineStr">
        <is>
          <t>$3,193</t>
        </is>
      </c>
      <c r="K15" s="194" t="inlineStr">
        <is>
          <t>$3,832</t>
        </is>
      </c>
      <c r="L15" s="194" t="inlineStr">
        <is>
          <t>$1,371</t>
        </is>
      </c>
      <c r="M15" s="190" t="inlineStr">
        <is>
          <t>Not Listed</t>
        </is>
      </c>
      <c r="N15" s="194" t="inlineStr">
        <is>
          <t>$3,829</t>
        </is>
      </c>
      <c r="O15" s="194" t="inlineStr">
        <is>
          <t>$4,595</t>
        </is>
      </c>
      <c r="P15" s="194" t="inlineStr">
        <is>
          <t>$1,876</t>
        </is>
      </c>
      <c r="Q15" s="190" t="inlineStr">
        <is>
          <t>Not Listed</t>
        </is>
      </c>
      <c r="R15" s="194" t="inlineStr">
        <is>
          <t>112</t>
        </is>
      </c>
      <c r="S15" s="194" t="inlineStr">
        <is>
          <t>2000</t>
        </is>
      </c>
      <c r="T15" s="194" t="inlineStr">
        <is>
          <t>1</t>
        </is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LIHTC, 2000 vintage, 112 units, 8.0 mi. Income-restricted.</t>
        </is>
      </c>
      <c r="AB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Brittany</t>
        </is>
      </c>
      <c r="D16" s="365" t="n"/>
      <c r="E16" s="194" t="inlineStr">
        <is>
          <t>4054 Winkler Ave</t>
        </is>
      </c>
      <c r="F16" s="194" t="inlineStr">
        <is>
          <t>Fort Myers</t>
        </is>
      </c>
      <c r="G16" s="194" t="inlineStr">
        <is>
          <t>FL</t>
        </is>
      </c>
      <c r="H16" s="194" t="inlineStr">
        <is>
          <t>33916</t>
        </is>
      </c>
      <c r="I16" s="194" t="inlineStr">
        <is>
          <t>7.9 mi</t>
        </is>
      </c>
      <c r="J16" s="194" t="inlineStr">
        <is>
          <t>$3,193</t>
        </is>
      </c>
      <c r="K16" s="194" t="inlineStr">
        <is>
          <t>$3,832</t>
        </is>
      </c>
      <c r="L16" s="194" t="inlineStr">
        <is>
          <t>$1,371</t>
        </is>
      </c>
      <c r="M16" s="190" t="inlineStr">
        <is>
          <t>Not Listed</t>
        </is>
      </c>
      <c r="N16" s="194" t="inlineStr">
        <is>
          <t>$3,829</t>
        </is>
      </c>
      <c r="O16" s="194" t="inlineStr">
        <is>
          <t>$4,595</t>
        </is>
      </c>
      <c r="P16" s="194" t="inlineStr">
        <is>
          <t>$1,876</t>
        </is>
      </c>
      <c r="Q16" s="190" t="inlineStr">
        <is>
          <t>Not Listed</t>
        </is>
      </c>
      <c r="R16" s="194" t="inlineStr">
        <is>
          <t>208</t>
        </is>
      </c>
      <c r="S16" s="194" t="inlineStr">
        <is>
          <t>1999</t>
        </is>
      </c>
      <c r="T16" s="194" t="inlineStr">
        <is>
          <t>0</t>
        </is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LIHTC, 1999 vintage, 208 units, 7.9 mi. Income-restricted.</t>
        </is>
      </c>
      <c r="AB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Crossings at Cape Coral</t>
        </is>
      </c>
      <c r="D17" s="365" t="n"/>
      <c r="E17" s="194" t="inlineStr">
        <is>
          <t>1150 Hancock Crk Blvd</t>
        </is>
      </c>
      <c r="F17" s="194" t="inlineStr">
        <is>
          <t>Cape Coral</t>
        </is>
      </c>
      <c r="G17" s="194" t="inlineStr">
        <is>
          <t>FL</t>
        </is>
      </c>
      <c r="H17" s="194" t="inlineStr">
        <is>
          <t>33909</t>
        </is>
      </c>
      <c r="I17" s="194" t="inlineStr">
        <is>
          <t>7.7 mi</t>
        </is>
      </c>
      <c r="J17" s="194" t="inlineStr">
        <is>
          <t>$3,193</t>
        </is>
      </c>
      <c r="K17" s="194" t="inlineStr">
        <is>
          <t>$3,832</t>
        </is>
      </c>
      <c r="L17" s="194" t="inlineStr">
        <is>
          <t>$1,371</t>
        </is>
      </c>
      <c r="M17" s="190" t="inlineStr">
        <is>
          <t>Not Listed</t>
        </is>
      </c>
      <c r="N17" s="194" t="inlineStr">
        <is>
          <t>$3,829</t>
        </is>
      </c>
      <c r="O17" s="194" t="inlineStr">
        <is>
          <t>$4,595</t>
        </is>
      </c>
      <c r="P17" s="194" t="inlineStr">
        <is>
          <t>$1,876</t>
        </is>
      </c>
      <c r="Q17" s="378" t="n">
        <v>1224</v>
      </c>
      <c r="R17" s="194" t="inlineStr">
        <is>
          <t>168</t>
        </is>
      </c>
      <c r="S17" s="194" t="inlineStr">
        <is>
          <t>2000</t>
        </is>
      </c>
      <c r="T17" s="194" t="inlineStr">
        <is>
          <t>1</t>
        </is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LIHTC, 2000 vintage, 168 units, 7.7 mi. Income-restricted.</t>
        </is>
      </c>
      <c r="AB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Westchase</t>
        </is>
      </c>
      <c r="D18" s="365" t="n"/>
      <c r="E18" s="194" t="inlineStr">
        <is>
          <t>3810 Metro Pkwy</t>
        </is>
      </c>
      <c r="F18" s="194" t="inlineStr">
        <is>
          <t>Fort Myers</t>
        </is>
      </c>
      <c r="G18" s="194" t="inlineStr">
        <is>
          <t>FL</t>
        </is>
      </c>
      <c r="H18" s="194" t="inlineStr">
        <is>
          <t>33916</t>
        </is>
      </c>
      <c r="I18" s="194" t="inlineStr">
        <is>
          <t>6.8 mi</t>
        </is>
      </c>
      <c r="J18" s="194" t="inlineStr">
        <is>
          <t>$3,193</t>
        </is>
      </c>
      <c r="K18" s="194" t="inlineStr">
        <is>
          <t>$3,832</t>
        </is>
      </c>
      <c r="L18" s="194" t="inlineStr">
        <is>
          <t>$1,371</t>
        </is>
      </c>
      <c r="M18" s="190" t="inlineStr">
        <is>
          <t>Not Listed</t>
        </is>
      </c>
      <c r="N18" s="194" t="inlineStr">
        <is>
          <t>$3,829</t>
        </is>
      </c>
      <c r="O18" s="194" t="inlineStr">
        <is>
          <t>$4,595</t>
        </is>
      </c>
      <c r="P18" s="194" t="inlineStr">
        <is>
          <t>$1,876</t>
        </is>
      </c>
      <c r="Q18" s="190" t="inlineStr">
        <is>
          <t>Not Listed</t>
        </is>
      </c>
      <c r="R18" s="194" t="inlineStr">
        <is>
          <t>352</t>
        </is>
      </c>
      <c r="S18" s="194" t="inlineStr">
        <is>
          <t>1999</t>
        </is>
      </c>
      <c r="T18" s="194" t="inlineStr">
        <is>
          <t>0</t>
        </is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LIHTC, 1999 vintage, 352 units, 6.8 mi. Income-restricted.</t>
        </is>
      </c>
      <c r="AB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Cape at Savona Point</t>
        </is>
      </c>
      <c r="D19" s="253" t="inlineStr">
        <is>
          <t>COMPETITION</t>
        </is>
      </c>
      <c r="E19" s="205" t="inlineStr">
        <is>
          <t>1730 Savona Point Cir</t>
        </is>
      </c>
      <c r="F19" s="205" t="inlineStr">
        <is>
          <t>Cape Coral</t>
        </is>
      </c>
      <c r="G19" s="205" t="inlineStr">
        <is>
          <t>FL</t>
        </is>
      </c>
      <c r="H19" s="205" t="inlineStr">
        <is>
          <t>33991</t>
        </is>
      </c>
      <c r="I19" s="205" t="inlineStr">
        <is>
          <t>3.2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$1,371</t>
        </is>
      </c>
      <c r="M19" s="370" t="n">
        <v>1374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$1,876</t>
        </is>
      </c>
      <c r="Q19" s="370" t="n">
        <v>1633</v>
      </c>
      <c r="R19" s="205" t="inlineStr">
        <is>
          <t>N/A</t>
        </is>
      </c>
      <c r="S19" s="205" t="inlineStr">
        <is>
          <t>2021</t>
        </is>
      </c>
      <c r="T19" s="205" t="inlineStr">
        <is>
          <t>22</t>
        </is>
      </c>
      <c r="U19" s="210" t="inlineStr">
        <is>
          <t>No</t>
        </is>
      </c>
      <c r="V19" s="211" t="inlineStr">
        <is>
          <t>Yes</t>
        </is>
      </c>
      <c r="W19" s="211" t="inlineStr">
        <is>
          <t>Yes</t>
        </is>
      </c>
      <c r="X19" s="211" t="inlineStr">
        <is>
          <t>Yes</t>
        </is>
      </c>
      <c r="Y19" s="211" t="inlineStr">
        <is>
          <t>Yes</t>
        </is>
      </c>
      <c r="Z19" s="268" t="inlineStr">
        <is>
          <t>HIGH</t>
        </is>
      </c>
      <c r="AA19" s="213" t="inlineStr">
        <is>
          <t>1BD $1,374+. 2BD $1,633+. Specials available.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The Palms at Cape Coral</t>
        </is>
      </c>
      <c r="D20" s="371" t="n"/>
      <c r="E20" s="205" t="inlineStr">
        <is>
          <t>701 SW Pine Island Rd</t>
        </is>
      </c>
      <c r="F20" s="205" t="inlineStr">
        <is>
          <t>Cape Coral</t>
        </is>
      </c>
      <c r="G20" s="205" t="inlineStr">
        <is>
          <t>FL</t>
        </is>
      </c>
      <c r="H20" s="205" t="inlineStr">
        <is>
          <t>33991</t>
        </is>
      </c>
      <c r="I20" s="205" t="inlineStr">
        <is>
          <t>2.8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$1,371</t>
        </is>
      </c>
      <c r="M20" s="370" t="n">
        <v>1299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$1,876</t>
        </is>
      </c>
      <c r="Q20" s="370" t="n">
        <v>1520</v>
      </c>
      <c r="R20" s="205" t="inlineStr">
        <is>
          <t>N/A</t>
        </is>
      </c>
      <c r="S20" s="205" t="inlineStr">
        <is>
          <t>2023</t>
        </is>
      </c>
      <c r="T20" s="205" t="inlineStr">
        <is>
          <t>24</t>
        </is>
      </c>
      <c r="U20" s="210" t="inlineStr">
        <is>
          <t>No</t>
        </is>
      </c>
      <c r="V20" s="211" t="inlineStr">
        <is>
          <t>Yes</t>
        </is>
      </c>
      <c r="W20" s="211" t="inlineStr">
        <is>
          <t>Yes</t>
        </is>
      </c>
      <c r="X20" s="211" t="inlineStr">
        <is>
          <t>Yes</t>
        </is>
      </c>
      <c r="Y20" s="211" t="inlineStr">
        <is>
          <t>Yes</t>
        </is>
      </c>
      <c r="Z20" s="268" t="inlineStr">
        <is>
          <t>HIGH</t>
        </is>
      </c>
      <c r="AA20" s="213" t="inlineStr">
        <is>
          <t>1BD $1,299+. 2BD $1,520+. +$43/mo fees.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Oasis at Surfside</t>
        </is>
      </c>
      <c r="D21" s="371" t="n"/>
      <c r="E21" s="205" t="inlineStr">
        <is>
          <t>2200 Oasis Palm Cir</t>
        </is>
      </c>
      <c r="F21" s="205" t="inlineStr">
        <is>
          <t>Cape Coral</t>
        </is>
      </c>
      <c r="G21" s="205" t="inlineStr">
        <is>
          <t>FL</t>
        </is>
      </c>
      <c r="H21" s="205" t="inlineStr">
        <is>
          <t>33991</t>
        </is>
      </c>
      <c r="I21" s="205" t="inlineStr">
        <is>
          <t>1.5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$1,371</t>
        </is>
      </c>
      <c r="M21" s="370" t="n">
        <v>1647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$1,876</t>
        </is>
      </c>
      <c r="Q21" s="370" t="n">
        <v>2187</v>
      </c>
      <c r="R21" s="205" t="inlineStr">
        <is>
          <t>N/A</t>
        </is>
      </c>
      <c r="S21" s="205" t="n">
        <v>2022</v>
      </c>
      <c r="T21" s="205" t="inlineStr">
        <is>
          <t>23</t>
        </is>
      </c>
      <c r="U21" s="210" t="inlineStr">
        <is>
          <t>No</t>
        </is>
      </c>
      <c r="V21" s="211" t="inlineStr">
        <is>
          <t>Yes</t>
        </is>
      </c>
      <c r="W21" s="211" t="inlineStr">
        <is>
          <t>Yes</t>
        </is>
      </c>
      <c r="X21" s="211" t="inlineStr">
        <is>
          <t>Yes</t>
        </is>
      </c>
      <c r="Y21" s="211" t="inlineStr">
        <is>
          <t>Yes</t>
        </is>
      </c>
      <c r="Z21" s="268" t="inlineStr">
        <is>
          <t>HIGH</t>
        </is>
      </c>
      <c r="AA21" s="213" t="inlineStr">
        <is>
          <t>1BD $1,599–$1,694. 2BD $2,024–$2,350. 6 Wks Free.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Springs at Coral Shores</t>
        </is>
      </c>
      <c r="D22" s="371" t="n"/>
      <c r="E22" s="205" t="inlineStr">
        <is>
          <t>606 SW 29th Ave</t>
        </is>
      </c>
      <c r="F22" s="205" t="inlineStr">
        <is>
          <t>Cape Coral</t>
        </is>
      </c>
      <c r="G22" s="205" t="inlineStr">
        <is>
          <t>FL</t>
        </is>
      </c>
      <c r="H22" s="205" t="inlineStr">
        <is>
          <t>33914</t>
        </is>
      </c>
      <c r="I22" s="205" t="inlineStr">
        <is>
          <t>4.1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$1,371</t>
        </is>
      </c>
      <c r="M22" s="370" t="n">
        <v>1348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$1,876</t>
        </is>
      </c>
      <c r="Q22" s="370" t="n">
        <v>1609</v>
      </c>
      <c r="R22" s="205" t="inlineStr">
        <is>
          <t>N/A</t>
        </is>
      </c>
      <c r="S22" s="205" t="n">
        <v>2020</v>
      </c>
      <c r="T22" s="205" t="inlineStr">
        <is>
          <t>21</t>
        </is>
      </c>
      <c r="U22" s="210" t="inlineStr">
        <is>
          <t>No</t>
        </is>
      </c>
      <c r="V22" s="211" t="inlineStr">
        <is>
          <t>Yes</t>
        </is>
      </c>
      <c r="W22" s="211" t="inlineStr">
        <is>
          <t>Yes</t>
        </is>
      </c>
      <c r="X22" s="211" t="inlineStr">
        <is>
          <t>Yes</t>
        </is>
      </c>
      <c r="Y22" s="211" t="inlineStr">
        <is>
          <t>Yes</t>
        </is>
      </c>
      <c r="Z22" s="268" t="inlineStr">
        <is>
          <t>HIGH</t>
        </is>
      </c>
      <c r="AA22" s="213" t="inlineStr">
        <is>
          <t>1BD $1,348+. 2BD $1,609+. $4,000 off rent if applied by 8/14.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Coralina Apartments</t>
        </is>
      </c>
      <c r="D23" s="371" t="n"/>
      <c r="E23" s="205" t="inlineStr">
        <is>
          <t>3305 Grant Cove Cir</t>
        </is>
      </c>
      <c r="F23" s="205" t="inlineStr">
        <is>
          <t>Cape Coral</t>
        </is>
      </c>
      <c r="G23" s="205" t="inlineStr">
        <is>
          <t>FL</t>
        </is>
      </c>
      <c r="H23" s="205" t="inlineStr">
        <is>
          <t>33991</t>
        </is>
      </c>
      <c r="I23" s="205" t="inlineStr">
        <is>
          <t>2.0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$1,371</t>
        </is>
      </c>
      <c r="M23" s="370" t="n">
        <v>1435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$1,876</t>
        </is>
      </c>
      <c r="Q23" s="370" t="n">
        <v>1694</v>
      </c>
      <c r="R23" s="205" t="inlineStr">
        <is>
          <t>N/A</t>
        </is>
      </c>
      <c r="S23" s="205" t="n">
        <v>2019</v>
      </c>
      <c r="T23" s="205" t="inlineStr">
        <is>
          <t>23</t>
        </is>
      </c>
      <c r="U23" s="210" t="inlineStr">
        <is>
          <t>No</t>
        </is>
      </c>
      <c r="V23" s="211" t="inlineStr">
        <is>
          <t>Yes</t>
        </is>
      </c>
      <c r="W23" s="211" t="inlineStr">
        <is>
          <t>Yes</t>
        </is>
      </c>
      <c r="X23" s="211" t="inlineStr">
        <is>
          <t>Yes</t>
        </is>
      </c>
      <c r="Y23" s="211" t="inlineStr">
        <is>
          <t>Yes</t>
        </is>
      </c>
      <c r="Z23" s="268" t="inlineStr">
        <is>
          <t>HIGH</t>
        </is>
      </c>
      <c r="AA23" s="213" t="inlineStr">
        <is>
          <t>1BD $1,310–$1,560. 2BD $1,579–$1,919. 50% off first 4 months thru 8/15.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Isles of Porto Vista</t>
        </is>
      </c>
      <c r="D24" s="372" t="n"/>
      <c r="E24" s="205" t="inlineStr">
        <is>
          <t>3936 Pomodoro Cir</t>
        </is>
      </c>
      <c r="F24" s="205" t="inlineStr">
        <is>
          <t>Cape Coral</t>
        </is>
      </c>
      <c r="G24" s="205" t="inlineStr">
        <is>
          <t>FL</t>
        </is>
      </c>
      <c r="H24" s="205" t="inlineStr">
        <is>
          <t>33909</t>
        </is>
      </c>
      <c r="I24" s="205" t="inlineStr">
        <is>
          <t>5.5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$1,371</t>
        </is>
      </c>
      <c r="M24" s="370" t="n">
        <v>1269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$1,876</t>
        </is>
      </c>
      <c r="Q24" s="370" t="n">
        <v>1499</v>
      </c>
      <c r="R24" s="205" t="inlineStr">
        <is>
          <t>N/A</t>
        </is>
      </c>
      <c r="S24" s="205" t="n">
        <v>2008</v>
      </c>
      <c r="T24" s="205" t="inlineStr">
        <is>
          <t>24</t>
        </is>
      </c>
      <c r="U24" s="210" t="inlineStr">
        <is>
          <t>No</t>
        </is>
      </c>
      <c r="V24" s="211" t="inlineStr">
        <is>
          <t>Yes</t>
        </is>
      </c>
      <c r="W24" s="211" t="inlineStr">
        <is>
          <t>Yes</t>
        </is>
      </c>
      <c r="X24" s="211" t="inlineStr">
        <is>
          <t>Yes</t>
        </is>
      </c>
      <c r="Y24" s="211" t="inlineStr">
        <is>
          <t>Yes</t>
        </is>
      </c>
      <c r="Z24" s="268" t="inlineStr">
        <is>
          <t>HIGH</t>
        </is>
      </c>
      <c r="AA24" s="213" t="inlineStr">
        <is>
          <t>1BD $1,269. 2BD $1,499+. 2 Months Free.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Cape Coral-Fort Myers MSA</t>
        </is>
      </c>
      <c r="D25" s="365" t="n"/>
      <c r="E25" s="220" t="inlineStr">
        <is>
          <t>N/A</t>
        </is>
      </c>
      <c r="F25" s="220" t="inlineStr">
        <is>
          <t>Cape Coral</t>
        </is>
      </c>
      <c r="G25" s="220" t="inlineStr">
        <is>
          <t>FL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$1,371</t>
        </is>
      </c>
      <c r="K25" s="220" t="inlineStr">
        <is>
          <t>$1,371</t>
        </is>
      </c>
      <c r="L25" s="220" t="inlineStr">
        <is>
          <t>$1,371</t>
        </is>
      </c>
      <c r="M25" s="220" t="inlineStr">
        <is>
          <t>N/A</t>
        </is>
      </c>
      <c r="N25" s="220" t="inlineStr">
        <is>
          <t>$1,876</t>
        </is>
      </c>
      <c r="O25" s="220" t="inlineStr">
        <is>
          <t>$1,876</t>
        </is>
      </c>
      <c r="P25" s="220" t="inlineStr">
        <is>
          <t>$1,876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Cape Coral-Fort Myers MSA, FY2026. 40th percentile rent.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Cape Coral (Aug 2026)</t>
        </is>
      </c>
      <c r="D26" s="365" t="n"/>
      <c r="E26" s="226" t="inlineStr">
        <is>
          <t>N/A</t>
        </is>
      </c>
      <c r="F26" s="226" t="inlineStr">
        <is>
          <t>Cape Coral</t>
        </is>
      </c>
      <c r="G26" s="226" t="inlineStr">
        <is>
          <t>FL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$1,338</t>
        </is>
      </c>
      <c r="K26" s="226" t="inlineStr">
        <is>
          <t>$1,338</t>
        </is>
      </c>
      <c r="L26" s="226" t="inlineStr">
        <is>
          <t>$1,338</t>
        </is>
      </c>
      <c r="M26" s="229" t="inlineStr">
        <is>
          <t>$1,395</t>
        </is>
      </c>
      <c r="N26" s="226" t="inlineStr">
        <is>
          <t>$1,533</t>
        </is>
      </c>
      <c r="O26" s="226" t="inlineStr">
        <is>
          <t>$1,533</t>
        </is>
      </c>
      <c r="P26" s="226" t="inlineStr">
        <is>
          <t>$1,533</t>
        </is>
      </c>
      <c r="Q26" s="229" t="inlineStr">
        <is>
          <t>$1,690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6 comps, Aug 4, 2026. 1BD avg $1,395 / 2BD avg $1,690.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1BD</t>
        </is>
      </c>
      <c r="B33" s="373">
        <f>'Current Rents'!D16</f>
        <v/>
      </c>
      <c r="C33" s="377" t="n">
        <v>1395</v>
      </c>
      <c r="D33" s="273" t="n"/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2BD</t>
        </is>
      </c>
      <c r="B34" s="373">
        <f>'Current Rents'!E16</f>
        <v/>
      </c>
      <c r="C34" s="377" t="n">
        <v>1690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273" min="1" max="1"/>
    <col width="18.8515625" customWidth="1" style="273" min="2" max="2"/>
    <col width="43.421875" customWidth="1" style="273" min="3" max="3"/>
    <col width="2.8515625" customWidth="1" style="273" min="4" max="4"/>
    <col width="29.851562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5.71093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15.71093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15.710937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9.28125" customWidth="1" style="273" min="25" max="32"/>
    <col width="20.57421875" customWidth="1" style="273" min="33" max="33"/>
    <col width="65.7109375" customWidth="1" style="273" min="34" max="34"/>
    <col width="53.421875" customWidth="1" style="273" min="35" max="35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HOLIDAY APTS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5" t="n"/>
      <c r="AG9" s="262" t="inlineStr">
        <is>
          <t>15 - Holiday  |  115 Units  |  Section 8 / HUD  |  2BD, 3BD, 4BD &amp; 5BD</t>
        </is>
      </c>
      <c r="AH9" s="364" t="n"/>
      <c r="AI9" s="365" t="n"/>
    </row>
    <row r="10" ht="18" customFormat="1" customHeight="1" s="273">
      <c r="A10" s="241" t="inlineStr">
        <is>
          <t>601 Old Washington Road, Natchez, MS 39120  |  Adams County  |  FY2026 HUD FMR Area: Adams County, MS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5" t="n"/>
    </row>
    <row r="11" ht="14.25" customFormat="1" customHeight="1" s="273">
      <c r="A11" s="170" t="inlineStr">
        <is>
          <t>Data as of April 30, 2026  |  Sources: Apartments.com, HUD FMR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5" t="n"/>
    </row>
    <row r="12" ht="25.5" customFormat="1" customHeight="1" s="273">
      <c r="A12" s="171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64" t="inlineStr">
        <is>
          <t>2BD -
Actual</t>
        </is>
      </c>
      <c r="N13" s="265" t="inlineStr">
        <is>
          <t>3BD
50% AMI</t>
        </is>
      </c>
      <c r="O13" s="265" t="inlineStr">
        <is>
          <t>3BD
60% AMI</t>
        </is>
      </c>
      <c r="P13" s="265" t="inlineStr">
        <is>
          <t>3BD
FMR</t>
        </is>
      </c>
      <c r="Q13" s="264" t="inlineStr">
        <is>
          <t>3BD -
Actual</t>
        </is>
      </c>
      <c r="R13" s="265" t="inlineStr">
        <is>
          <t>4BD
50% AMI</t>
        </is>
      </c>
      <c r="S13" s="265" t="inlineStr">
        <is>
          <t>4BD
60% AMI</t>
        </is>
      </c>
      <c r="T13" s="265" t="inlineStr">
        <is>
          <t>4BD
FMR</t>
        </is>
      </c>
      <c r="U13" s="264" t="inlineStr">
        <is>
          <t>4BD -
Actual</t>
        </is>
      </c>
      <c r="V13" s="265" t="inlineStr">
        <is>
          <t>5BD
50% AMI</t>
        </is>
      </c>
      <c r="W13" s="265" t="inlineStr">
        <is>
          <t>5BD
60% AMI</t>
        </is>
      </c>
      <c r="X13" s="265" t="inlineStr">
        <is>
          <t>5BD
FMR</t>
        </is>
      </c>
      <c r="Y13" s="247" t="inlineStr">
        <is>
          <t>Units</t>
        </is>
      </c>
      <c r="Z13" s="247" t="inlineStr">
        <is>
          <t>Yr Built</t>
        </is>
      </c>
      <c r="AA13" s="247" t="inlineStr">
        <is>
          <t>Yr Diff</t>
        </is>
      </c>
      <c r="AB13" s="247" t="inlineStr">
        <is>
          <t>Utils
Incl.</t>
        </is>
      </c>
      <c r="AC13" s="247" t="inlineStr">
        <is>
          <t>Pet
Friendly</t>
        </is>
      </c>
      <c r="AD13" s="247" t="inlineStr">
        <is>
          <t>Gated</t>
        </is>
      </c>
      <c r="AE13" s="247" t="inlineStr">
        <is>
          <t>Pool</t>
        </is>
      </c>
      <c r="AF13" s="247" t="inlineStr">
        <is>
          <t>W/D
In-Unit</t>
        </is>
      </c>
      <c r="AG13" s="248" t="inlineStr">
        <is>
          <t>Competition Level</t>
        </is>
      </c>
      <c r="AH13" s="249" t="inlineStr">
        <is>
          <t>Notes / Why Competitive</t>
        </is>
      </c>
      <c r="AI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Holiday Apts (SUBJECT)</t>
        </is>
      </c>
      <c r="D14" s="365" t="n"/>
      <c r="E14" s="183" t="inlineStr">
        <is>
          <t>601 Old Washington Road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Rents'!E17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Rents'!F17</f>
        <v/>
      </c>
      <c r="R14" s="183" t="inlineStr">
        <is>
          <t>$3,112</t>
        </is>
      </c>
      <c r="S14" s="183" t="inlineStr">
        <is>
          <t>$3,735</t>
        </is>
      </c>
      <c r="T14" s="183" t="inlineStr">
        <is>
          <t>$1,202</t>
        </is>
      </c>
      <c r="U14" s="369">
        <f>'Current Rents'!G17</f>
        <v/>
      </c>
      <c r="V14" s="183" t="inlineStr">
        <is>
          <t>$3,341</t>
        </is>
      </c>
      <c r="W14" s="183" t="inlineStr">
        <is>
          <t>$4,010</t>
        </is>
      </c>
      <c r="X14" s="183" t="inlineStr">
        <is>
          <t>$1,382</t>
        </is>
      </c>
      <c r="Y14" s="183" t="inlineStr">
        <is>
          <t>115</t>
        </is>
      </c>
      <c r="Z14" s="183" t="inlineStr">
        <is>
          <t>1951</t>
        </is>
      </c>
      <c r="AA14" s="183" t="inlineStr">
        <is>
          <t>0</t>
        </is>
      </c>
      <c r="AB14" s="186" t="inlineStr">
        <is>
          <t>Yes</t>
        </is>
      </c>
      <c r="AC14" s="187" t="inlineStr">
        <is>
          <t>No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1" t="inlineStr">
        <is>
          <t>SUBJECT</t>
        </is>
      </c>
      <c r="AH14" s="188" t="inlineStr">
        <is>
          <t>115 units | Section 8/HUD. Year built: 1951. Subject property.</t>
        </is>
      </c>
      <c r="AI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Sadie V. Thompson Homes</t>
        </is>
      </c>
      <c r="D15" s="365" t="n"/>
      <c r="E15" s="194" t="inlineStr">
        <is>
          <t>200 Sadie Thompson Dr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inlineStr">
        <is>
          <t>$3,112</t>
        </is>
      </c>
      <c r="S15" s="194" t="inlineStr">
        <is>
          <t>$3,735</t>
        </is>
      </c>
      <c r="T15" s="194" t="inlineStr">
        <is>
          <t>$1,202</t>
        </is>
      </c>
      <c r="U15" s="190" t="inlineStr">
        <is>
          <t>Not Listed</t>
        </is>
      </c>
      <c r="V15" s="194" t="inlineStr">
        <is>
          <t>$3,341</t>
        </is>
      </c>
      <c r="W15" s="194" t="inlineStr">
        <is>
          <t>$4,010</t>
        </is>
      </c>
      <c r="X15" s="194" t="inlineStr">
        <is>
          <t>$1,382</t>
        </is>
      </c>
      <c r="Y15" s="194" t="inlineStr">
        <is>
          <t>100</t>
        </is>
      </c>
      <c r="Z15" s="194" t="inlineStr">
        <is>
          <t>1952</t>
        </is>
      </c>
      <c r="AA15" s="194" t="inlineStr">
        <is>
          <t>1</t>
        </is>
      </c>
      <c r="AB15" s="195" t="inlineStr">
        <is>
          <t>Yes</t>
        </is>
      </c>
      <c r="AC15" s="196" t="inlineStr">
        <is>
          <t>No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268" t="inlineStr">
        <is>
          <t>HIGH</t>
        </is>
      </c>
      <c r="AH15" s="198" t="inlineStr">
        <is>
          <t>Public Housing/HUD, 1952 vintage, 100 units, 1.5 mi. Income-restricted.</t>
        </is>
      </c>
      <c r="AI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Ida B. Wells Homes</t>
        </is>
      </c>
      <c r="D16" s="365" t="n"/>
      <c r="E16" s="194" t="inlineStr">
        <is>
          <t>1 Ida B Wells Dr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inlineStr">
        <is>
          <t>$3,112</t>
        </is>
      </c>
      <c r="S16" s="194" t="inlineStr">
        <is>
          <t>$3,735</t>
        </is>
      </c>
      <c r="T16" s="194" t="inlineStr">
        <is>
          <t>$1,202</t>
        </is>
      </c>
      <c r="U16" s="190" t="inlineStr">
        <is>
          <t>Not Listed</t>
        </is>
      </c>
      <c r="V16" s="194" t="inlineStr">
        <is>
          <t>$3,341</t>
        </is>
      </c>
      <c r="W16" s="194" t="inlineStr">
        <is>
          <t>$4,010</t>
        </is>
      </c>
      <c r="X16" s="194" t="inlineStr">
        <is>
          <t>$1,382</t>
        </is>
      </c>
      <c r="Y16" s="194" t="inlineStr">
        <is>
          <t>150</t>
        </is>
      </c>
      <c r="Z16" s="194" t="inlineStr">
        <is>
          <t>1955</t>
        </is>
      </c>
      <c r="AA16" s="194" t="inlineStr">
        <is>
          <t>4</t>
        </is>
      </c>
      <c r="AB16" s="195" t="inlineStr">
        <is>
          <t>Yes</t>
        </is>
      </c>
      <c r="AC16" s="196" t="inlineStr">
        <is>
          <t>No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269" t="inlineStr">
        <is>
          <t>LOW-MODERATE</t>
        </is>
      </c>
      <c r="AH16" s="198" t="inlineStr">
        <is>
          <t>Public Housing/HUD, 1955 vintage, 150 units, 72.0 mi.</t>
        </is>
      </c>
      <c r="AI16" s="199" t="inlineStr">
        <is>
          <t>Vicksburg Housing Authority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Laurel HA - Queensburg Homes</t>
        </is>
      </c>
      <c r="D17" s="365" t="n"/>
      <c r="E17" s="194" t="inlineStr">
        <is>
          <t>100 Queensburg Dr</t>
        </is>
      </c>
      <c r="F17" s="194" t="inlineStr">
        <is>
          <t>Laurel</t>
        </is>
      </c>
      <c r="G17" s="194" t="inlineStr">
        <is>
          <t>MS</t>
        </is>
      </c>
      <c r="H17" s="194" t="inlineStr">
        <is>
          <t>39440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inlineStr">
        <is>
          <t>$3,112</t>
        </is>
      </c>
      <c r="S17" s="194" t="inlineStr">
        <is>
          <t>$3,735</t>
        </is>
      </c>
      <c r="T17" s="194" t="inlineStr">
        <is>
          <t>$1,202</t>
        </is>
      </c>
      <c r="U17" s="190" t="inlineStr">
        <is>
          <t>Not Listed</t>
        </is>
      </c>
      <c r="V17" s="194" t="inlineStr">
        <is>
          <t>$3,341</t>
        </is>
      </c>
      <c r="W17" s="194" t="inlineStr">
        <is>
          <t>$4,010</t>
        </is>
      </c>
      <c r="X17" s="194" t="inlineStr">
        <is>
          <t>$1,382</t>
        </is>
      </c>
      <c r="Y17" s="194" t="inlineStr">
        <is>
          <t>100</t>
        </is>
      </c>
      <c r="Z17" s="194" t="inlineStr">
        <is>
          <t>1950</t>
        </is>
      </c>
      <c r="AA17" s="194" t="inlineStr">
        <is>
          <t>1</t>
        </is>
      </c>
      <c r="AB17" s="195" t="inlineStr">
        <is>
          <t>Yes</t>
        </is>
      </c>
      <c r="AC17" s="196" t="inlineStr">
        <is>
          <t>No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269" t="inlineStr">
        <is>
          <t>LOW-MODERATE</t>
        </is>
      </c>
      <c r="AH17" s="198" t="inlineStr">
        <is>
          <t>Public Housing/HUD, 1950 vintage, 100 units, 145.0 mi.</t>
        </is>
      </c>
      <c r="AI17" s="199" t="inlineStr">
        <is>
          <t>Laurel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HA - Belleview Homes</t>
        </is>
      </c>
      <c r="D18" s="365" t="n"/>
      <c r="E18" s="194" t="inlineStr">
        <is>
          <t>400 Belleview Ave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1.8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inlineStr">
        <is>
          <t>$3,112</t>
        </is>
      </c>
      <c r="S18" s="194" t="inlineStr">
        <is>
          <t>$3,735</t>
        </is>
      </c>
      <c r="T18" s="194" t="inlineStr">
        <is>
          <t>$1,202</t>
        </is>
      </c>
      <c r="U18" s="190" t="inlineStr">
        <is>
          <t>Not Listed</t>
        </is>
      </c>
      <c r="V18" s="194" t="inlineStr">
        <is>
          <t>$3,341</t>
        </is>
      </c>
      <c r="W18" s="194" t="inlineStr">
        <is>
          <t>$4,010</t>
        </is>
      </c>
      <c r="X18" s="194" t="inlineStr">
        <is>
          <t>$1,382</t>
        </is>
      </c>
      <c r="Y18" s="194" t="inlineStr">
        <is>
          <t>120</t>
        </is>
      </c>
      <c r="Z18" s="194" t="inlineStr">
        <is>
          <t>1953</t>
        </is>
      </c>
      <c r="AA18" s="194" t="inlineStr">
        <is>
          <t>2</t>
        </is>
      </c>
      <c r="AB18" s="195" t="inlineStr">
        <is>
          <t>Yes</t>
        </is>
      </c>
      <c r="AC18" s="196" t="inlineStr">
        <is>
          <t>No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268" t="inlineStr">
        <is>
          <t>HIGH</t>
        </is>
      </c>
      <c r="AH18" s="198" t="inlineStr">
        <is>
          <t>Public Housing/HUD, 1953 vintage, 120 units, 1.8 mi. Income-restricted.</t>
        </is>
      </c>
      <c r="AI18" s="199" t="inlineStr">
        <is>
          <t>Natchez Housing Authority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~90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$820</t>
        </is>
      </c>
      <c r="M19" s="370" t="n">
        <v>1213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$1,040</t>
        </is>
      </c>
      <c r="Q19" s="219" t="n">
        <v>1342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$1,202</t>
        </is>
      </c>
      <c r="U19" s="219" t="inlineStr">
        <is>
          <t>Phone Verify</t>
        </is>
      </c>
      <c r="V19" s="206" t="inlineStr">
        <is>
          <t>N/A</t>
        </is>
      </c>
      <c r="W19" s="206" t="inlineStr">
        <is>
          <t>N/A</t>
        </is>
      </c>
      <c r="X19" s="206" t="inlineStr">
        <is>
          <t>$1,382</t>
        </is>
      </c>
      <c r="Y19" s="207" t="inlineStr">
        <is>
          <t>N/A</t>
        </is>
      </c>
      <c r="Z19" s="207" t="inlineStr">
        <is>
          <t>1975</t>
        </is>
      </c>
      <c r="AA19" s="207" t="inlineStr">
        <is>
          <t>24</t>
        </is>
      </c>
      <c r="AB19" s="254" t="inlineStr">
        <is>
          <t>No</t>
        </is>
      </c>
      <c r="AC19" s="254" t="inlineStr">
        <is>
          <t>No</t>
        </is>
      </c>
      <c r="AD19" s="254" t="inlineStr">
        <is>
          <t>No</t>
        </is>
      </c>
      <c r="AE19" s="254" t="inlineStr">
        <is>
          <t>No</t>
        </is>
      </c>
      <c r="AF19" s="254" t="inlineStr">
        <is>
          <t>No</t>
        </is>
      </c>
      <c r="AG19" s="268" t="inlineStr">
        <is>
          <t>HIGH</t>
        </is>
      </c>
      <c r="AH19" s="213" t="inlineStr">
        <is>
          <t>PHONE VERIFY 4BD — no 4BD units; 3BD used as proxy.</t>
        </is>
      </c>
      <c r="AI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~90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$820</t>
        </is>
      </c>
      <c r="M20" s="370" t="n">
        <v>1405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$1,040</t>
        </is>
      </c>
      <c r="Q20" s="219" t="n">
        <v>1428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$1,202</t>
        </is>
      </c>
      <c r="U20" s="219" t="inlineStr">
        <is>
          <t>Phone Verify</t>
        </is>
      </c>
      <c r="V20" s="206" t="inlineStr">
        <is>
          <t>N/A</t>
        </is>
      </c>
      <c r="W20" s="206" t="inlineStr">
        <is>
          <t>N/A</t>
        </is>
      </c>
      <c r="X20" s="206" t="inlineStr">
        <is>
          <t>$1,382</t>
        </is>
      </c>
      <c r="Y20" s="207" t="inlineStr">
        <is>
          <t>N/A</t>
        </is>
      </c>
      <c r="Z20" s="207" t="inlineStr">
        <is>
          <t>1970</t>
        </is>
      </c>
      <c r="AA20" s="207" t="inlineStr">
        <is>
          <t>19</t>
        </is>
      </c>
      <c r="AB20" s="254" t="inlineStr">
        <is>
          <t>No</t>
        </is>
      </c>
      <c r="AC20" s="254" t="inlineStr">
        <is>
          <t>No</t>
        </is>
      </c>
      <c r="AD20" s="254" t="inlineStr">
        <is>
          <t>No</t>
        </is>
      </c>
      <c r="AE20" s="254" t="inlineStr">
        <is>
          <t>No</t>
        </is>
      </c>
      <c r="AF20" s="254" t="inlineStr">
        <is>
          <t>No</t>
        </is>
      </c>
      <c r="AG20" s="268" t="inlineStr">
        <is>
          <t>HIGH</t>
        </is>
      </c>
      <c r="AH20" s="213" t="inlineStr">
        <is>
          <t>PHONE VERIFY 4BD — no 4BD units; 3BD used as proxy.</t>
        </is>
      </c>
      <c r="AI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~92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$820</t>
        </is>
      </c>
      <c r="M21" s="370" t="n">
        <v>1439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$1,040</t>
        </is>
      </c>
      <c r="Q21" s="370" t="n">
        <v>1558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$1,202</t>
        </is>
      </c>
      <c r="U21" s="219" t="inlineStr">
        <is>
          <t>Phone Verify</t>
        </is>
      </c>
      <c r="V21" s="206" t="inlineStr">
        <is>
          <t>N/A</t>
        </is>
      </c>
      <c r="W21" s="206" t="inlineStr">
        <is>
          <t>N/A</t>
        </is>
      </c>
      <c r="X21" s="206" t="inlineStr">
        <is>
          <t>$1,382</t>
        </is>
      </c>
      <c r="Y21" s="207" t="inlineStr">
        <is>
          <t>N/A</t>
        </is>
      </c>
      <c r="Z21" s="207" t="inlineStr">
        <is>
          <t>1980</t>
        </is>
      </c>
      <c r="AA21" s="207" t="inlineStr">
        <is>
          <t>29</t>
        </is>
      </c>
      <c r="AB21" s="254" t="inlineStr">
        <is>
          <t>No</t>
        </is>
      </c>
      <c r="AC21" s="254" t="inlineStr">
        <is>
          <t>No</t>
        </is>
      </c>
      <c r="AD21" s="254" t="inlineStr">
        <is>
          <t>No</t>
        </is>
      </c>
      <c r="AE21" s="254" t="inlineStr">
        <is>
          <t>No</t>
        </is>
      </c>
      <c r="AF21" s="254" t="inlineStr">
        <is>
          <t>No</t>
        </is>
      </c>
      <c r="AG21" s="268" t="inlineStr">
        <is>
          <t>HIGH</t>
        </is>
      </c>
      <c r="AH21" s="213" t="inlineStr">
        <is>
          <t>PHONE VERIFY 4BD — no 4BD units; 3BD used as proxy.</t>
        </is>
      </c>
      <c r="AI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~90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$820</t>
        </is>
      </c>
      <c r="M22" s="370" t="n">
        <v>1568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$1,040</t>
        </is>
      </c>
      <c r="Q22" s="219" t="n">
        <v>1533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$1,202</t>
        </is>
      </c>
      <c r="U22" s="219" t="inlineStr">
        <is>
          <t>Phone Verify</t>
        </is>
      </c>
      <c r="V22" s="206" t="inlineStr">
        <is>
          <t>N/A</t>
        </is>
      </c>
      <c r="W22" s="206" t="inlineStr">
        <is>
          <t>N/A</t>
        </is>
      </c>
      <c r="X22" s="206" t="inlineStr">
        <is>
          <t>$1,382</t>
        </is>
      </c>
      <c r="Y22" s="207" t="inlineStr">
        <is>
          <t>N/A</t>
        </is>
      </c>
      <c r="Z22" s="207" t="inlineStr">
        <is>
          <t>1985</t>
        </is>
      </c>
      <c r="AA22" s="207" t="inlineStr">
        <is>
          <t>34</t>
        </is>
      </c>
      <c r="AB22" s="254" t="inlineStr">
        <is>
          <t>No</t>
        </is>
      </c>
      <c r="AC22" s="254" t="inlineStr">
        <is>
          <t>No</t>
        </is>
      </c>
      <c r="AD22" s="254" t="inlineStr">
        <is>
          <t>No</t>
        </is>
      </c>
      <c r="AE22" s="254" t="inlineStr">
        <is>
          <t>No</t>
        </is>
      </c>
      <c r="AF22" s="254" t="inlineStr">
        <is>
          <t>No</t>
        </is>
      </c>
      <c r="AG22" s="268" t="inlineStr">
        <is>
          <t>HIGH</t>
        </is>
      </c>
      <c r="AH22" s="213" t="inlineStr">
        <is>
          <t>PHONE VERIFY 4BD — no 4BD units; 3BD used as proxy.</t>
        </is>
      </c>
      <c r="AI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~91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$820</t>
        </is>
      </c>
      <c r="M23" s="219" t="n">
        <v>1382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$1,040</t>
        </is>
      </c>
      <c r="Q23" s="370" t="n">
        <v>1474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$1,202</t>
        </is>
      </c>
      <c r="U23" s="219" t="inlineStr">
        <is>
          <t>Phone Verify</t>
        </is>
      </c>
      <c r="V23" s="206" t="inlineStr">
        <is>
          <t>N/A</t>
        </is>
      </c>
      <c r="W23" s="206" t="inlineStr">
        <is>
          <t>N/A</t>
        </is>
      </c>
      <c r="X23" s="206" t="inlineStr">
        <is>
          <t>$1,382</t>
        </is>
      </c>
      <c r="Y23" s="207" t="inlineStr">
        <is>
          <t>1</t>
        </is>
      </c>
      <c r="Z23" s="207" t="inlineStr">
        <is>
          <t>1960</t>
        </is>
      </c>
      <c r="AA23" s="207" t="inlineStr">
        <is>
          <t>9</t>
        </is>
      </c>
      <c r="AB23" s="254" t="inlineStr">
        <is>
          <t>No</t>
        </is>
      </c>
      <c r="AC23" s="254" t="inlineStr">
        <is>
          <t>No</t>
        </is>
      </c>
      <c r="AD23" s="254" t="inlineStr">
        <is>
          <t>No</t>
        </is>
      </c>
      <c r="AE23" s="254" t="inlineStr">
        <is>
          <t>No</t>
        </is>
      </c>
      <c r="AF23" s="254" t="inlineStr">
        <is>
          <t>No</t>
        </is>
      </c>
      <c r="AG23" s="268" t="inlineStr">
        <is>
          <t>HIGH</t>
        </is>
      </c>
      <c r="AH23" s="213" t="inlineStr">
        <is>
          <t>PHONE VERIFY 4BD — no 4BD units; 3BD used as proxy.</t>
        </is>
      </c>
      <c r="AI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~90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$820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$1,040</t>
        </is>
      </c>
      <c r="Q24" s="370" t="n">
        <v>1473</v>
      </c>
      <c r="R24" s="206" t="inlineStr">
        <is>
          <t>N/A</t>
        </is>
      </c>
      <c r="S24" s="206" t="inlineStr">
        <is>
          <t>N/A</t>
        </is>
      </c>
      <c r="T24" s="206" t="inlineStr">
        <is>
          <t>$1,202</t>
        </is>
      </c>
      <c r="U24" s="219" t="inlineStr">
        <is>
          <t>Phone Verify</t>
        </is>
      </c>
      <c r="V24" s="206" t="inlineStr">
        <is>
          <t>N/A</t>
        </is>
      </c>
      <c r="W24" s="206" t="inlineStr">
        <is>
          <t>N/A</t>
        </is>
      </c>
      <c r="X24" s="206" t="inlineStr">
        <is>
          <t>$1,382</t>
        </is>
      </c>
      <c r="Y24" s="207" t="inlineStr">
        <is>
          <t>1</t>
        </is>
      </c>
      <c r="Z24" s="207" t="inlineStr">
        <is>
          <t>1965</t>
        </is>
      </c>
      <c r="AA24" s="207" t="inlineStr">
        <is>
          <t>14</t>
        </is>
      </c>
      <c r="AB24" s="254" t="inlineStr">
        <is>
          <t>No</t>
        </is>
      </c>
      <c r="AC24" s="254" t="inlineStr">
        <is>
          <t>No</t>
        </is>
      </c>
      <c r="AD24" s="254" t="inlineStr">
        <is>
          <t>No</t>
        </is>
      </c>
      <c r="AE24" s="254" t="inlineStr">
        <is>
          <t>No</t>
        </is>
      </c>
      <c r="AF24" s="254" t="inlineStr">
        <is>
          <t>No</t>
        </is>
      </c>
      <c r="AG24" s="268" t="inlineStr">
        <is>
          <t>HIGH</t>
        </is>
      </c>
      <c r="AH24" s="213" t="inlineStr">
        <is>
          <t>PHONE VERIFY 2BD and 4BD — limited online data. 4BD: 3BD proxy.</t>
        </is>
      </c>
      <c r="AI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$1,202</t>
        </is>
      </c>
      <c r="S25" s="220" t="inlineStr">
        <is>
          <t>$1,202</t>
        </is>
      </c>
      <c r="T25" s="220" t="inlineStr">
        <is>
          <t>$1,202</t>
        </is>
      </c>
      <c r="U25" s="220" t="inlineStr">
        <is>
          <t>N/A</t>
        </is>
      </c>
      <c r="V25" s="220" t="inlineStr">
        <is>
          <t>$1,382</t>
        </is>
      </c>
      <c r="W25" s="220" t="inlineStr">
        <is>
          <t>$1,382</t>
        </is>
      </c>
      <c r="X25" s="220" t="inlineStr">
        <is>
          <t>$1,382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02" t="inlineStr">
        <is>
          <t>BENCHMARK</t>
        </is>
      </c>
      <c r="AH25" s="224" t="inlineStr">
        <is>
          <t>HUD FMR for Adams County, MS, FY2026. 40th percentile rent.</t>
        </is>
      </c>
      <c r="AI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$786</t>
        </is>
      </c>
      <c r="K26" s="226" t="inlineStr">
        <is>
          <t>$786</t>
        </is>
      </c>
      <c r="L26" s="226" t="inlineStr">
        <is>
          <t>$786</t>
        </is>
      </c>
      <c r="M26" s="229" t="inlineStr">
        <is>
          <t>$1,401</t>
        </is>
      </c>
      <c r="N26" s="226" t="inlineStr">
        <is>
          <t>$1,298</t>
        </is>
      </c>
      <c r="O26" s="226" t="inlineStr">
        <is>
          <t>$1,298</t>
        </is>
      </c>
      <c r="P26" s="226" t="inlineStr">
        <is>
          <t>$1,298</t>
        </is>
      </c>
      <c r="Q26" s="229" t="inlineStr">
        <is>
          <t>$1,468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9" t="inlineStr">
        <is>
          <t>N/A (Phone Verify)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02" t="inlineStr">
        <is>
          <t>BENCHMARK</t>
        </is>
      </c>
      <c r="AH26" s="230" t="inlineStr">
        <is>
          <t>Live Market Avg from verified comps only, Aug 4, 2026. 1BD/2BD avg $1,401 / 2BD/3BD/4BD avg $1,468 / 3BD/4BD N/A.</t>
        </is>
      </c>
      <c r="AI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</row>
    <row r="33" ht="20.25" customFormat="1" customHeight="1" s="273">
      <c r="A33" s="235" t="inlineStr">
        <is>
          <t>2BD</t>
        </is>
      </c>
      <c r="B33" s="373">
        <f>'Current Rents'!E17</f>
        <v/>
      </c>
      <c r="C33" s="377" t="n">
        <v>1401</v>
      </c>
      <c r="D33" s="273" t="n"/>
      <c r="E33" s="382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</row>
    <row r="34" ht="20.25" customFormat="1" customHeight="1" s="273">
      <c r="A34" s="235" t="inlineStr">
        <is>
          <t>3BD</t>
        </is>
      </c>
      <c r="B34" s="373">
        <f>'Current Rents'!F17</f>
        <v/>
      </c>
      <c r="C34" s="377" t="n">
        <v>1468</v>
      </c>
      <c r="D34" s="273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</row>
    <row r="35" ht="20.25" customFormat="1" customHeight="1" s="273">
      <c r="A35" s="235" t="inlineStr">
        <is>
          <t>4BD</t>
        </is>
      </c>
      <c r="B35" s="373">
        <f>'Current Rents'!G17</f>
        <v/>
      </c>
      <c r="C35" s="276" t="inlineStr">
        <is>
          <t>N/A</t>
        </is>
      </c>
      <c r="D35" s="273" t="n"/>
      <c r="E35" s="379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</row>
  </sheetData>
  <mergeCells count="18">
    <mergeCell ref="A11:AI11"/>
    <mergeCell ref="A30:H30"/>
    <mergeCell ref="A10:AI10"/>
    <mergeCell ref="C32:D32"/>
    <mergeCell ref="C16:D16"/>
    <mergeCell ref="A28:AI28"/>
    <mergeCell ref="C15:D15"/>
    <mergeCell ref="C25:D25"/>
    <mergeCell ref="C26:D26"/>
    <mergeCell ref="AG9:AI9"/>
    <mergeCell ref="C14:D14"/>
    <mergeCell ref="A9:AF9"/>
    <mergeCell ref="C13:D13"/>
    <mergeCell ref="A12:AI12"/>
    <mergeCell ref="C18:D18"/>
    <mergeCell ref="C17:D17"/>
    <mergeCell ref="A31:H3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6"/>
  <sheetViews>
    <sheetView topLeftCell="A1"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15625" customWidth="1" style="273" min="1" max="1"/>
    <col width="20.140625" customWidth="1" style="273" min="2" max="2"/>
    <col width="50.421875" customWidth="1" style="273" min="3" max="3"/>
    <col width="2.8515625" customWidth="1" style="273" min="4" max="4"/>
    <col width="23.28125" customWidth="1" style="273" min="5" max="5"/>
    <col width="14.421875" customWidth="1" style="273" min="6" max="6"/>
    <col width="7.140625" customWidth="1" style="273" min="7" max="7"/>
    <col width="9.00390625" customWidth="1" style="273" min="8" max="8"/>
    <col width="11.14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17.5742187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421875" customWidth="1" style="273" min="17" max="17"/>
    <col hidden="1" width="6.8515625" customWidth="1" style="273" min="18" max="18"/>
    <col hidden="1" width="13.00390625" customWidth="1" style="273" min="19" max="19"/>
    <col hidden="1" width="5.28125" customWidth="1" style="273" min="20" max="20"/>
    <col width="20.28125" customWidth="1" style="273" min="21" max="21"/>
    <col hidden="1" width="6.8515625" customWidth="1" style="273" min="22" max="22"/>
    <col hidden="1" width="13.00390625" customWidth="1" style="273" min="23" max="23"/>
    <col hidden="1" width="5.28125" customWidth="1" style="273" min="24" max="24"/>
    <col width="15.28125" customWidth="1" style="273" min="25" max="25"/>
    <col width="9.28125" customWidth="1" style="273" min="26" max="33"/>
    <col width="31.28125" customWidth="1" style="273" min="34" max="34"/>
    <col width="65.7109375" customWidth="1" style="273" min="35" max="35"/>
    <col width="58.14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idden="1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 hidden="1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 hidden="1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 hidden="1" ht="21.75" customFormat="1" customHeight="1" s="273"/>
    <row r="7" hidden="1" ht="21.75" customFormat="1" customHeight="1" s="273"/>
    <row r="8" hidden="1" ht="8.25" customFormat="1" customHeight="1" s="273"/>
    <row r="9" ht="36" customFormat="1" customHeight="1" s="273">
      <c r="A9" s="163" t="inlineStr">
        <is>
          <t>RENT COMPARABLES ANALYSIS  —  CUMBERLAND  |  CRYSTAL SPRINGS, MS 39059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4" t="n"/>
      <c r="AB9" s="364" t="n"/>
      <c r="AC9" s="364" t="n"/>
      <c r="AD9" s="364" t="n"/>
      <c r="AE9" s="364" t="n"/>
      <c r="AF9" s="364" t="n"/>
      <c r="AG9" s="365" t="n"/>
      <c r="AH9" s="262" t="inlineStr">
        <is>
          <t>16 - Cumberland  |  68 Units  |  Section 8 / HUD  |  1BD, 2BD, 3BD &amp; 4BD</t>
        </is>
      </c>
      <c r="AI9" s="364" t="n"/>
      <c r="AJ9" s="365" t="n"/>
    </row>
    <row r="10" ht="18" customFormat="1" customHeight="1" s="273">
      <c r="A10" s="241" t="inlineStr">
        <is>
          <t>100 Cumberland Drive, Crystal Springs, MS 39059  |  Copiah County  |  FY2026 FMR: 1BD $642 / 2BD $880 / 3BD $1,100 / 4BD $1,272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4" t="n"/>
      <c r="AC10" s="364" t="n"/>
      <c r="AD10" s="364" t="n"/>
      <c r="AE10" s="364" t="n"/>
      <c r="AF10" s="364" t="n"/>
      <c r="AG10" s="364" t="n"/>
      <c r="AH10" s="364" t="n"/>
      <c r="AI10" s="364" t="n"/>
      <c r="AJ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4" t="n"/>
      <c r="AC11" s="364" t="n"/>
      <c r="AD11" s="364" t="n"/>
      <c r="AE11" s="364" t="n"/>
      <c r="AF11" s="364" t="n"/>
      <c r="AG11" s="364" t="n"/>
      <c r="AH11" s="364" t="n"/>
      <c r="AI11" s="364" t="n"/>
      <c r="AJ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4" t="n"/>
      <c r="AC12" s="364" t="n"/>
      <c r="AD12" s="364" t="n"/>
      <c r="AE12" s="364" t="n"/>
      <c r="AF12" s="364" t="n"/>
      <c r="AG12" s="364" t="n"/>
      <c r="AH12" s="364" t="n"/>
      <c r="AI12" s="364" t="n"/>
      <c r="AJ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1BD
50% AMI</t>
        </is>
      </c>
      <c r="K13" s="244" t="inlineStr">
        <is>
          <t>1BD
60% AMI</t>
        </is>
      </c>
      <c r="L13" s="244" t="inlineStr">
        <is>
          <t>1BD
FMR</t>
        </is>
      </c>
      <c r="M13" s="245" t="inlineStr">
        <is>
          <t>1BD -
Actual</t>
        </is>
      </c>
      <c r="N13" s="244" t="inlineStr">
        <is>
          <t>2BD
50% AMI</t>
        </is>
      </c>
      <c r="O13" s="244" t="inlineStr">
        <is>
          <t>2BD
60% AMI</t>
        </is>
      </c>
      <c r="P13" s="244" t="inlineStr">
        <is>
          <t>2BD
FMR</t>
        </is>
      </c>
      <c r="Q13" s="245" t="inlineStr">
        <is>
          <t>2BD -
Actual</t>
        </is>
      </c>
      <c r="R13" s="244" t="inlineStr">
        <is>
          <t>3BD
50% AMI</t>
        </is>
      </c>
      <c r="S13" s="244" t="inlineStr">
        <is>
          <t>3BD
60% AMI</t>
        </is>
      </c>
      <c r="T13" s="244" t="inlineStr">
        <is>
          <t>3BD
FMR</t>
        </is>
      </c>
      <c r="U13" s="245" t="inlineStr">
        <is>
          <t>3BD -
Actual</t>
        </is>
      </c>
      <c r="V13" s="244" t="inlineStr">
        <is>
          <t>4BD
50% AMI</t>
        </is>
      </c>
      <c r="W13" s="244" t="inlineStr">
        <is>
          <t>4BD
60% AMI</t>
        </is>
      </c>
      <c r="X13" s="244" t="inlineStr">
        <is>
          <t>4BD
FMR</t>
        </is>
      </c>
      <c r="Y13" s="245" t="inlineStr">
        <is>
          <t>4BD -
Actual</t>
        </is>
      </c>
      <c r="Z13" s="247" t="inlineStr">
        <is>
          <t>Units</t>
        </is>
      </c>
      <c r="AA13" s="247" t="inlineStr">
        <is>
          <t>Yr Built</t>
        </is>
      </c>
      <c r="AB13" s="247" t="inlineStr">
        <is>
          <t>Yr Diff</t>
        </is>
      </c>
      <c r="AC13" s="247" t="inlineStr">
        <is>
          <t>Utils
Incl.</t>
        </is>
      </c>
      <c r="AD13" s="247" t="inlineStr">
        <is>
          <t>Pet
Friendly</t>
        </is>
      </c>
      <c r="AE13" s="247" t="inlineStr">
        <is>
          <t>Gated</t>
        </is>
      </c>
      <c r="AF13" s="247" t="inlineStr">
        <is>
          <t>Pool</t>
        </is>
      </c>
      <c r="AG13" s="247" t="inlineStr">
        <is>
          <t>W/D
In-Unit</t>
        </is>
      </c>
      <c r="AH13" s="248" t="inlineStr">
        <is>
          <t>Competition Level</t>
        </is>
      </c>
      <c r="AI13" s="249" t="inlineStr">
        <is>
          <t>Notes / Why Competitive</t>
        </is>
      </c>
      <c r="AJ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277" t="inlineStr">
        <is>
          <t>SUBJECT</t>
        </is>
      </c>
      <c r="C14" s="277" t="inlineStr">
        <is>
          <t>Cumberland (SUBJECT)</t>
        </is>
      </c>
      <c r="D14" s="365" t="n"/>
      <c r="E14" s="183" t="inlineStr">
        <is>
          <t>100 Cumberland Drive</t>
        </is>
      </c>
      <c r="F14" s="183" t="inlineStr">
        <is>
          <t>Crystal Springs</t>
        </is>
      </c>
      <c r="G14" s="183" t="inlineStr">
        <is>
          <t>MS</t>
        </is>
      </c>
      <c r="H14" s="183" t="inlineStr">
        <is>
          <t>39059</t>
        </is>
      </c>
      <c r="I14" s="183" t="inlineStr">
        <is>
          <t>0.0 mi</t>
        </is>
      </c>
      <c r="J14" s="183" t="inlineStr">
        <is>
          <t>$2,160</t>
        </is>
      </c>
      <c r="K14" s="183" t="inlineStr">
        <is>
          <t>$2,592</t>
        </is>
      </c>
      <c r="L14" s="183" t="inlineStr">
        <is>
          <t>$642</t>
        </is>
      </c>
      <c r="M14" s="369">
        <f>'Current Rents'!D18</f>
        <v/>
      </c>
      <c r="N14" s="183" t="inlineStr">
        <is>
          <t>$2,591</t>
        </is>
      </c>
      <c r="O14" s="183" t="inlineStr">
        <is>
          <t>$3,110</t>
        </is>
      </c>
      <c r="P14" s="183" t="inlineStr">
        <is>
          <t>$880</t>
        </is>
      </c>
      <c r="Q14" s="369">
        <f>'Current Rents'!E18</f>
        <v/>
      </c>
      <c r="R14" s="183" t="inlineStr">
        <is>
          <t>$2,879</t>
        </is>
      </c>
      <c r="S14" s="183" t="inlineStr">
        <is>
          <t>$3,455</t>
        </is>
      </c>
      <c r="T14" s="183" t="inlineStr">
        <is>
          <t>$1,100</t>
        </is>
      </c>
      <c r="U14" s="369">
        <f>'Current Rents'!F18</f>
        <v/>
      </c>
      <c r="V14" s="183" t="inlineStr">
        <is>
          <t>$3,112</t>
        </is>
      </c>
      <c r="W14" s="183" t="inlineStr">
        <is>
          <t>$3,735</t>
        </is>
      </c>
      <c r="X14" s="183" t="inlineStr">
        <is>
          <t>$1,272</t>
        </is>
      </c>
      <c r="Y14" s="369">
        <f>'Current Rents'!G18</f>
        <v/>
      </c>
      <c r="Z14" s="183" t="n">
        <v>68</v>
      </c>
      <c r="AA14" s="183" t="n">
        <v>1985</v>
      </c>
      <c r="AB14" s="183" t="inlineStr">
        <is>
          <t>0</t>
        </is>
      </c>
      <c r="AC14" s="186" t="inlineStr">
        <is>
          <t>Yes</t>
        </is>
      </c>
      <c r="AD14" s="187" t="inlineStr">
        <is>
          <t>No</t>
        </is>
      </c>
      <c r="AE14" s="187" t="inlineStr">
        <is>
          <t>No</t>
        </is>
      </c>
      <c r="AF14" s="187" t="inlineStr">
        <is>
          <t>No</t>
        </is>
      </c>
      <c r="AG14" s="187" t="inlineStr">
        <is>
          <t>No</t>
        </is>
      </c>
      <c r="AH14" s="181" t="inlineStr">
        <is>
          <t>SUBJECT</t>
        </is>
      </c>
      <c r="AI14" s="188" t="inlineStr">
        <is>
          <t>68 units | Section 8/HUD. Year built: 1985. Subject property.</t>
        </is>
      </c>
      <c r="AJ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Indian Creek Phase II</t>
        </is>
      </c>
      <c r="D15" s="365" t="n"/>
      <c r="E15" s="194" t="inlineStr">
        <is>
          <t>150 Hwy 469 N</t>
        </is>
      </c>
      <c r="F15" s="194" t="inlineStr">
        <is>
          <t>Florence</t>
        </is>
      </c>
      <c r="G15" s="194" t="inlineStr">
        <is>
          <t>MS</t>
        </is>
      </c>
      <c r="H15" s="194" t="inlineStr">
        <is>
          <t>39073</t>
        </is>
      </c>
      <c r="I15" s="194" t="inlineStr">
        <is>
          <t>18.4 mi</t>
        </is>
      </c>
      <c r="J15" s="194" t="inlineStr">
        <is>
          <t>$2,160</t>
        </is>
      </c>
      <c r="K15" s="194" t="inlineStr">
        <is>
          <t>$2,592</t>
        </is>
      </c>
      <c r="L15" s="194" t="inlineStr">
        <is>
          <t>$642</t>
        </is>
      </c>
      <c r="M15" s="190" t="inlineStr">
        <is>
          <t>Not Listed</t>
        </is>
      </c>
      <c r="N15" s="194" t="inlineStr">
        <is>
          <t>$2,591</t>
        </is>
      </c>
      <c r="O15" s="194" t="inlineStr">
        <is>
          <t>$3,110</t>
        </is>
      </c>
      <c r="P15" s="194" t="inlineStr">
        <is>
          <t>$880</t>
        </is>
      </c>
      <c r="Q15" s="190" t="inlineStr">
        <is>
          <t>Not Listed</t>
        </is>
      </c>
      <c r="R15" s="194" t="inlineStr">
        <is>
          <t>$2,879</t>
        </is>
      </c>
      <c r="S15" s="194" t="inlineStr">
        <is>
          <t>$3,455</t>
        </is>
      </c>
      <c r="T15" s="194" t="inlineStr">
        <is>
          <t>$1,100</t>
        </is>
      </c>
      <c r="U15" s="190" t="inlineStr">
        <is>
          <t>Not Listed</t>
        </is>
      </c>
      <c r="V15" s="194" t="inlineStr">
        <is>
          <t>$3,112</t>
        </is>
      </c>
      <c r="W15" s="194" t="inlineStr">
        <is>
          <t>$3,735</t>
        </is>
      </c>
      <c r="X15" s="194" t="inlineStr">
        <is>
          <t>$1,272</t>
        </is>
      </c>
      <c r="Y15" s="190" t="inlineStr">
        <is>
          <t>Not Listed</t>
        </is>
      </c>
      <c r="Z15" s="194" t="n">
        <v>32</v>
      </c>
      <c r="AA15" s="194" t="n">
        <v>1987</v>
      </c>
      <c r="AB15" s="194" t="n">
        <v>2</v>
      </c>
      <c r="AC15" s="195" t="inlineStr">
        <is>
          <t>Yes</t>
        </is>
      </c>
      <c r="AD15" s="196" t="inlineStr">
        <is>
          <t>No</t>
        </is>
      </c>
      <c r="AE15" s="196" t="inlineStr">
        <is>
          <t>No</t>
        </is>
      </c>
      <c r="AF15" s="196" t="inlineStr">
        <is>
          <t>No</t>
        </is>
      </c>
      <c r="AG15" s="196" t="inlineStr">
        <is>
          <t>No</t>
        </is>
      </c>
      <c r="AH15" s="268" t="inlineStr">
        <is>
          <t>HIGH</t>
        </is>
      </c>
      <c r="AI15" s="198" t="inlineStr">
        <is>
          <t>LIHTC, 1987 vintage, 32 units, 18.4 mi.</t>
        </is>
      </c>
      <c r="AJ15" s="199" t="inlineStr">
        <is>
          <t>HUD LIHTC Database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Towncreek Apts</t>
        </is>
      </c>
      <c r="D16" s="365" t="n"/>
      <c r="E16" s="194" t="inlineStr">
        <is>
          <t>Red Dog Rd</t>
        </is>
      </c>
      <c r="F16" s="194" t="inlineStr">
        <is>
          <t>Carthage</t>
        </is>
      </c>
      <c r="G16" s="194" t="inlineStr">
        <is>
          <t>MS</t>
        </is>
      </c>
      <c r="H16" s="194" t="inlineStr">
        <is>
          <t>N/A</t>
        </is>
      </c>
      <c r="I16" s="194" t="inlineStr">
        <is>
          <t>N/A</t>
        </is>
      </c>
      <c r="J16" s="194" t="inlineStr">
        <is>
          <t>$2,160</t>
        </is>
      </c>
      <c r="K16" s="194" t="inlineStr">
        <is>
          <t>$2,592</t>
        </is>
      </c>
      <c r="L16" s="194" t="inlineStr">
        <is>
          <t>$642</t>
        </is>
      </c>
      <c r="M16" s="190" t="inlineStr">
        <is>
          <t>Not Listed</t>
        </is>
      </c>
      <c r="N16" s="194" t="inlineStr">
        <is>
          <t>$2,591</t>
        </is>
      </c>
      <c r="O16" s="194" t="inlineStr">
        <is>
          <t>$3,110</t>
        </is>
      </c>
      <c r="P16" s="194" t="inlineStr">
        <is>
          <t>$880</t>
        </is>
      </c>
      <c r="Q16" s="190" t="inlineStr">
        <is>
          <t>Not Listed</t>
        </is>
      </c>
      <c r="R16" s="194" t="inlineStr">
        <is>
          <t>$2,879</t>
        </is>
      </c>
      <c r="S16" s="194" t="inlineStr">
        <is>
          <t>$3,455</t>
        </is>
      </c>
      <c r="T16" s="194" t="inlineStr">
        <is>
          <t>$1,100</t>
        </is>
      </c>
      <c r="U16" s="190" t="inlineStr">
        <is>
          <t>Not Listed</t>
        </is>
      </c>
      <c r="V16" s="194" t="inlineStr">
        <is>
          <t>$3,112</t>
        </is>
      </c>
      <c r="W16" s="194" t="inlineStr">
        <is>
          <t>$3,735</t>
        </is>
      </c>
      <c r="X16" s="194" t="inlineStr">
        <is>
          <t>$1,272</t>
        </is>
      </c>
      <c r="Y16" s="190" t="inlineStr">
        <is>
          <t>Not Listed</t>
        </is>
      </c>
      <c r="Z16" s="194" t="n">
        <v>52</v>
      </c>
      <c r="AA16" s="194" t="n">
        <v>1988</v>
      </c>
      <c r="AB16" s="194" t="n">
        <v>3</v>
      </c>
      <c r="AC16" s="195" t="inlineStr">
        <is>
          <t>Yes</t>
        </is>
      </c>
      <c r="AD16" s="196" t="inlineStr">
        <is>
          <t>No</t>
        </is>
      </c>
      <c r="AE16" s="196" t="inlineStr">
        <is>
          <t>No</t>
        </is>
      </c>
      <c r="AF16" s="196" t="inlineStr">
        <is>
          <t>No</t>
        </is>
      </c>
      <c r="AG16" s="196" t="inlineStr">
        <is>
          <t>No</t>
        </is>
      </c>
      <c r="AH16" s="268" t="inlineStr">
        <is>
          <t>HIGH</t>
        </is>
      </c>
      <c r="AI16" s="198" t="inlineStr">
        <is>
          <t>LIHTC, 1988 vintage, 52 units.</t>
        </is>
      </c>
      <c r="AJ16" s="199" t="inlineStr">
        <is>
          <t>HUD LIHTC Database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Bloom Street Apts</t>
        </is>
      </c>
      <c r="D17" s="365" t="n"/>
      <c r="E17" s="194" t="inlineStr">
        <is>
          <t>515 Bloom St</t>
        </is>
      </c>
      <c r="F17" s="194" t="inlineStr">
        <is>
          <t>Jackson</t>
        </is>
      </c>
      <c r="G17" s="194" t="inlineStr">
        <is>
          <t>MS</t>
        </is>
      </c>
      <c r="H17" s="194" t="inlineStr">
        <is>
          <t>39202</t>
        </is>
      </c>
      <c r="I17" s="194" t="inlineStr">
        <is>
          <t>24.2 mi</t>
        </is>
      </c>
      <c r="J17" s="194" t="inlineStr">
        <is>
          <t>$2,160</t>
        </is>
      </c>
      <c r="K17" s="194" t="inlineStr">
        <is>
          <t>$2,592</t>
        </is>
      </c>
      <c r="L17" s="194" t="inlineStr">
        <is>
          <t>$642</t>
        </is>
      </c>
      <c r="M17" s="190" t="inlineStr">
        <is>
          <t>Not Listed</t>
        </is>
      </c>
      <c r="N17" s="194" t="inlineStr">
        <is>
          <t>$2,591</t>
        </is>
      </c>
      <c r="O17" s="194" t="inlineStr">
        <is>
          <t>$3,110</t>
        </is>
      </c>
      <c r="P17" s="194" t="inlineStr">
        <is>
          <t>$880</t>
        </is>
      </c>
      <c r="Q17" s="190" t="inlineStr">
        <is>
          <t>Not Listed</t>
        </is>
      </c>
      <c r="R17" s="194" t="inlineStr">
        <is>
          <t>$2,879</t>
        </is>
      </c>
      <c r="S17" s="194" t="inlineStr">
        <is>
          <t>$3,455</t>
        </is>
      </c>
      <c r="T17" s="194" t="inlineStr">
        <is>
          <t>$1,100</t>
        </is>
      </c>
      <c r="U17" s="190" t="inlineStr">
        <is>
          <t>Not Listed</t>
        </is>
      </c>
      <c r="V17" s="194" t="inlineStr">
        <is>
          <t>$3,112</t>
        </is>
      </c>
      <c r="W17" s="194" t="inlineStr">
        <is>
          <t>$3,735</t>
        </is>
      </c>
      <c r="X17" s="194" t="inlineStr">
        <is>
          <t>$1,272</t>
        </is>
      </c>
      <c r="Y17" s="190" t="inlineStr">
        <is>
          <t>Not Listed</t>
        </is>
      </c>
      <c r="Z17" s="194" t="n">
        <v>24</v>
      </c>
      <c r="AA17" s="194" t="n">
        <v>1987</v>
      </c>
      <c r="AB17" s="194" t="n">
        <v>2</v>
      </c>
      <c r="AC17" s="195" t="inlineStr">
        <is>
          <t>Yes</t>
        </is>
      </c>
      <c r="AD17" s="196" t="inlineStr">
        <is>
          <t>No</t>
        </is>
      </c>
      <c r="AE17" s="196" t="inlineStr">
        <is>
          <t>No</t>
        </is>
      </c>
      <c r="AF17" s="196" t="inlineStr">
        <is>
          <t>No</t>
        </is>
      </c>
      <c r="AG17" s="196" t="inlineStr">
        <is>
          <t>No</t>
        </is>
      </c>
      <c r="AH17" s="268" t="inlineStr">
        <is>
          <t>HIGH</t>
        </is>
      </c>
      <c r="AI17" s="198" t="inlineStr">
        <is>
          <t>LIHTC, 1987 vintage, 24 units, 24.2 mi.</t>
        </is>
      </c>
      <c r="AJ17" s="199" t="inlineStr">
        <is>
          <t>HUD LIHTC Database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Sandstone Apts</t>
        </is>
      </c>
      <c r="D18" s="365" t="n"/>
      <c r="E18" s="194" t="inlineStr">
        <is>
          <t>607 Wallace Dr</t>
        </is>
      </c>
      <c r="F18" s="194" t="inlineStr">
        <is>
          <t>Edwards</t>
        </is>
      </c>
      <c r="G18" s="194" t="inlineStr">
        <is>
          <t>MS</t>
        </is>
      </c>
      <c r="H18" s="194" t="inlineStr">
        <is>
          <t>39066</t>
        </is>
      </c>
      <c r="I18" s="194" t="inlineStr">
        <is>
          <t>28.2 mi</t>
        </is>
      </c>
      <c r="J18" s="194" t="inlineStr">
        <is>
          <t>$2,160</t>
        </is>
      </c>
      <c r="K18" s="194" t="inlineStr">
        <is>
          <t>$2,592</t>
        </is>
      </c>
      <c r="L18" s="194" t="inlineStr">
        <is>
          <t>$642</t>
        </is>
      </c>
      <c r="M18" s="190" t="inlineStr">
        <is>
          <t>Not Listed</t>
        </is>
      </c>
      <c r="N18" s="194" t="inlineStr">
        <is>
          <t>$2,591</t>
        </is>
      </c>
      <c r="O18" s="194" t="inlineStr">
        <is>
          <t>$3,110</t>
        </is>
      </c>
      <c r="P18" s="194" t="inlineStr">
        <is>
          <t>$880</t>
        </is>
      </c>
      <c r="Q18" s="190" t="inlineStr">
        <is>
          <t>Not Listed</t>
        </is>
      </c>
      <c r="R18" s="194" t="inlineStr">
        <is>
          <t>$2,879</t>
        </is>
      </c>
      <c r="S18" s="194" t="inlineStr">
        <is>
          <t>$3,455</t>
        </is>
      </c>
      <c r="T18" s="194" t="inlineStr">
        <is>
          <t>$1,100</t>
        </is>
      </c>
      <c r="U18" s="190" t="inlineStr">
        <is>
          <t>Not Listed</t>
        </is>
      </c>
      <c r="V18" s="194" t="inlineStr">
        <is>
          <t>$3,112</t>
        </is>
      </c>
      <c r="W18" s="194" t="inlineStr">
        <is>
          <t>$3,735</t>
        </is>
      </c>
      <c r="X18" s="194" t="inlineStr">
        <is>
          <t>$1,272</t>
        </is>
      </c>
      <c r="Y18" s="190" t="inlineStr">
        <is>
          <t>Not Listed</t>
        </is>
      </c>
      <c r="Z18" s="194" t="n">
        <v>24</v>
      </c>
      <c r="AA18" s="194" t="n">
        <v>1987</v>
      </c>
      <c r="AB18" s="194" t="n">
        <v>2</v>
      </c>
      <c r="AC18" s="195" t="inlineStr">
        <is>
          <t>Yes</t>
        </is>
      </c>
      <c r="AD18" s="196" t="inlineStr">
        <is>
          <t>No</t>
        </is>
      </c>
      <c r="AE18" s="196" t="inlineStr">
        <is>
          <t>No</t>
        </is>
      </c>
      <c r="AF18" s="196" t="inlineStr">
        <is>
          <t>No</t>
        </is>
      </c>
      <c r="AG18" s="196" t="inlineStr">
        <is>
          <t>No</t>
        </is>
      </c>
      <c r="AH18" s="268" t="inlineStr">
        <is>
          <t>HIGH</t>
        </is>
      </c>
      <c r="AI18" s="198" t="inlineStr">
        <is>
          <t>LIHTC, 1987 vintage, 24 units, 28.2 mi.</t>
        </is>
      </c>
      <c r="AJ18" s="199" t="inlineStr">
        <is>
          <t>HUD LIHTC Database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MidSouth 301</t>
        </is>
      </c>
      <c r="D19" s="253" t="inlineStr">
        <is>
          <t>COMPETITION</t>
        </is>
      </c>
      <c r="E19" s="205" t="inlineStr">
        <is>
          <t>301 Elton Park Dr</t>
        </is>
      </c>
      <c r="F19" s="205" t="inlineStr">
        <is>
          <t>Jackson</t>
        </is>
      </c>
      <c r="G19" s="205" t="inlineStr">
        <is>
          <t>MS</t>
        </is>
      </c>
      <c r="H19" s="205" t="inlineStr">
        <is>
          <t>39212</t>
        </is>
      </c>
      <c r="I19" s="205" t="inlineStr">
        <is>
          <t>~28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1241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n">
        <v>1213</v>
      </c>
      <c r="R19" s="206" t="inlineStr">
        <is>
          <t>N/A</t>
        </is>
      </c>
      <c r="S19" s="206" t="inlineStr">
        <is>
          <t>N/A</t>
        </is>
      </c>
      <c r="T19" s="206" t="inlineStr">
        <is>
          <t>N/A</t>
        </is>
      </c>
      <c r="U19" s="370" t="n">
        <v>1342</v>
      </c>
      <c r="V19" s="206" t="inlineStr">
        <is>
          <t>N/A</t>
        </is>
      </c>
      <c r="W19" s="206" t="inlineStr">
        <is>
          <t>N/A</t>
        </is>
      </c>
      <c r="X19" s="206" t="inlineStr">
        <is>
          <t>N/A</t>
        </is>
      </c>
      <c r="Y19" s="219" t="inlineStr">
        <is>
          <t>Phone Verify</t>
        </is>
      </c>
      <c r="Z19" s="205" t="inlineStr">
        <is>
          <t>N/A</t>
        </is>
      </c>
      <c r="AA19" s="205" t="inlineStr">
        <is>
          <t>N/A</t>
        </is>
      </c>
      <c r="AB19" s="205" t="inlineStr">
        <is>
          <t>N/A</t>
        </is>
      </c>
      <c r="AC19" s="201" t="inlineStr">
        <is>
          <t>N/A</t>
        </is>
      </c>
      <c r="AD19" s="201" t="inlineStr">
        <is>
          <t>N/A</t>
        </is>
      </c>
      <c r="AE19" s="210" t="inlineStr">
        <is>
          <t>No</t>
        </is>
      </c>
      <c r="AF19" s="201" t="inlineStr">
        <is>
          <t>N/A</t>
        </is>
      </c>
      <c r="AG19" s="201" t="inlineStr">
        <is>
          <t>N/A</t>
        </is>
      </c>
      <c r="AH19" s="268" t="inlineStr">
        <is>
          <t>HIGH</t>
        </is>
      </c>
      <c r="AI19" s="213" t="inlineStr">
        <is>
          <t>PHONE VERIFY 4BD — no 4BD units; 3BD used as proxy.</t>
        </is>
      </c>
      <c r="AJ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Bradford Place</t>
        </is>
      </c>
      <c r="D20" s="371" t="n"/>
      <c r="E20" s="205" t="inlineStr">
        <is>
          <t>100 Byram Dr</t>
        </is>
      </c>
      <c r="F20" s="205" t="inlineStr">
        <is>
          <t>Byram</t>
        </is>
      </c>
      <c r="G20" s="205" t="inlineStr">
        <is>
          <t>MS</t>
        </is>
      </c>
      <c r="H20" s="205" t="inlineStr">
        <is>
          <t>39272</t>
        </is>
      </c>
      <c r="I20" s="205" t="inlineStr">
        <is>
          <t>~20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1260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n">
        <v>1405</v>
      </c>
      <c r="R20" s="206" t="inlineStr">
        <is>
          <t>N/A</t>
        </is>
      </c>
      <c r="S20" s="206" t="inlineStr">
        <is>
          <t>N/A</t>
        </is>
      </c>
      <c r="T20" s="206" t="inlineStr">
        <is>
          <t>N/A</t>
        </is>
      </c>
      <c r="U20" s="219" t="n">
        <v>1428</v>
      </c>
      <c r="V20" s="206" t="inlineStr">
        <is>
          <t>N/A</t>
        </is>
      </c>
      <c r="W20" s="206" t="inlineStr">
        <is>
          <t>N/A</t>
        </is>
      </c>
      <c r="X20" s="206" t="inlineStr">
        <is>
          <t>N/A</t>
        </is>
      </c>
      <c r="Y20" s="219" t="inlineStr">
        <is>
          <t>Phone Verify</t>
        </is>
      </c>
      <c r="Z20" s="205" t="inlineStr">
        <is>
          <t>N/A</t>
        </is>
      </c>
      <c r="AA20" s="205" t="inlineStr">
        <is>
          <t>N/A</t>
        </is>
      </c>
      <c r="AB20" s="205" t="inlineStr">
        <is>
          <t>N/A</t>
        </is>
      </c>
      <c r="AC20" s="201" t="inlineStr">
        <is>
          <t>N/A</t>
        </is>
      </c>
      <c r="AD20" s="201" t="inlineStr">
        <is>
          <t>N/A</t>
        </is>
      </c>
      <c r="AE20" s="210" t="inlineStr">
        <is>
          <t>No</t>
        </is>
      </c>
      <c r="AF20" s="201" t="inlineStr">
        <is>
          <t>N/A</t>
        </is>
      </c>
      <c r="AG20" s="201" t="inlineStr">
        <is>
          <t>N/A</t>
        </is>
      </c>
      <c r="AH20" s="268" t="inlineStr">
        <is>
          <t>HIGH</t>
        </is>
      </c>
      <c r="AI20" s="213" t="inlineStr">
        <is>
          <t>PHONE VERIFY 4BD — no 4BD units; 3BD used as proxy.</t>
        </is>
      </c>
      <c r="AJ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Grand at Pearl</t>
        </is>
      </c>
      <c r="D21" s="371" t="n"/>
      <c r="E21" s="205" t="inlineStr">
        <is>
          <t>200 Colony Park Dr</t>
        </is>
      </c>
      <c r="F21" s="205" t="inlineStr">
        <is>
          <t>Pearl</t>
        </is>
      </c>
      <c r="G21" s="205" t="inlineStr">
        <is>
          <t>MS</t>
        </is>
      </c>
      <c r="H21" s="205" t="inlineStr">
        <is>
          <t>39208</t>
        </is>
      </c>
      <c r="I21" s="205" t="inlineStr">
        <is>
          <t>~22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1327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1439</v>
      </c>
      <c r="R21" s="206" t="inlineStr">
        <is>
          <t>N/A</t>
        </is>
      </c>
      <c r="S21" s="206" t="inlineStr">
        <is>
          <t>N/A</t>
        </is>
      </c>
      <c r="T21" s="206" t="inlineStr">
        <is>
          <t>N/A</t>
        </is>
      </c>
      <c r="U21" s="219" t="n">
        <v>1558</v>
      </c>
      <c r="V21" s="206" t="inlineStr">
        <is>
          <t>N/A</t>
        </is>
      </c>
      <c r="W21" s="206" t="inlineStr">
        <is>
          <t>N/A</t>
        </is>
      </c>
      <c r="X21" s="206" t="inlineStr">
        <is>
          <t>N/A</t>
        </is>
      </c>
      <c r="Y21" s="219" t="inlineStr">
        <is>
          <t>Phone Verify</t>
        </is>
      </c>
      <c r="Z21" s="205" t="inlineStr">
        <is>
          <t>N/A</t>
        </is>
      </c>
      <c r="AA21" s="205" t="inlineStr">
        <is>
          <t>N/A</t>
        </is>
      </c>
      <c r="AB21" s="205" t="inlineStr">
        <is>
          <t>N/A</t>
        </is>
      </c>
      <c r="AC21" s="201" t="inlineStr">
        <is>
          <t>N/A</t>
        </is>
      </c>
      <c r="AD21" s="201" t="inlineStr">
        <is>
          <t>N/A</t>
        </is>
      </c>
      <c r="AE21" s="210" t="inlineStr">
        <is>
          <t>No</t>
        </is>
      </c>
      <c r="AF21" s="201" t="inlineStr">
        <is>
          <t>N/A</t>
        </is>
      </c>
      <c r="AG21" s="201" t="inlineStr">
        <is>
          <t>N/A</t>
        </is>
      </c>
      <c r="AH21" s="268" t="inlineStr">
        <is>
          <t>HIGH</t>
        </is>
      </c>
      <c r="AI21" s="213" t="inlineStr">
        <is>
          <t>PHONE VERIFY 4BD — no 4BD units; 3BD used as proxy.</t>
        </is>
      </c>
      <c r="AJ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Spring Lake</t>
        </is>
      </c>
      <c r="D22" s="371" t="n"/>
      <c r="E22" s="205" t="inlineStr">
        <is>
          <t>1000 Spring Lake Blvd</t>
        </is>
      </c>
      <c r="F22" s="205" t="inlineStr">
        <is>
          <t>Byram</t>
        </is>
      </c>
      <c r="G22" s="205" t="inlineStr">
        <is>
          <t>MS</t>
        </is>
      </c>
      <c r="H22" s="205" t="inlineStr">
        <is>
          <t>39272</t>
        </is>
      </c>
      <c r="I22" s="205" t="inlineStr">
        <is>
          <t>~20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1271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n">
        <v>1568</v>
      </c>
      <c r="R22" s="206" t="inlineStr">
        <is>
          <t>N/A</t>
        </is>
      </c>
      <c r="S22" s="206" t="inlineStr">
        <is>
          <t>N/A</t>
        </is>
      </c>
      <c r="T22" s="206" t="inlineStr">
        <is>
          <t>N/A</t>
        </is>
      </c>
      <c r="U22" s="370" t="n">
        <v>1533</v>
      </c>
      <c r="V22" s="206" t="inlineStr">
        <is>
          <t>N/A</t>
        </is>
      </c>
      <c r="W22" s="206" t="inlineStr">
        <is>
          <t>N/A</t>
        </is>
      </c>
      <c r="X22" s="206" t="inlineStr">
        <is>
          <t>N/A</t>
        </is>
      </c>
      <c r="Y22" s="219" t="inlineStr">
        <is>
          <t>Phone Verify</t>
        </is>
      </c>
      <c r="Z22" s="205" t="inlineStr">
        <is>
          <t>N/A</t>
        </is>
      </c>
      <c r="AA22" s="205" t="inlineStr">
        <is>
          <t>N/A</t>
        </is>
      </c>
      <c r="AB22" s="205" t="inlineStr">
        <is>
          <t>N/A</t>
        </is>
      </c>
      <c r="AC22" s="201" t="inlineStr">
        <is>
          <t>N/A</t>
        </is>
      </c>
      <c r="AD22" s="201" t="inlineStr">
        <is>
          <t>N/A</t>
        </is>
      </c>
      <c r="AE22" s="210" t="inlineStr">
        <is>
          <t>No</t>
        </is>
      </c>
      <c r="AF22" s="201" t="inlineStr">
        <is>
          <t>N/A</t>
        </is>
      </c>
      <c r="AG22" s="201" t="inlineStr">
        <is>
          <t>N/A</t>
        </is>
      </c>
      <c r="AH22" s="268" t="inlineStr">
        <is>
          <t>HIGH</t>
        </is>
      </c>
      <c r="AI22" s="213" t="inlineStr">
        <is>
          <t>PHONE VERIFY 4BD — no 4BD units; 3BD used as proxy.</t>
        </is>
      </c>
      <c r="AJ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Southwind</t>
        </is>
      </c>
      <c r="D23" s="371" t="n"/>
      <c r="E23" s="205" t="inlineStr">
        <is>
          <t>260 Lowe Cir</t>
        </is>
      </c>
      <c r="F23" s="205" t="inlineStr">
        <is>
          <t>Richland</t>
        </is>
      </c>
      <c r="G23" s="205" t="inlineStr">
        <is>
          <t>MS</t>
        </is>
      </c>
      <c r="H23" s="205" t="inlineStr">
        <is>
          <t>39218</t>
        </is>
      </c>
      <c r="I23" s="205" t="inlineStr">
        <is>
          <t>~21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1179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n">
        <v>1382</v>
      </c>
      <c r="R23" s="206" t="inlineStr">
        <is>
          <t>N/A</t>
        </is>
      </c>
      <c r="S23" s="206" t="inlineStr">
        <is>
          <t>N/A</t>
        </is>
      </c>
      <c r="T23" s="206" t="inlineStr">
        <is>
          <t>N/A</t>
        </is>
      </c>
      <c r="U23" s="219" t="n">
        <v>1474</v>
      </c>
      <c r="V23" s="206" t="inlineStr">
        <is>
          <t>N/A</t>
        </is>
      </c>
      <c r="W23" s="206" t="inlineStr">
        <is>
          <t>N/A</t>
        </is>
      </c>
      <c r="X23" s="206" t="inlineStr">
        <is>
          <t>N/A</t>
        </is>
      </c>
      <c r="Y23" s="219" t="inlineStr">
        <is>
          <t>Phone Verify</t>
        </is>
      </c>
      <c r="Z23" s="205" t="inlineStr">
        <is>
          <t>N/A</t>
        </is>
      </c>
      <c r="AA23" s="205" t="inlineStr">
        <is>
          <t>N/A</t>
        </is>
      </c>
      <c r="AB23" s="205" t="inlineStr">
        <is>
          <t>N/A</t>
        </is>
      </c>
      <c r="AC23" s="201" t="inlineStr">
        <is>
          <t>N/A</t>
        </is>
      </c>
      <c r="AD23" s="201" t="inlineStr">
        <is>
          <t>N/A</t>
        </is>
      </c>
      <c r="AE23" s="210" t="inlineStr">
        <is>
          <t>No</t>
        </is>
      </c>
      <c r="AF23" s="201" t="inlineStr">
        <is>
          <t>N/A</t>
        </is>
      </c>
      <c r="AG23" s="201" t="inlineStr">
        <is>
          <t>N/A</t>
        </is>
      </c>
      <c r="AH23" s="268" t="inlineStr">
        <is>
          <t>HIGH</t>
        </is>
      </c>
      <c r="AI23" s="213" t="inlineStr">
        <is>
          <t>PHONE VERIFY 4BD — no 4BD units; 3BD used as proxy.</t>
        </is>
      </c>
      <c r="AJ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The Reserve of Byram</t>
        </is>
      </c>
      <c r="D24" s="372" t="n"/>
      <c r="E24" s="205" t="inlineStr">
        <is>
          <t>350 Byram Dr</t>
        </is>
      </c>
      <c r="F24" s="205" t="inlineStr">
        <is>
          <t>Byram</t>
        </is>
      </c>
      <c r="G24" s="205" t="inlineStr">
        <is>
          <t>MS</t>
        </is>
      </c>
      <c r="H24" s="205" t="inlineStr">
        <is>
          <t>39272</t>
        </is>
      </c>
      <c r="I24" s="205" t="inlineStr">
        <is>
          <t>~20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6" t="inlineStr">
        <is>
          <t>N/A</t>
        </is>
      </c>
      <c r="S24" s="206" t="inlineStr">
        <is>
          <t>N/A</t>
        </is>
      </c>
      <c r="T24" s="206" t="inlineStr">
        <is>
          <t>N/A</t>
        </is>
      </c>
      <c r="U24" s="370" t="n">
        <v>1473</v>
      </c>
      <c r="V24" s="206" t="inlineStr">
        <is>
          <t>N/A</t>
        </is>
      </c>
      <c r="W24" s="206" t="inlineStr">
        <is>
          <t>N/A</t>
        </is>
      </c>
      <c r="X24" s="206" t="inlineStr">
        <is>
          <t>N/A</t>
        </is>
      </c>
      <c r="Y24" s="219" t="inlineStr">
        <is>
          <t>Phone Verify</t>
        </is>
      </c>
      <c r="Z24" s="205" t="inlineStr">
        <is>
          <t>N/A</t>
        </is>
      </c>
      <c r="AA24" s="205" t="inlineStr">
        <is>
          <t>N/A</t>
        </is>
      </c>
      <c r="AB24" s="205" t="inlineStr">
        <is>
          <t>N/A</t>
        </is>
      </c>
      <c r="AC24" s="201" t="inlineStr">
        <is>
          <t>N/A</t>
        </is>
      </c>
      <c r="AD24" s="201" t="inlineStr">
        <is>
          <t>N/A</t>
        </is>
      </c>
      <c r="AE24" s="210" t="inlineStr">
        <is>
          <t>No</t>
        </is>
      </c>
      <c r="AF24" s="201" t="inlineStr">
        <is>
          <t>N/A</t>
        </is>
      </c>
      <c r="AG24" s="201" t="inlineStr">
        <is>
          <t>N/A</t>
        </is>
      </c>
      <c r="AH24" s="268" t="inlineStr">
        <is>
          <t>HIGH</t>
        </is>
      </c>
      <c r="AI24" s="213" t="inlineStr">
        <is>
          <t>PHONE VERIFY — limited online data. 4BD: 3BD proxy.</t>
        </is>
      </c>
      <c r="AJ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Copiah County, MS</t>
        </is>
      </c>
      <c r="D25" s="365" t="n"/>
      <c r="E25" s="220" t="inlineStr">
        <is>
          <t>N/A</t>
        </is>
      </c>
      <c r="F25" s="220" t="inlineStr">
        <is>
          <t>Crystal Springs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$642</t>
        </is>
      </c>
      <c r="K25" s="220" t="inlineStr">
        <is>
          <t>$642</t>
        </is>
      </c>
      <c r="L25" s="220" t="inlineStr">
        <is>
          <t>$642</t>
        </is>
      </c>
      <c r="M25" s="220" t="inlineStr">
        <is>
          <t>N/A</t>
        </is>
      </c>
      <c r="N25" s="220" t="inlineStr">
        <is>
          <t>$880</t>
        </is>
      </c>
      <c r="O25" s="220" t="inlineStr">
        <is>
          <t>$880</t>
        </is>
      </c>
      <c r="P25" s="220" t="inlineStr">
        <is>
          <t>$880</t>
        </is>
      </c>
      <c r="Q25" s="220" t="inlineStr">
        <is>
          <t>N/A</t>
        </is>
      </c>
      <c r="R25" s="220" t="inlineStr">
        <is>
          <t>$1,100</t>
        </is>
      </c>
      <c r="S25" s="220" t="inlineStr">
        <is>
          <t>$1,100</t>
        </is>
      </c>
      <c r="T25" s="220" t="inlineStr">
        <is>
          <t>$1,100</t>
        </is>
      </c>
      <c r="U25" s="220" t="inlineStr">
        <is>
          <t>N/A</t>
        </is>
      </c>
      <c r="V25" s="220" t="inlineStr">
        <is>
          <t>$1,272</t>
        </is>
      </c>
      <c r="W25" s="220" t="inlineStr">
        <is>
          <t>$1,272</t>
        </is>
      </c>
      <c r="X25" s="220" t="inlineStr">
        <is>
          <t>$1,272</t>
        </is>
      </c>
      <c r="Y25" s="220" t="inlineStr">
        <is>
          <t>N/A</t>
        </is>
      </c>
      <c r="Z25" s="220" t="inlineStr">
        <is>
          <t>N/A</t>
        </is>
      </c>
      <c r="AA25" s="220" t="inlineStr">
        <is>
          <t>N/A</t>
        </is>
      </c>
      <c r="AB25" s="220" t="inlineStr">
        <is>
          <t>N/A</t>
        </is>
      </c>
      <c r="AC25" s="220" t="inlineStr">
        <is>
          <t>N/A</t>
        </is>
      </c>
      <c r="AD25" s="220" t="inlineStr">
        <is>
          <t>N/A</t>
        </is>
      </c>
      <c r="AE25" s="220" t="inlineStr">
        <is>
          <t>N/A</t>
        </is>
      </c>
      <c r="AF25" s="220" t="inlineStr">
        <is>
          <t>N/A</t>
        </is>
      </c>
      <c r="AG25" s="220" t="inlineStr">
        <is>
          <t>N/A</t>
        </is>
      </c>
      <c r="AH25" s="202" t="inlineStr">
        <is>
          <t>BENCHMARK</t>
        </is>
      </c>
      <c r="AI25" s="224" t="inlineStr">
        <is>
          <t>HUD FMR for Copiah County, MS, FY2026.</t>
        </is>
      </c>
      <c r="AJ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Jackson MSA/Florence (Aug 2026)</t>
        </is>
      </c>
      <c r="D26" s="365" t="n"/>
      <c r="E26" s="226" t="inlineStr">
        <is>
          <t>N/A</t>
        </is>
      </c>
      <c r="F26" s="226" t="inlineStr">
        <is>
          <t>Crystal Springs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$1,256</t>
        </is>
      </c>
      <c r="N26" s="226" t="n">
        <v>1041</v>
      </c>
      <c r="O26" s="226" t="n">
        <v>1041</v>
      </c>
      <c r="P26" s="226" t="n">
        <v>1041</v>
      </c>
      <c r="Q26" s="383" t="inlineStr">
        <is>
          <t>$1,401</t>
        </is>
      </c>
      <c r="R26" s="384" t="n">
        <v>1374</v>
      </c>
      <c r="S26" s="384" t="n">
        <v>1374</v>
      </c>
      <c r="T26" s="384" t="n">
        <v>1374</v>
      </c>
      <c r="U26" s="383" t="inlineStr">
        <is>
          <t>$1,468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9" t="inlineStr">
        <is>
          <t>N/A (Phone Verify)</t>
        </is>
      </c>
      <c r="Z26" s="226" t="inlineStr">
        <is>
          <t>N/A</t>
        </is>
      </c>
      <c r="AA26" s="226" t="inlineStr">
        <is>
          <t>N/A</t>
        </is>
      </c>
      <c r="AB26" s="226" t="inlineStr">
        <is>
          <t>N/A</t>
        </is>
      </c>
      <c r="AC26" s="226" t="inlineStr">
        <is>
          <t>N/A</t>
        </is>
      </c>
      <c r="AD26" s="226" t="inlineStr">
        <is>
          <t>N/A</t>
        </is>
      </c>
      <c r="AE26" s="226" t="inlineStr">
        <is>
          <t>N/A</t>
        </is>
      </c>
      <c r="AF26" s="226" t="inlineStr">
        <is>
          <t>N/A</t>
        </is>
      </c>
      <c r="AG26" s="226" t="inlineStr">
        <is>
          <t>N/A</t>
        </is>
      </c>
      <c r="AH26" s="202" t="inlineStr">
        <is>
          <t>BENCHMARK</t>
        </is>
      </c>
      <c r="AI26" s="230" t="inlineStr">
        <is>
          <t>Live Market Avg from verified comps only, Aug 4, 2026. 1BD/2BD avg $1,256 / 2BD/3BD/4BD avg $1,401 / 3BD/4BD avg $1,468 / 4BD N/A.</t>
        </is>
      </c>
      <c r="AJ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  <c r="AC30" s="273" t="n"/>
      <c r="AD30" s="273" t="n"/>
      <c r="AE30" s="273" t="n"/>
      <c r="AF30" s="273" t="n"/>
      <c r="AG30" s="273" t="n"/>
      <c r="AH30" s="273" t="n"/>
      <c r="AI30" s="273" t="n"/>
      <c r="AJ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  <c r="AC31" s="273" t="n"/>
      <c r="AD31" s="273" t="n"/>
      <c r="AE31" s="273" t="n"/>
      <c r="AF31" s="273" t="n"/>
      <c r="AG31" s="273" t="n"/>
      <c r="AH31" s="273" t="n"/>
      <c r="AI31" s="273" t="n"/>
      <c r="AJ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  <c r="AC32" s="273" t="n"/>
      <c r="AD32" s="273" t="n"/>
      <c r="AE32" s="273" t="n"/>
      <c r="AF32" s="273" t="n"/>
      <c r="AG32" s="273" t="n"/>
      <c r="AH32" s="273" t="n"/>
      <c r="AI32" s="273" t="n"/>
      <c r="AJ32" s="273" t="n"/>
    </row>
    <row r="33" ht="20.25" customFormat="1" customHeight="1" s="273">
      <c r="A33" s="235" t="inlineStr">
        <is>
          <t>1BD</t>
        </is>
      </c>
      <c r="B33" s="385">
        <f>'Current Rents'!D18</f>
        <v/>
      </c>
      <c r="C33" s="386" t="n">
        <v>1256</v>
      </c>
      <c r="D33" s="387" t="n"/>
      <c r="E33" s="388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  <c r="AC33" s="273" t="n"/>
      <c r="AD33" s="273" t="n"/>
      <c r="AE33" s="273" t="n"/>
      <c r="AF33" s="273" t="n"/>
      <c r="AG33" s="273" t="n"/>
      <c r="AH33" s="273" t="n"/>
      <c r="AI33" s="273" t="n"/>
      <c r="AJ33" s="273" t="n"/>
    </row>
    <row r="34" ht="20.25" customFormat="1" customHeight="1" s="273">
      <c r="A34" s="235" t="inlineStr">
        <is>
          <t>2BD</t>
        </is>
      </c>
      <c r="B34" s="385">
        <f>'Current Rents'!E18</f>
        <v/>
      </c>
      <c r="C34" s="386" t="n">
        <v>1401</v>
      </c>
      <c r="D34" s="387" t="n"/>
      <c r="E34" s="38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  <c r="AC34" s="273" t="n"/>
      <c r="AD34" s="273" t="n"/>
      <c r="AE34" s="273" t="n"/>
      <c r="AF34" s="273" t="n"/>
      <c r="AG34" s="273" t="n"/>
      <c r="AH34" s="273" t="n"/>
      <c r="AI34" s="273" t="n"/>
      <c r="AJ34" s="273" t="n"/>
    </row>
    <row r="35" ht="20.25" customFormat="1" customHeight="1" s="273">
      <c r="A35" s="235" t="inlineStr">
        <is>
          <t>3BD</t>
        </is>
      </c>
      <c r="B35" s="385">
        <f>'Current Rents'!F18</f>
        <v/>
      </c>
      <c r="C35" s="386" t="n">
        <v>1468</v>
      </c>
      <c r="D35" s="387" t="n"/>
      <c r="E35" s="388">
        <f>B35-C35</f>
        <v/>
      </c>
      <c r="F35" s="161">
        <f>IF(E35&lt;-75,"LOOK INTO INCREASING THE RENT!","")</f>
        <v/>
      </c>
      <c r="G35" s="273" t="n"/>
      <c r="H35" s="273" t="n"/>
      <c r="I35" s="273" t="n"/>
      <c r="J35" s="273" t="n"/>
      <c r="K35" s="273" t="n"/>
      <c r="L35" s="273" t="n"/>
      <c r="M35" s="273" t="n"/>
      <c r="N35" s="273" t="n"/>
      <c r="O35" s="273" t="n"/>
      <c r="P35" s="273" t="n"/>
      <c r="Q35" s="273" t="n"/>
      <c r="R35" s="273" t="n"/>
      <c r="S35" s="273" t="n"/>
      <c r="T35" s="273" t="n"/>
      <c r="U35" s="273" t="n"/>
      <c r="V35" s="273" t="n"/>
      <c r="W35" s="273" t="n"/>
      <c r="X35" s="273" t="n"/>
      <c r="Y35" s="273" t="n"/>
      <c r="Z35" s="273" t="n"/>
      <c r="AA35" s="273" t="n"/>
      <c r="AB35" s="273" t="n"/>
      <c r="AC35" s="273" t="n"/>
      <c r="AD35" s="273" t="n"/>
      <c r="AE35" s="273" t="n"/>
      <c r="AF35" s="273" t="n"/>
      <c r="AG35" s="273" t="n"/>
      <c r="AH35" s="273" t="n"/>
      <c r="AI35" s="273" t="n"/>
      <c r="AJ35" s="273" t="n"/>
    </row>
    <row r="36" ht="20.25" customFormat="1" customHeight="1" s="273">
      <c r="A36" s="235" t="inlineStr">
        <is>
          <t>4BD</t>
        </is>
      </c>
      <c r="B36" s="385">
        <f>'Current Rents'!G18</f>
        <v/>
      </c>
      <c r="C36" s="386" t="inlineStr">
        <is>
          <t>N/A</t>
        </is>
      </c>
      <c r="D36" s="387" t="n"/>
      <c r="E36" s="388">
        <f>B36-C36</f>
        <v/>
      </c>
      <c r="F36" s="161">
        <f>IF(E36&lt;-75,"LOOK INTO INCREASING THE RENT!","")</f>
        <v/>
      </c>
      <c r="G36" s="273" t="n"/>
      <c r="H36" s="273" t="n"/>
      <c r="I36" s="273" t="n"/>
      <c r="J36" s="273" t="n"/>
      <c r="K36" s="273" t="n"/>
      <c r="L36" s="273" t="n"/>
      <c r="M36" s="273" t="n"/>
      <c r="N36" s="273" t="n"/>
      <c r="O36" s="273" t="n"/>
      <c r="P36" s="273" t="n"/>
      <c r="Q36" s="273" t="n"/>
      <c r="R36" s="273" t="n"/>
      <c r="S36" s="273" t="n"/>
      <c r="T36" s="273" t="n"/>
      <c r="U36" s="273" t="n"/>
      <c r="V36" s="273" t="n"/>
      <c r="W36" s="273" t="n"/>
      <c r="X36" s="273" t="n"/>
      <c r="Y36" s="273" t="n"/>
      <c r="Z36" s="273" t="n"/>
      <c r="AA36" s="273" t="n"/>
      <c r="AB36" s="273" t="n"/>
      <c r="AC36" s="273" t="n"/>
      <c r="AD36" s="273" t="n"/>
      <c r="AE36" s="273" t="n"/>
      <c r="AF36" s="273" t="n"/>
      <c r="AG36" s="273" t="n"/>
      <c r="AH36" s="273" t="n"/>
      <c r="AI36" s="273" t="n"/>
      <c r="AJ36" s="273" t="n"/>
    </row>
  </sheetData>
  <mergeCells count="18">
    <mergeCell ref="A9:AG9"/>
    <mergeCell ref="C32:D32"/>
    <mergeCell ref="A30:H30"/>
    <mergeCell ref="C16:D16"/>
    <mergeCell ref="C15:D15"/>
    <mergeCell ref="C25:D25"/>
    <mergeCell ref="A31:H31"/>
    <mergeCell ref="A12:AJ12"/>
    <mergeCell ref="C26:D26"/>
    <mergeCell ref="C14:D14"/>
    <mergeCell ref="AH9:AJ9"/>
    <mergeCell ref="C13:D13"/>
    <mergeCell ref="A10:AJ10"/>
    <mergeCell ref="A28:AJ28"/>
    <mergeCell ref="C17:D17"/>
    <mergeCell ref="C18:D18"/>
    <mergeCell ref="A11:AJ11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4"/>
  <sheetViews>
    <sheetView topLeftCell="A1"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15625" customWidth="1" style="273" min="1" max="1"/>
    <col width="19.140625" customWidth="1" style="273" min="2" max="2"/>
    <col width="47.140625" customWidth="1" style="273" min="3" max="3"/>
    <col width="2.8515625" customWidth="1" style="273" min="4" max="4"/>
    <col width="31.421875" customWidth="1" style="273" min="5" max="5"/>
    <col width="10.7109375" customWidth="1" style="273" min="6" max="6"/>
    <col width="8.7109375" customWidth="1" style="273" min="7" max="9"/>
    <col hidden="1" width="6.8515625" customWidth="1" style="273" min="10" max="10"/>
    <col hidden="1" width="13.00390625" customWidth="1" style="273" min="11" max="11"/>
    <col hidden="1" width="5.28125" customWidth="1" style="273" min="12" max="12"/>
    <col width="21.140625" customWidth="1" style="273" min="13" max="13"/>
    <col hidden="1" width="6.8515625" customWidth="1" style="273" min="14" max="14"/>
    <col hidden="1" width="13.00390625" customWidth="1" style="273" min="15" max="15"/>
    <col hidden="1" width="5.28125" customWidth="1" style="273" min="16" max="16"/>
    <col width="20.00390625" customWidth="1" style="273" min="17" max="17"/>
    <col width="10.28125" customWidth="1" style="273" min="18" max="25"/>
    <col width="26.00390625" customWidth="1" style="273" min="26" max="26"/>
    <col width="65.7109375" customWidth="1" style="273" min="27" max="27"/>
    <col width="53.42187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WALNUT HILL  |  NATCHEZ, MS 39120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59 - Walnut Hill  |  168 Units  |  Section 8 / HUD  |  2BD &amp; 3BD</t>
        </is>
      </c>
      <c r="AA9" s="364" t="n"/>
      <c r="AB9" s="365" t="n"/>
    </row>
    <row r="10" ht="18" customFormat="1" customHeight="1" s="273">
      <c r="A10" s="241" t="inlineStr">
        <is>
          <t>Natchez, MS 39120  |  Adams County  |  FY2026 FMR: 2BD $820 / 3BD $1,040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April 30, 2026  |  Sources: Apartments.com, HUD FMR Database, HUD Multifamily Assisted Housing,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5" t="inlineStr">
        <is>
          <t>2BD -
Actual</t>
        </is>
      </c>
      <c r="N13" s="244" t="inlineStr">
        <is>
          <t>3BD
50% AMI</t>
        </is>
      </c>
      <c r="O13" s="244" t="inlineStr">
        <is>
          <t>3BD
60% AMI</t>
        </is>
      </c>
      <c r="P13" s="244" t="inlineStr">
        <is>
          <t>3BD
FMR</t>
        </is>
      </c>
      <c r="Q13" s="245" t="inlineStr">
        <is>
          <t>3BD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Walnut Hill (SUBJECT)</t>
        </is>
      </c>
      <c r="D14" s="365" t="n"/>
      <c r="E14" s="183" t="inlineStr">
        <is>
          <t>Natchez</t>
        </is>
      </c>
      <c r="F14" s="183" t="inlineStr">
        <is>
          <t>Natchez</t>
        </is>
      </c>
      <c r="G14" s="183" t="inlineStr">
        <is>
          <t>MS</t>
        </is>
      </c>
      <c r="H14" s="183" t="inlineStr">
        <is>
          <t>39120</t>
        </is>
      </c>
      <c r="I14" s="183" t="inlineStr">
        <is>
          <t>0.0 mi</t>
        </is>
      </c>
      <c r="J14" s="183" t="inlineStr">
        <is>
          <t>$2,591</t>
        </is>
      </c>
      <c r="K14" s="183" t="inlineStr">
        <is>
          <t>$3,110</t>
        </is>
      </c>
      <c r="L14" s="183" t="inlineStr">
        <is>
          <t>$820</t>
        </is>
      </c>
      <c r="M14" s="369">
        <f>'Current Rents'!E19</f>
        <v/>
      </c>
      <c r="N14" s="183" t="inlineStr">
        <is>
          <t>$2,879</t>
        </is>
      </c>
      <c r="O14" s="183" t="inlineStr">
        <is>
          <t>$3,455</t>
        </is>
      </c>
      <c r="P14" s="183" t="inlineStr">
        <is>
          <t>$1,040</t>
        </is>
      </c>
      <c r="Q14" s="369">
        <f>'Current Rents'!F19</f>
        <v/>
      </c>
      <c r="R14" s="183" t="n">
        <v>168</v>
      </c>
      <c r="S14" s="183" t="n">
        <v>1975</v>
      </c>
      <c r="T14" s="183" t="inlineStr">
        <is>
          <t>0</t>
        </is>
      </c>
      <c r="U14" s="186" t="inlineStr">
        <is>
          <t>Yes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168 units | Section 8/HUD. Year built: 1975. Subject property.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Natchez HA - Duncan Park Homes</t>
        </is>
      </c>
      <c r="D15" s="365" t="n"/>
      <c r="E15" s="194" t="inlineStr">
        <is>
          <t>400 Duncan Ave</t>
        </is>
      </c>
      <c r="F15" s="194" t="inlineStr">
        <is>
          <t>Natchez</t>
        </is>
      </c>
      <c r="G15" s="194" t="inlineStr">
        <is>
          <t>MS</t>
        </is>
      </c>
      <c r="H15" s="194" t="inlineStr">
        <is>
          <t>39120</t>
        </is>
      </c>
      <c r="I15" s="194" t="inlineStr">
        <is>
          <t>1.5 mi</t>
        </is>
      </c>
      <c r="J15" s="194" t="inlineStr">
        <is>
          <t>$2,591</t>
        </is>
      </c>
      <c r="K15" s="194" t="inlineStr">
        <is>
          <t>$3,110</t>
        </is>
      </c>
      <c r="L15" s="194" t="inlineStr">
        <is>
          <t>$820</t>
        </is>
      </c>
      <c r="M15" s="190" t="inlineStr">
        <is>
          <t>Not Listed</t>
        </is>
      </c>
      <c r="N15" s="194" t="inlineStr">
        <is>
          <t>$2,879</t>
        </is>
      </c>
      <c r="O15" s="194" t="inlineStr">
        <is>
          <t>$3,455</t>
        </is>
      </c>
      <c r="P15" s="194" t="inlineStr">
        <is>
          <t>$1,040</t>
        </is>
      </c>
      <c r="Q15" s="190" t="inlineStr">
        <is>
          <t>Not Listed</t>
        </is>
      </c>
      <c r="R15" s="194" t="n">
        <v>160</v>
      </c>
      <c r="S15" s="194" t="n">
        <v>1975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Public Housing/HUD, 1975 vintage, 160 units, 1.5 mi.</t>
        </is>
      </c>
      <c r="AB15" s="199" t="inlineStr">
        <is>
          <t>Natchez Housing Authority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Vicksburg HA - Parkway Village</t>
        </is>
      </c>
      <c r="D16" s="365" t="n"/>
      <c r="E16" s="194" t="inlineStr">
        <is>
          <t>300 Parkway Blvd</t>
        </is>
      </c>
      <c r="F16" s="194" t="inlineStr">
        <is>
          <t>Vicksburg</t>
        </is>
      </c>
      <c r="G16" s="194" t="inlineStr">
        <is>
          <t>MS</t>
        </is>
      </c>
      <c r="H16" s="194" t="inlineStr">
        <is>
          <t>39180</t>
        </is>
      </c>
      <c r="I16" s="194" t="inlineStr">
        <is>
          <t>72.0 mi</t>
        </is>
      </c>
      <c r="J16" s="194" t="inlineStr">
        <is>
          <t>$2,591</t>
        </is>
      </c>
      <c r="K16" s="194" t="inlineStr">
        <is>
          <t>$3,110</t>
        </is>
      </c>
      <c r="L16" s="194" t="inlineStr">
        <is>
          <t>$820</t>
        </is>
      </c>
      <c r="M16" s="190" t="inlineStr">
        <is>
          <t>Not Listed</t>
        </is>
      </c>
      <c r="N16" s="194" t="inlineStr">
        <is>
          <t>$2,879</t>
        </is>
      </c>
      <c r="O16" s="194" t="inlineStr">
        <is>
          <t>$3,455</t>
        </is>
      </c>
      <c r="P16" s="194" t="inlineStr">
        <is>
          <t>$1,040</t>
        </is>
      </c>
      <c r="Q16" s="190" t="inlineStr">
        <is>
          <t>Not Listed</t>
        </is>
      </c>
      <c r="R16" s="194" t="n">
        <v>150</v>
      </c>
      <c r="S16" s="194" t="n">
        <v>1976</v>
      </c>
      <c r="T16" s="194" t="n">
        <v>1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9" t="inlineStr">
        <is>
          <t>LOW-MODERATE</t>
        </is>
      </c>
      <c r="AA16" s="198" t="inlineStr">
        <is>
          <t>Section 8/HUD, 1976 vintage, 150 units, 72.0 mi.</t>
        </is>
      </c>
      <c r="AB16" s="199" t="inlineStr">
        <is>
          <t>HUD Multifamily Assisted Housing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Hattiesburg HA - Eureka Homes</t>
        </is>
      </c>
      <c r="D17" s="365" t="n"/>
      <c r="E17" s="194" t="inlineStr">
        <is>
          <t>200 Eureka St</t>
        </is>
      </c>
      <c r="F17" s="194" t="inlineStr">
        <is>
          <t>Hattiesburg</t>
        </is>
      </c>
      <c r="G17" s="194" t="inlineStr">
        <is>
          <t>MS</t>
        </is>
      </c>
      <c r="H17" s="194" t="inlineStr">
        <is>
          <t>39401</t>
        </is>
      </c>
      <c r="I17" s="194" t="inlineStr">
        <is>
          <t>145.0 mi</t>
        </is>
      </c>
      <c r="J17" s="194" t="inlineStr">
        <is>
          <t>$2,591</t>
        </is>
      </c>
      <c r="K17" s="194" t="inlineStr">
        <is>
          <t>$3,110</t>
        </is>
      </c>
      <c r="L17" s="194" t="inlineStr">
        <is>
          <t>$820</t>
        </is>
      </c>
      <c r="M17" s="190" t="inlineStr">
        <is>
          <t>Not Listed</t>
        </is>
      </c>
      <c r="N17" s="194" t="inlineStr">
        <is>
          <t>$2,879</t>
        </is>
      </c>
      <c r="O17" s="194" t="inlineStr">
        <is>
          <t>$3,455</t>
        </is>
      </c>
      <c r="P17" s="194" t="inlineStr">
        <is>
          <t>$1,040</t>
        </is>
      </c>
      <c r="Q17" s="190" t="inlineStr">
        <is>
          <t>Not Listed</t>
        </is>
      </c>
      <c r="R17" s="194" t="n">
        <v>172</v>
      </c>
      <c r="S17" s="194" t="n">
        <v>1974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9" t="inlineStr">
        <is>
          <t>LOW-MODERATE</t>
        </is>
      </c>
      <c r="AA17" s="198" t="inlineStr">
        <is>
          <t>Public Housing/HUD, 1974 vintage, 172 units, 145.0 mi.</t>
        </is>
      </c>
      <c r="AB17" s="199" t="inlineStr">
        <is>
          <t>Hattiesburg Housing Authority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Natchez Terrace Apartments</t>
        </is>
      </c>
      <c r="D18" s="365" t="n"/>
      <c r="E18" s="194" t="inlineStr">
        <is>
          <t>600 Seargent Prentiss Dr</t>
        </is>
      </c>
      <c r="F18" s="194" t="inlineStr">
        <is>
          <t>Natchez</t>
        </is>
      </c>
      <c r="G18" s="194" t="inlineStr">
        <is>
          <t>MS</t>
        </is>
      </c>
      <c r="H18" s="194" t="inlineStr">
        <is>
          <t>39120</t>
        </is>
      </c>
      <c r="I18" s="194" t="inlineStr">
        <is>
          <t>2.1 mi</t>
        </is>
      </c>
      <c r="J18" s="194" t="inlineStr">
        <is>
          <t>$2,591</t>
        </is>
      </c>
      <c r="K18" s="194" t="inlineStr">
        <is>
          <t>$3,110</t>
        </is>
      </c>
      <c r="L18" s="194" t="inlineStr">
        <is>
          <t>$820</t>
        </is>
      </c>
      <c r="M18" s="190" t="inlineStr">
        <is>
          <t>Not Listed</t>
        </is>
      </c>
      <c r="N18" s="194" t="inlineStr">
        <is>
          <t>$2,879</t>
        </is>
      </c>
      <c r="O18" s="194" t="inlineStr">
        <is>
          <t>$3,455</t>
        </is>
      </c>
      <c r="P18" s="194" t="inlineStr">
        <is>
          <t>$1,040</t>
        </is>
      </c>
      <c r="Q18" s="190" t="inlineStr">
        <is>
          <t>Not Listed</t>
        </is>
      </c>
      <c r="R18" s="194" t="n">
        <v>156</v>
      </c>
      <c r="S18" s="194" t="n">
        <v>1977</v>
      </c>
      <c r="T18" s="194" t="n">
        <v>2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68" t="inlineStr">
        <is>
          <t>HIGH</t>
        </is>
      </c>
      <c r="AA18" s="198" t="inlineStr">
        <is>
          <t>Section 8/HUD, 1977 vintage, 156 units, 2.1 mi.</t>
        </is>
      </c>
      <c r="AB18" s="199" t="inlineStr">
        <is>
          <t>HUD Multifamily Assisted Housing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Camelot Apartments</t>
        </is>
      </c>
      <c r="D19" s="253" t="inlineStr">
        <is>
          <t>COMPETITION</t>
        </is>
      </c>
      <c r="E19" s="205" t="inlineStr">
        <is>
          <t>156 Jefferson Davis Blvd</t>
        </is>
      </c>
      <c r="F19" s="205" t="inlineStr">
        <is>
          <t>Natchez</t>
        </is>
      </c>
      <c r="G19" s="205" t="inlineStr">
        <is>
          <t>MS</t>
        </is>
      </c>
      <c r="H19" s="205" t="inlineStr">
        <is>
          <t>39120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219" t="n">
        <v>870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370" t="inlineStr">
        <is>
          <t>Phone Verify</t>
        </is>
      </c>
      <c r="R19" s="205" t="inlineStr">
        <is>
          <t>N/A</t>
        </is>
      </c>
      <c r="S19" s="205" t="inlineStr">
        <is>
          <t>N/A</t>
        </is>
      </c>
      <c r="T19" s="205" t="inlineStr">
        <is>
          <t>N/A</t>
        </is>
      </c>
      <c r="U19" s="201" t="inlineStr">
        <is>
          <t>N/A</t>
        </is>
      </c>
      <c r="V19" s="201" t="inlineStr">
        <is>
          <t>N/A</t>
        </is>
      </c>
      <c r="W19" s="210" t="inlineStr">
        <is>
          <t>No</t>
        </is>
      </c>
      <c r="X19" s="201" t="inlineStr">
        <is>
          <t>N/A</t>
        </is>
      </c>
      <c r="Y19" s="201" t="inlineStr">
        <is>
          <t>N/A</t>
        </is>
      </c>
      <c r="Z19" s="268" t="inlineStr">
        <is>
          <t>HIGH</t>
        </is>
      </c>
      <c r="AA19" s="213" t="inlineStr">
        <is>
          <t>PHONE VERIFY 3BD — no 3BD units; 2BD used as proxy. Call (601) 653-9860.</t>
        </is>
      </c>
      <c r="AB19" s="214" t="inlineStr">
        <is>
          <t>Apartments.com / Phone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Bienville Apartments</t>
        </is>
      </c>
      <c r="D20" s="371" t="n"/>
      <c r="E20" s="205" t="inlineStr">
        <is>
          <t>500 N Commerce St</t>
        </is>
      </c>
      <c r="F20" s="205" t="inlineStr">
        <is>
          <t>Natchez</t>
        </is>
      </c>
      <c r="G20" s="205" t="inlineStr">
        <is>
          <t>MS</t>
        </is>
      </c>
      <c r="H20" s="205" t="inlineStr">
        <is>
          <t>39120</t>
        </is>
      </c>
      <c r="I20" s="205" t="inlineStr">
        <is>
          <t>2.1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219" t="n">
        <v>815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370" t="inlineStr">
        <is>
          <t>Phone Verify</t>
        </is>
      </c>
      <c r="R20" s="205" t="inlineStr">
        <is>
          <t>N/A</t>
        </is>
      </c>
      <c r="S20" s="205" t="inlineStr">
        <is>
          <t>N/A</t>
        </is>
      </c>
      <c r="T20" s="205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10" t="inlineStr">
        <is>
          <t>No</t>
        </is>
      </c>
      <c r="X20" s="201" t="inlineStr">
        <is>
          <t>N/A</t>
        </is>
      </c>
      <c r="Y20" s="201" t="inlineStr">
        <is>
          <t>N/A</t>
        </is>
      </c>
      <c r="Z20" s="268" t="inlineStr">
        <is>
          <t>HIGH</t>
        </is>
      </c>
      <c r="AA20" s="213" t="inlineStr">
        <is>
          <t>PHONE VERIFY 3BD — no 3BD units; 2BD used as proxy.</t>
        </is>
      </c>
      <c r="AB20" s="214" t="inlineStr">
        <is>
          <t>Apartments.com / Phone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Riverbreeze Manor</t>
        </is>
      </c>
      <c r="D21" s="371" t="n"/>
      <c r="E21" s="205" t="inlineStr">
        <is>
          <t>144 N Shields Ln</t>
        </is>
      </c>
      <c r="F21" s="205" t="inlineStr">
        <is>
          <t>Natchez</t>
        </is>
      </c>
      <c r="G21" s="205" t="inlineStr">
        <is>
          <t>MS</t>
        </is>
      </c>
      <c r="H21" s="205" t="inlineStr">
        <is>
          <t>39120</t>
        </is>
      </c>
      <c r="I21" s="205" t="inlineStr">
        <is>
          <t>1.8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219" t="n">
        <v>750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370" t="n">
        <v>785</v>
      </c>
      <c r="R21" s="205" t="inlineStr">
        <is>
          <t>N/A</t>
        </is>
      </c>
      <c r="S21" s="205" t="inlineStr">
        <is>
          <t>N/A</t>
        </is>
      </c>
      <c r="T21" s="205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10" t="inlineStr">
        <is>
          <t>No</t>
        </is>
      </c>
      <c r="X21" s="201" t="inlineStr">
        <is>
          <t>N/A</t>
        </is>
      </c>
      <c r="Y21" s="201" t="inlineStr">
        <is>
          <t>N/A</t>
        </is>
      </c>
      <c r="Z21" s="268" t="inlineStr">
        <is>
          <t>HIGH</t>
        </is>
      </c>
      <c r="AA21" s="213" t="inlineStr">
        <is>
          <t>2BD $750. 3BD $785. Only 3BD source in Natchez market. Call to verify.</t>
        </is>
      </c>
      <c r="AB21" s="214" t="inlineStr">
        <is>
          <t>Apartments.com / Phone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Covington II</t>
        </is>
      </c>
      <c r="D22" s="371" t="n"/>
      <c r="E22" s="205" t="inlineStr">
        <is>
          <t>22 T Waring Bennett Jr Rd</t>
        </is>
      </c>
      <c r="F22" s="205" t="inlineStr">
        <is>
          <t>Natchez</t>
        </is>
      </c>
      <c r="G22" s="205" t="inlineStr">
        <is>
          <t>MS</t>
        </is>
      </c>
      <c r="H22" s="205" t="inlineStr">
        <is>
          <t>39120</t>
        </is>
      </c>
      <c r="I22" s="205" t="inlineStr">
        <is>
          <t>2.0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219" t="n">
        <v>730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370" t="inlineStr">
        <is>
          <t>Phone Verify</t>
        </is>
      </c>
      <c r="R22" s="205" t="inlineStr">
        <is>
          <t>N/A</t>
        </is>
      </c>
      <c r="S22" s="205" t="inlineStr">
        <is>
          <t>N/A</t>
        </is>
      </c>
      <c r="T22" s="205" t="inlineStr">
        <is>
          <t>N/A</t>
        </is>
      </c>
      <c r="U22" s="201" t="inlineStr">
        <is>
          <t>N/A</t>
        </is>
      </c>
      <c r="V22" s="201" t="inlineStr">
        <is>
          <t>N/A</t>
        </is>
      </c>
      <c r="W22" s="210" t="inlineStr">
        <is>
          <t>No</t>
        </is>
      </c>
      <c r="X22" s="201" t="inlineStr">
        <is>
          <t>N/A</t>
        </is>
      </c>
      <c r="Y22" s="201" t="inlineStr">
        <is>
          <t>N/A</t>
        </is>
      </c>
      <c r="Z22" s="268" t="inlineStr">
        <is>
          <t>HIGH</t>
        </is>
      </c>
      <c r="AA22" s="213" t="inlineStr">
        <is>
          <t>PHONE VERIFY 3BD — no 3BD units; 2BD used as proxy. Call for availability.</t>
        </is>
      </c>
      <c r="AB22" s="214" t="inlineStr">
        <is>
          <t>Apartments.com / Phone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Plantation Manor</t>
        </is>
      </c>
      <c r="D23" s="371" t="n"/>
      <c r="E23" s="205" t="inlineStr">
        <is>
          <t>356 Highland Blvd</t>
        </is>
      </c>
      <c r="F23" s="205" t="inlineStr">
        <is>
          <t>Natchez</t>
        </is>
      </c>
      <c r="G23" s="205" t="inlineStr">
        <is>
          <t>MS</t>
        </is>
      </c>
      <c r="H23" s="205" t="inlineStr">
        <is>
          <t>39120</t>
        </is>
      </c>
      <c r="I23" s="205" t="inlineStr">
        <is>
          <t>1.2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219" t="n">
        <v>790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370" t="inlineStr">
        <is>
          <t>Phone Verify</t>
        </is>
      </c>
      <c r="R23" s="205" t="n">
        <v>1</v>
      </c>
      <c r="S23" s="205" t="inlineStr">
        <is>
          <t>N/A</t>
        </is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10" t="inlineStr">
        <is>
          <t>No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3BD — no 3BD units; 2BD used as proxy.</t>
        </is>
      </c>
      <c r="AB23" s="214" t="inlineStr">
        <is>
          <t>Apartments.com / Phone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Vicksburg Arms</t>
        </is>
      </c>
      <c r="D24" s="372" t="n"/>
      <c r="E24" s="205" t="inlineStr">
        <is>
          <t>Vicksburg MS</t>
        </is>
      </c>
      <c r="F24" s="205" t="inlineStr">
        <is>
          <t>Vicksburg</t>
        </is>
      </c>
      <c r="G24" s="205" t="inlineStr">
        <is>
          <t>MS</t>
        </is>
      </c>
      <c r="H24" s="205" t="inlineStr">
        <is>
          <t>39180</t>
        </is>
      </c>
      <c r="I24" s="205" t="inlineStr">
        <is>
          <t>~70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219" t="inlineStr">
        <is>
          <t>Phone Verify</t>
        </is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370" t="inlineStr">
        <is>
          <t>Phone Verify</t>
        </is>
      </c>
      <c r="R24" s="205" t="n">
        <v>1</v>
      </c>
      <c r="S24" s="205" t="inlineStr">
        <is>
          <t>N/A</t>
        </is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10" t="inlineStr">
        <is>
          <t>No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— Vicksburg market proxy (~70 mi). Verify current rents by phone.</t>
        </is>
      </c>
      <c r="AB24" s="214" t="inlineStr">
        <is>
          <t>Apartments.com / Phone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Adams County, MS</t>
        </is>
      </c>
      <c r="D25" s="365" t="n"/>
      <c r="E25" s="220" t="inlineStr">
        <is>
          <t>N/A</t>
        </is>
      </c>
      <c r="F25" s="220" t="inlineStr">
        <is>
          <t>Natchez</t>
        </is>
      </c>
      <c r="G25" s="220" t="inlineStr">
        <is>
          <t>MS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$820</t>
        </is>
      </c>
      <c r="K25" s="220" t="inlineStr">
        <is>
          <t>$820</t>
        </is>
      </c>
      <c r="L25" s="220" t="inlineStr">
        <is>
          <t>$820</t>
        </is>
      </c>
      <c r="M25" s="220" t="inlineStr">
        <is>
          <t>N/A</t>
        </is>
      </c>
      <c r="N25" s="220" t="inlineStr">
        <is>
          <t>$1,040</t>
        </is>
      </c>
      <c r="O25" s="220" t="inlineStr">
        <is>
          <t>$1,040</t>
        </is>
      </c>
      <c r="P25" s="220" t="inlineStr">
        <is>
          <t>$1,040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Adams County, MS,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Natchez (Aug 2026)</t>
        </is>
      </c>
      <c r="D26" s="365" t="n"/>
      <c r="E26" s="226" t="inlineStr">
        <is>
          <t>N/A</t>
        </is>
      </c>
      <c r="F26" s="226" t="inlineStr">
        <is>
          <t>Natchez</t>
        </is>
      </c>
      <c r="G26" s="226" t="inlineStr">
        <is>
          <t>MS</t>
        </is>
      </c>
      <c r="H26" s="226" t="inlineStr">
        <is>
          <t>N/A</t>
        </is>
      </c>
      <c r="I26" s="226" t="inlineStr">
        <is>
          <t>N/A</t>
        </is>
      </c>
      <c r="J26" s="226" t="inlineStr">
        <is>
          <t>N/A</t>
        </is>
      </c>
      <c r="K26" s="226" t="inlineStr">
        <is>
          <t>N/A</t>
        </is>
      </c>
      <c r="L26" s="226" t="inlineStr">
        <is>
          <t>N/A</t>
        </is>
      </c>
      <c r="M26" s="229" t="inlineStr">
        <is>
          <t>$791</t>
        </is>
      </c>
      <c r="N26" s="226" t="n">
        <v>786</v>
      </c>
      <c r="O26" s="226" t="n">
        <v>786</v>
      </c>
      <c r="P26" s="226" t="n">
        <v>786</v>
      </c>
      <c r="Q26" s="390" t="inlineStr">
        <is>
          <t>$785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$791 / 2BD/3BD/4BD avg $785.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Rents'!E19</f>
        <v/>
      </c>
      <c r="C33" s="276" t="n">
        <v>791</v>
      </c>
      <c r="E33" s="379">
        <f>B33-C33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3BD</t>
        </is>
      </c>
      <c r="B34" s="391">
        <f>'Current Rents'!F19</f>
        <v/>
      </c>
      <c r="C34" s="392" t="n">
        <v>785</v>
      </c>
      <c r="E34" s="376">
        <f>C34-B34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20">
    <mergeCell ref="C34:D34"/>
    <mergeCell ref="A30:H30"/>
    <mergeCell ref="C15:D15"/>
    <mergeCell ref="C33:D33"/>
    <mergeCell ref="C14:D14"/>
    <mergeCell ref="C26:D26"/>
    <mergeCell ref="C16:D16"/>
    <mergeCell ref="A10:AB10"/>
    <mergeCell ref="C25:D25"/>
    <mergeCell ref="A28:AB28"/>
    <mergeCell ref="A9:Y9"/>
    <mergeCell ref="A11:AB11"/>
    <mergeCell ref="Z9:AB9"/>
    <mergeCell ref="C17:D17"/>
    <mergeCell ref="C32:D32"/>
    <mergeCell ref="C13:D13"/>
    <mergeCell ref="C18:D18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0"/>
  <sheetViews>
    <sheetView topLeftCell="A1" workbookViewId="0">
      <pane ySplit="1" topLeftCell="A16" activePane="bottomLeft" state="frozen"/>
      <selection pane="bottomLeft" activeCell="A27" sqref="A27:E27"/>
    </sheetView>
  </sheetViews>
  <sheetFormatPr baseColWidth="8" defaultColWidth="9.140625" defaultRowHeight="15" customHeight="1"/>
  <cols>
    <col width="7.421875" customWidth="1" style="273" min="1" max="1"/>
    <col width="15.00390625" customWidth="1" style="273" min="2" max="2"/>
    <col width="43.421875" customWidth="1" style="273" min="3" max="3"/>
    <col width="2.8515625" customWidth="1" style="273" min="4" max="4"/>
    <col width="27.00390625" customWidth="1" style="273" min="5" max="5"/>
    <col width="14.8515625" customWidth="1" style="273" min="6" max="6"/>
    <col width="5.00390625" customWidth="1" style="273" min="7" max="7"/>
    <col width="6.7109375" customWidth="1" style="273" min="8" max="8"/>
    <col width="12.00390625" customWidth="1" style="273" min="9" max="9"/>
    <col hidden="1" width="6.8515625" customWidth="1" style="273" min="10" max="10"/>
    <col hidden="1" width="13.00390625" customWidth="1" style="273" min="11" max="11"/>
    <col hidden="1" width="5.28125" customWidth="1" style="273" min="12" max="12"/>
    <col hidden="1" width="6.8515625" customWidth="1" style="273" min="13" max="13"/>
    <col hidden="1" width="13.00390625" customWidth="1" style="273" min="14" max="14"/>
    <col hidden="1" width="5.28125" customWidth="1" style="273" min="15" max="15"/>
    <col width="18.8515625" customWidth="1" style="273" min="16" max="16"/>
    <col width="9.28125" customWidth="1" style="273" min="17" max="19"/>
    <col width="13.28125" customWidth="1" style="273" min="20" max="20"/>
    <col width="13.140625" customWidth="1" style="273" min="21" max="21"/>
    <col width="9.28125" customWidth="1" style="273" min="22" max="24"/>
    <col width="25.28125" customWidth="1" style="273" min="25" max="25"/>
    <col width="65.7109375" customWidth="1" style="273" min="26" max="26"/>
    <col width="53.421875" customWidth="1" style="273" min="27" max="27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21.75" customFormat="1" customHeight="1" s="273"/>
    <row r="4" ht="21.75" customFormat="1" customHeight="1" s="273"/>
    <row r="5" ht="8.25" customFormat="1" customHeight="1" s="273"/>
    <row r="6" ht="36" customFormat="1" customHeight="1" s="273">
      <c r="A6" s="163" t="inlineStr">
        <is>
          <t>RENT COMPARABLES ANALYSIS  —  RIVER POINTE  |  COLUMBUS, OH 43228</t>
        </is>
      </c>
      <c r="B6" s="364" t="n"/>
      <c r="C6" s="364" t="n"/>
      <c r="D6" s="364" t="n"/>
      <c r="E6" s="364" t="n"/>
      <c r="F6" s="364" t="n"/>
      <c r="G6" s="364" t="n"/>
      <c r="H6" s="364" t="n"/>
      <c r="I6" s="364" t="n"/>
      <c r="J6" s="364" t="n"/>
      <c r="K6" s="364" t="n"/>
      <c r="L6" s="364" t="n"/>
      <c r="M6" s="364" t="n"/>
      <c r="N6" s="364" t="n"/>
      <c r="O6" s="364" t="n"/>
      <c r="P6" s="364" t="n"/>
      <c r="Q6" s="364" t="n"/>
      <c r="R6" s="364" t="n"/>
      <c r="S6" s="364" t="n"/>
      <c r="T6" s="364" t="n"/>
      <c r="U6" s="364" t="n"/>
      <c r="V6" s="364" t="n"/>
      <c r="W6" s="364" t="n"/>
      <c r="X6" s="365" t="n"/>
      <c r="Y6" s="262" t="inlineStr">
        <is>
          <t>29 - River Pointe  |  160 Units  |  Section 8 / HUD  |  1BD &amp; 2BD</t>
        </is>
      </c>
      <c r="Z6" s="364" t="n"/>
      <c r="AA6" s="365" t="n"/>
    </row>
    <row r="7" ht="18" customFormat="1" customHeight="1" s="273">
      <c r="A7" s="241" t="inlineStr">
        <is>
          <t>777 Avonia Drive, Columbus, OH 43228  |  Franklin County  |  Columbus OH HMFA  |  FY2026 FMR: 1BD $1,044 / 2BD $1,430</t>
        </is>
      </c>
      <c r="B7" s="364" t="n"/>
      <c r="C7" s="364" t="n"/>
      <c r="D7" s="364" t="n"/>
      <c r="E7" s="364" t="n"/>
      <c r="F7" s="364" t="n"/>
      <c r="G7" s="364" t="n"/>
      <c r="H7" s="364" t="n"/>
      <c r="I7" s="364" t="n"/>
      <c r="J7" s="364" t="n"/>
      <c r="K7" s="364" t="n"/>
      <c r="L7" s="364" t="n"/>
      <c r="M7" s="364" t="n"/>
      <c r="N7" s="364" t="n"/>
      <c r="O7" s="364" t="n"/>
      <c r="P7" s="364" t="n"/>
      <c r="Q7" s="364" t="n"/>
      <c r="R7" s="364" t="n"/>
      <c r="S7" s="364" t="n"/>
      <c r="T7" s="364" t="n"/>
      <c r="U7" s="364" t="n"/>
      <c r="V7" s="364" t="n"/>
      <c r="W7" s="364" t="n"/>
      <c r="X7" s="364" t="n"/>
      <c r="Y7" s="364" t="n"/>
      <c r="Z7" s="364" t="n"/>
      <c r="AA7" s="365" t="n"/>
    </row>
    <row r="8" ht="14.25" customFormat="1" customHeight="1" s="273">
      <c r="A8" s="170" t="inlineStr">
        <is>
          <t>Data as of April 30, 2026  |  Sources: Apartments.com, RentCafe, HUD FMR Database, HUD LIHTC Database, Apartment Corp Records</t>
        </is>
      </c>
      <c r="B8" s="364" t="n"/>
      <c r="C8" s="364" t="n"/>
      <c r="D8" s="364" t="n"/>
      <c r="E8" s="364" t="n"/>
      <c r="F8" s="364" t="n"/>
      <c r="G8" s="364" t="n"/>
      <c r="H8" s="364" t="n"/>
      <c r="I8" s="364" t="n"/>
      <c r="J8" s="364" t="n"/>
      <c r="K8" s="364" t="n"/>
      <c r="L8" s="364" t="n"/>
      <c r="M8" s="364" t="n"/>
      <c r="N8" s="364" t="n"/>
      <c r="O8" s="364" t="n"/>
      <c r="P8" s="364" t="n"/>
      <c r="Q8" s="364" t="n"/>
      <c r="R8" s="364" t="n"/>
      <c r="S8" s="364" t="n"/>
      <c r="T8" s="364" t="n"/>
      <c r="U8" s="364" t="n"/>
      <c r="V8" s="364" t="n"/>
      <c r="W8" s="364" t="n"/>
      <c r="X8" s="364" t="n"/>
      <c r="Y8" s="364" t="n"/>
      <c r="Z8" s="364" t="n"/>
      <c r="AA8" s="365" t="n"/>
    </row>
    <row r="9" ht="52.5" customFormat="1" customHeight="1" s="273">
      <c r="A9" s="285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4" t="n"/>
      <c r="Z9" s="364" t="n"/>
      <c r="AA9" s="365" t="n"/>
    </row>
    <row r="10" ht="25.5" customFormat="1" customHeight="1" s="273">
      <c r="A10" s="243" t="inlineStr">
        <is>
          <t>Rank</t>
        </is>
      </c>
      <c r="B10" s="243" t="inlineStr">
        <is>
          <t>Type</t>
        </is>
      </c>
      <c r="C10" s="243" t="inlineStr">
        <is>
          <t>Property Name</t>
        </is>
      </c>
      <c r="D10" s="365" t="n"/>
      <c r="E10" s="243" t="inlineStr">
        <is>
          <t>Address</t>
        </is>
      </c>
      <c r="F10" s="243" t="inlineStr">
        <is>
          <t>City</t>
        </is>
      </c>
      <c r="G10" s="244" t="inlineStr">
        <is>
          <t>St</t>
        </is>
      </c>
      <c r="H10" s="244" t="inlineStr">
        <is>
          <t>ZIP</t>
        </is>
      </c>
      <c r="I10" s="244" t="inlineStr">
        <is>
          <t>Distance</t>
        </is>
      </c>
      <c r="J10" s="244" t="inlineStr">
        <is>
          <t>1BD
50% AMI</t>
        </is>
      </c>
      <c r="K10" s="244" t="inlineStr">
        <is>
          <t>1BD
60% AMI</t>
        </is>
      </c>
      <c r="L10" s="244" t="inlineStr">
        <is>
          <t>1BD
FMR</t>
        </is>
      </c>
      <c r="M10" s="244" t="inlineStr">
        <is>
          <t>2BD
50% AMI</t>
        </is>
      </c>
      <c r="N10" s="244" t="inlineStr">
        <is>
          <t>2BD
60% AMI</t>
        </is>
      </c>
      <c r="O10" s="244" t="inlineStr">
        <is>
          <t>2BD
FMR</t>
        </is>
      </c>
      <c r="P10" s="245" t="inlineStr">
        <is>
          <t>2BD -
Actual</t>
        </is>
      </c>
      <c r="Q10" s="247" t="inlineStr">
        <is>
          <t>Units</t>
        </is>
      </c>
      <c r="R10" s="247" t="inlineStr">
        <is>
          <t>Yr Built</t>
        </is>
      </c>
      <c r="S10" s="247" t="inlineStr">
        <is>
          <t>Yr Diff</t>
        </is>
      </c>
      <c r="T10" s="289" t="inlineStr">
        <is>
          <t>Utils
Incl.</t>
        </is>
      </c>
      <c r="U10" s="289" t="inlineStr">
        <is>
          <t>Pet
Friendly</t>
        </is>
      </c>
      <c r="V10" s="247" t="inlineStr">
        <is>
          <t>Gated</t>
        </is>
      </c>
      <c r="W10" s="247" t="inlineStr">
        <is>
          <t>Pool</t>
        </is>
      </c>
      <c r="X10" s="247" t="inlineStr">
        <is>
          <t>W/D
In-Unit</t>
        </is>
      </c>
      <c r="Y10" s="248" t="inlineStr">
        <is>
          <t>Competition Level</t>
        </is>
      </c>
      <c r="Z10" s="249" t="inlineStr">
        <is>
          <t>Notes / Why Competitive</t>
        </is>
      </c>
      <c r="AA10" s="249" t="inlineStr">
        <is>
          <t>Data Source</t>
        </is>
      </c>
    </row>
    <row r="11" ht="21.75" customFormat="1" customHeight="1" s="273">
      <c r="A11" s="180" t="inlineStr">
        <is>
          <t>★</t>
        </is>
      </c>
      <c r="B11" s="181" t="inlineStr">
        <is>
          <t>SUBJECT</t>
        </is>
      </c>
      <c r="C11" s="182" t="inlineStr">
        <is>
          <t>River Pointe (SUBJECT)</t>
        </is>
      </c>
      <c r="D11" s="367" t="n"/>
      <c r="E11" s="183" t="inlineStr">
        <is>
          <t>777 Avonia Drive</t>
        </is>
      </c>
      <c r="F11" s="183" t="inlineStr">
        <is>
          <t>Columbus</t>
        </is>
      </c>
      <c r="G11" s="183" t="inlineStr">
        <is>
          <t>OH</t>
        </is>
      </c>
      <c r="H11" s="183" t="inlineStr">
        <is>
          <t>43228</t>
        </is>
      </c>
      <c r="I11" s="183" t="inlineStr">
        <is>
          <t>0.0 mi</t>
        </is>
      </c>
      <c r="J11" s="183" t="inlineStr">
        <is>
          <t>Income-Based</t>
        </is>
      </c>
      <c r="K11" s="183" t="inlineStr">
        <is>
          <t>Income-Based</t>
        </is>
      </c>
      <c r="L11" s="183" t="inlineStr">
        <is>
          <t>$1,044</t>
        </is>
      </c>
      <c r="M11" s="183" t="inlineStr">
        <is>
          <t>Income-Based</t>
        </is>
      </c>
      <c r="N11" s="183" t="inlineStr">
        <is>
          <t>Income-Based</t>
        </is>
      </c>
      <c r="O11" s="183" t="inlineStr">
        <is>
          <t>$1,430</t>
        </is>
      </c>
      <c r="P11" s="369">
        <f>'Current Rents'!E20</f>
        <v/>
      </c>
      <c r="Q11" s="183" t="n">
        <v>160</v>
      </c>
      <c r="R11" s="183" t="n">
        <v>1996</v>
      </c>
      <c r="S11" s="183" t="inlineStr">
        <is>
          <t>0</t>
        </is>
      </c>
      <c r="T11" s="187" t="inlineStr">
        <is>
          <t>Partial</t>
        </is>
      </c>
      <c r="U11" s="187" t="inlineStr">
        <is>
          <t>No</t>
        </is>
      </c>
      <c r="V11" s="187" t="inlineStr">
        <is>
          <t>No</t>
        </is>
      </c>
      <c r="W11" s="187" t="inlineStr">
        <is>
          <t>No</t>
        </is>
      </c>
      <c r="X11" s="187" t="inlineStr">
        <is>
          <t>No</t>
        </is>
      </c>
      <c r="Y11" s="181" t="inlineStr">
        <is>
          <t>SUBJECT</t>
        </is>
      </c>
      <c r="Z11" s="188" t="inlineStr">
        <is>
          <t>160 units | Section 8/HUD. Year built: 1996. Subject property.</t>
        </is>
      </c>
      <c r="AA11" s="189" t="inlineStr">
        <is>
          <t>Apartment Corp Records</t>
        </is>
      </c>
    </row>
    <row r="12" ht="21.75" customFormat="1" customHeight="1" s="273">
      <c r="A12" s="190" t="inlineStr">
        <is>
          <t>1</t>
        </is>
      </c>
      <c r="B12" s="191" t="inlineStr">
        <is>
          <t>AFFORDABLE</t>
        </is>
      </c>
      <c r="C12" s="192" t="inlineStr">
        <is>
          <t>Abbey Church Village</t>
        </is>
      </c>
      <c r="D12" s="365" t="n"/>
      <c r="E12" s="193" t="inlineStr">
        <is>
          <t>2914 Bishops Retreat Pl</t>
        </is>
      </c>
      <c r="F12" s="194" t="inlineStr">
        <is>
          <t>Dublin</t>
        </is>
      </c>
      <c r="G12" s="194" t="inlineStr">
        <is>
          <t>OH</t>
        </is>
      </c>
      <c r="H12" s="194" t="inlineStr">
        <is>
          <t>43017</t>
        </is>
      </c>
      <c r="I12" s="194" t="inlineStr">
        <is>
          <t>9.5 mi</t>
        </is>
      </c>
      <c r="J12" s="194" t="inlineStr">
        <is>
          <t>N/A</t>
        </is>
      </c>
      <c r="K12" s="194" t="inlineStr">
        <is>
          <t>N/A</t>
        </is>
      </c>
      <c r="L12" s="194" t="inlineStr">
        <is>
          <t>$1,044</t>
        </is>
      </c>
      <c r="M12" s="194" t="inlineStr">
        <is>
          <t>N/A</t>
        </is>
      </c>
      <c r="N12" s="194" t="inlineStr">
        <is>
          <t>N/A</t>
        </is>
      </c>
      <c r="O12" s="194" t="inlineStr">
        <is>
          <t>$1,430</t>
        </is>
      </c>
      <c r="P12" s="190" t="inlineStr">
        <is>
          <t>Not Listed</t>
        </is>
      </c>
      <c r="Q12" s="194" t="n">
        <v>160</v>
      </c>
      <c r="R12" s="194" t="n">
        <v>1996</v>
      </c>
      <c r="S12" s="194" t="n">
        <v>0</v>
      </c>
      <c r="T12" s="195" t="inlineStr">
        <is>
          <t>Yes</t>
        </is>
      </c>
      <c r="U12" s="196" t="inlineStr">
        <is>
          <t>No</t>
        </is>
      </c>
      <c r="V12" s="196" t="inlineStr">
        <is>
          <t>No</t>
        </is>
      </c>
      <c r="W12" s="196" t="inlineStr">
        <is>
          <t>No</t>
        </is>
      </c>
      <c r="X12" s="196" t="inlineStr">
        <is>
          <t>No</t>
        </is>
      </c>
      <c r="Y12" s="268" t="inlineStr">
        <is>
          <t>HIGH</t>
        </is>
      </c>
      <c r="Z12" s="198" t="inlineStr">
        <is>
          <t>LIHTC, 1996 vintage, 160 units, 9.5 mi. Income-restricted.</t>
        </is>
      </c>
      <c r="AA12" s="199" t="inlineStr">
        <is>
          <t>HUD LIHTC Database</t>
        </is>
      </c>
    </row>
    <row r="13" ht="21.75" customFormat="1" customHeight="1" s="273">
      <c r="A13" s="190" t="inlineStr">
        <is>
          <t>2</t>
        </is>
      </c>
      <c r="B13" s="191" t="inlineStr">
        <is>
          <t>AFFORDABLE</t>
        </is>
      </c>
      <c r="C13" s="192" t="inlineStr">
        <is>
          <t>Winchester Lakes Apts</t>
        </is>
      </c>
      <c r="D13" s="365" t="n"/>
      <c r="E13" s="193" t="inlineStr">
        <is>
          <t>6621 Kodiak Dr</t>
        </is>
      </c>
      <c r="F13" s="194" t="inlineStr">
        <is>
          <t>Canal Winchester</t>
        </is>
      </c>
      <c r="G13" s="194" t="inlineStr">
        <is>
          <t>OH</t>
        </is>
      </c>
      <c r="H13" s="194" t="inlineStr">
        <is>
          <t>43110</t>
        </is>
      </c>
      <c r="I13" s="194" t="inlineStr">
        <is>
          <t>11.5 mi</t>
        </is>
      </c>
      <c r="J13" s="194" t="inlineStr">
        <is>
          <t>N/A</t>
        </is>
      </c>
      <c r="K13" s="194" t="inlineStr">
        <is>
          <t>N/A</t>
        </is>
      </c>
      <c r="L13" s="194" t="inlineStr">
        <is>
          <t>$1,044</t>
        </is>
      </c>
      <c r="M13" s="194" t="inlineStr">
        <is>
          <t>N/A</t>
        </is>
      </c>
      <c r="N13" s="194" t="inlineStr">
        <is>
          <t>N/A</t>
        </is>
      </c>
      <c r="O13" s="194" t="inlineStr">
        <is>
          <t>$1,430</t>
        </is>
      </c>
      <c r="P13" s="378" t="n">
        <v>1031</v>
      </c>
      <c r="Q13" s="194" t="n">
        <v>150</v>
      </c>
      <c r="R13" s="194" t="n">
        <v>1996</v>
      </c>
      <c r="S13" s="194" t="n">
        <v>0</v>
      </c>
      <c r="T13" s="195" t="inlineStr">
        <is>
          <t>Yes</t>
        </is>
      </c>
      <c r="U13" s="196" t="inlineStr">
        <is>
          <t>No</t>
        </is>
      </c>
      <c r="V13" s="196" t="inlineStr">
        <is>
          <t>No</t>
        </is>
      </c>
      <c r="W13" s="196" t="inlineStr">
        <is>
          <t>No</t>
        </is>
      </c>
      <c r="X13" s="196" t="inlineStr">
        <is>
          <t>No</t>
        </is>
      </c>
      <c r="Y13" s="268" t="inlineStr">
        <is>
          <t>HIGH</t>
        </is>
      </c>
      <c r="Z13" s="198" t="inlineStr">
        <is>
          <t>LIHTC, 1996 vintage, 150 units, 11.5 mi. Income-restricted.</t>
        </is>
      </c>
      <c r="AA13" s="199" t="inlineStr">
        <is>
          <t>HUD LIHTC Database</t>
        </is>
      </c>
    </row>
    <row r="14" ht="21.75" customFormat="1" customHeight="1" s="273">
      <c r="A14" s="190" t="inlineStr">
        <is>
          <t>3</t>
        </is>
      </c>
      <c r="B14" s="191" t="inlineStr">
        <is>
          <t>AFFORDABLE</t>
        </is>
      </c>
      <c r="C14" s="192" t="inlineStr">
        <is>
          <t>Fourth Street YWCA Renovation</t>
        </is>
      </c>
      <c r="D14" s="365" t="n"/>
      <c r="E14" s="193" t="inlineStr">
        <is>
          <t>65 S Fourth St</t>
        </is>
      </c>
      <c r="F14" s="194" t="inlineStr">
        <is>
          <t>Columbus</t>
        </is>
      </c>
      <c r="G14" s="194" t="inlineStr">
        <is>
          <t>OH</t>
        </is>
      </c>
      <c r="H14" s="194" t="inlineStr">
        <is>
          <t>43215</t>
        </is>
      </c>
      <c r="I14" s="194" t="inlineStr">
        <is>
          <t>0.1 mi</t>
        </is>
      </c>
      <c r="J14" s="194" t="inlineStr">
        <is>
          <t>N/A</t>
        </is>
      </c>
      <c r="K14" s="194" t="inlineStr">
        <is>
          <t>N/A</t>
        </is>
      </c>
      <c r="L14" s="194" t="inlineStr">
        <is>
          <t>$1,044</t>
        </is>
      </c>
      <c r="M14" s="194" t="inlineStr">
        <is>
          <t>N/A</t>
        </is>
      </c>
      <c r="N14" s="194" t="inlineStr">
        <is>
          <t>N/A</t>
        </is>
      </c>
      <c r="O14" s="194" t="inlineStr">
        <is>
          <t>$1,430</t>
        </is>
      </c>
      <c r="P14" s="190" t="inlineStr">
        <is>
          <t>Not Listed</t>
        </is>
      </c>
      <c r="Q14" s="194" t="n">
        <v>102</v>
      </c>
      <c r="R14" s="194" t="n">
        <v>1996</v>
      </c>
      <c r="S14" s="194" t="n">
        <v>0</v>
      </c>
      <c r="T14" s="195" t="inlineStr">
        <is>
          <t>Yes</t>
        </is>
      </c>
      <c r="U14" s="196" t="inlineStr">
        <is>
          <t>No</t>
        </is>
      </c>
      <c r="V14" s="196" t="inlineStr">
        <is>
          <t>No</t>
        </is>
      </c>
      <c r="W14" s="196" t="inlineStr">
        <is>
          <t>No</t>
        </is>
      </c>
      <c r="X14" s="196" t="inlineStr">
        <is>
          <t>No</t>
        </is>
      </c>
      <c r="Y14" s="268" t="inlineStr">
        <is>
          <t>HIGH</t>
        </is>
      </c>
      <c r="Z14" s="198" t="inlineStr">
        <is>
          <t>LIHTC, 1996 vintage, 102 units, 0.1 mi. Income-restricted.</t>
        </is>
      </c>
      <c r="AA14" s="199" t="inlineStr">
        <is>
          <t>HUD LIHTC Database</t>
        </is>
      </c>
    </row>
    <row r="15" ht="21.75" customFormat="1" customHeight="1" s="273">
      <c r="A15" s="190" t="inlineStr">
        <is>
          <t>4</t>
        </is>
      </c>
      <c r="B15" s="191" t="inlineStr">
        <is>
          <t>AFFORDABLE</t>
        </is>
      </c>
      <c r="C15" s="192" t="inlineStr">
        <is>
          <t>Strattford Lakes</t>
        </is>
      </c>
      <c r="D15" s="365" t="n"/>
      <c r="E15" s="193" t="inlineStr">
        <is>
          <t>3555 Ashton Cross</t>
        </is>
      </c>
      <c r="F15" s="194" t="inlineStr">
        <is>
          <t>Canal Winchester</t>
        </is>
      </c>
      <c r="G15" s="194" t="inlineStr">
        <is>
          <t>OH</t>
        </is>
      </c>
      <c r="H15" s="194" t="inlineStr">
        <is>
          <t>43110</t>
        </is>
      </c>
      <c r="I15" s="194" t="inlineStr">
        <is>
          <t>10.0 mi</t>
        </is>
      </c>
      <c r="J15" s="194" t="inlineStr">
        <is>
          <t>N/A</t>
        </is>
      </c>
      <c r="K15" s="194" t="inlineStr">
        <is>
          <t>N/A</t>
        </is>
      </c>
      <c r="L15" s="194" t="inlineStr">
        <is>
          <t>$1,044</t>
        </is>
      </c>
      <c r="M15" s="194" t="inlineStr">
        <is>
          <t>N/A</t>
        </is>
      </c>
      <c r="N15" s="194" t="inlineStr">
        <is>
          <t>N/A</t>
        </is>
      </c>
      <c r="O15" s="194" t="inlineStr">
        <is>
          <t>$1,430</t>
        </is>
      </c>
      <c r="P15" s="190" t="inlineStr">
        <is>
          <t>Not Listed</t>
        </is>
      </c>
      <c r="Q15" s="194" t="n">
        <v>124</v>
      </c>
      <c r="R15" s="194" t="n">
        <v>1996</v>
      </c>
      <c r="S15" s="194" t="n">
        <v>0</v>
      </c>
      <c r="T15" s="195" t="inlineStr">
        <is>
          <t>Yes</t>
        </is>
      </c>
      <c r="U15" s="196" t="inlineStr">
        <is>
          <t>No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268" t="inlineStr">
        <is>
          <t>HIGH</t>
        </is>
      </c>
      <c r="Z15" s="198" t="inlineStr">
        <is>
          <t>LIHTC, 1996 vintage, 124 units, 10.0 mi. Income-restricted.</t>
        </is>
      </c>
      <c r="AA15" s="199" t="inlineStr">
        <is>
          <t>HUD LIHTC Database</t>
        </is>
      </c>
    </row>
    <row r="16" ht="26.25" customFormat="1" customHeight="1" s="273">
      <c r="A16" s="201" t="inlineStr">
        <is>
          <t>1</t>
        </is>
      </c>
      <c r="B16" s="202" t="inlineStr">
        <is>
          <t>MARKET RATE</t>
        </is>
      </c>
      <c r="C16" s="203" t="inlineStr">
        <is>
          <t>Raccoon Creek Apartments</t>
        </is>
      </c>
      <c r="D16" s="204" t="inlineStr">
        <is>
          <t>COMPETITION</t>
        </is>
      </c>
      <c r="E16" s="205" t="inlineStr">
        <is>
          <t>3819 Plane Tree Dr W</t>
        </is>
      </c>
      <c r="F16" s="205" t="inlineStr">
        <is>
          <t>Columbus</t>
        </is>
      </c>
      <c r="G16" s="205" t="inlineStr">
        <is>
          <t>OH</t>
        </is>
      </c>
      <c r="H16" s="205" t="inlineStr">
        <is>
          <t>43228</t>
        </is>
      </c>
      <c r="I16" s="205" t="inlineStr">
        <is>
          <t>0.5 mi</t>
        </is>
      </c>
      <c r="J16" s="206" t="inlineStr">
        <is>
          <t>N/A</t>
        </is>
      </c>
      <c r="K16" s="206" t="inlineStr">
        <is>
          <t>N/A</t>
        </is>
      </c>
      <c r="L16" s="206" t="inlineStr">
        <is>
          <t>$1,044</t>
        </is>
      </c>
      <c r="M16" s="206" t="inlineStr">
        <is>
          <t>N/A</t>
        </is>
      </c>
      <c r="N16" s="206" t="inlineStr">
        <is>
          <t>N/A</t>
        </is>
      </c>
      <c r="O16" s="206" t="inlineStr">
        <is>
          <t>$1,430</t>
        </is>
      </c>
      <c r="P16" s="219" t="inlineStr">
        <is>
          <t>N/A</t>
        </is>
      </c>
      <c r="Q16" s="205" t="inlineStr">
        <is>
          <t>N/A</t>
        </is>
      </c>
      <c r="R16" s="205" t="n">
        <v>1994</v>
      </c>
      <c r="S16" s="205" t="n">
        <v>2</v>
      </c>
      <c r="T16" s="210" t="inlineStr">
        <is>
          <t>No</t>
        </is>
      </c>
      <c r="U16" s="201" t="inlineStr">
        <is>
          <t>Varies</t>
        </is>
      </c>
      <c r="V16" s="201" t="inlineStr">
        <is>
          <t>Varies</t>
        </is>
      </c>
      <c r="W16" s="201" t="inlineStr">
        <is>
          <t>Varies</t>
        </is>
      </c>
      <c r="X16" s="201" t="inlineStr">
        <is>
          <t>Varies</t>
        </is>
      </c>
      <c r="Y16" s="268" t="inlineStr">
        <is>
          <t>HIGH</t>
        </is>
      </c>
      <c r="Z16" s="213" t="inlineStr">
        <is>
          <t>No income restrictions, 1994 vintage, 0.5 mi. 1BD $990.</t>
        </is>
      </c>
      <c r="AA16" s="214" t="inlineStr">
        <is>
          <t>apartments.com/raccoon-creek-columbus-oh/</t>
        </is>
      </c>
    </row>
    <row r="17" ht="26.25" customFormat="1" customHeight="1" s="273">
      <c r="A17" s="201" t="inlineStr">
        <is>
          <t>2</t>
        </is>
      </c>
      <c r="B17" s="202" t="inlineStr">
        <is>
          <t>MARKET RATE</t>
        </is>
      </c>
      <c r="C17" s="215" t="inlineStr">
        <is>
          <t>The Reserve at Parkwick</t>
        </is>
      </c>
      <c r="D17" s="371" t="n"/>
      <c r="E17" s="205" t="inlineStr">
        <is>
          <t>4711 Bay Run Dr</t>
        </is>
      </c>
      <c r="F17" s="205" t="inlineStr">
        <is>
          <t>Columbus</t>
        </is>
      </c>
      <c r="G17" s="205" t="inlineStr">
        <is>
          <t>OH</t>
        </is>
      </c>
      <c r="H17" s="205" t="inlineStr">
        <is>
          <t>43228</t>
        </is>
      </c>
      <c r="I17" s="205" t="inlineStr">
        <is>
          <t>1.5 mi</t>
        </is>
      </c>
      <c r="J17" s="206" t="inlineStr">
        <is>
          <t>N/A</t>
        </is>
      </c>
      <c r="K17" s="206" t="inlineStr">
        <is>
          <t>N/A</t>
        </is>
      </c>
      <c r="L17" s="206" t="inlineStr">
        <is>
          <t>$1,044</t>
        </is>
      </c>
      <c r="M17" s="206" t="inlineStr">
        <is>
          <t>N/A</t>
        </is>
      </c>
      <c r="N17" s="206" t="inlineStr">
        <is>
          <t>N/A</t>
        </is>
      </c>
      <c r="O17" s="206" t="inlineStr">
        <is>
          <t>$1,430</t>
        </is>
      </c>
      <c r="P17" s="370" t="n">
        <v>1175</v>
      </c>
      <c r="Q17" s="205" t="inlineStr">
        <is>
          <t>N/A</t>
        </is>
      </c>
      <c r="R17" s="205" t="n">
        <v>1995</v>
      </c>
      <c r="S17" s="205" t="n">
        <v>1</v>
      </c>
      <c r="T17" s="210" t="inlineStr">
        <is>
          <t>No</t>
        </is>
      </c>
      <c r="U17" s="201" t="inlineStr">
        <is>
          <t>Varies</t>
        </is>
      </c>
      <c r="V17" s="201" t="inlineStr">
        <is>
          <t>Varies</t>
        </is>
      </c>
      <c r="W17" s="201" t="inlineStr">
        <is>
          <t>Varies</t>
        </is>
      </c>
      <c r="X17" s="201" t="inlineStr">
        <is>
          <t>Varies</t>
        </is>
      </c>
      <c r="Y17" s="268" t="inlineStr">
        <is>
          <t>HIGH</t>
        </is>
      </c>
      <c r="Z17" s="213" t="inlineStr">
        <is>
          <t>No income restrictions, 1995 vintage, 1.5 mi. 1BD $990 / 2BD $1,175.</t>
        </is>
      </c>
      <c r="AA17" s="214" t="inlineStr">
        <is>
          <t>apartments.com/reserve-at-parkwick-columbus-oh/</t>
        </is>
      </c>
    </row>
    <row r="18" ht="26.25" customFormat="1" customHeight="1" s="273">
      <c r="A18" s="201" t="inlineStr">
        <is>
          <t>3</t>
        </is>
      </c>
      <c r="B18" s="202" t="inlineStr">
        <is>
          <t>MARKET RATE</t>
        </is>
      </c>
      <c r="C18" s="215" t="inlineStr">
        <is>
          <t>Waterford Pointe</t>
        </is>
      </c>
      <c r="D18" s="371" t="n"/>
      <c r="E18" s="205" t="inlineStr">
        <is>
          <t>5750 Feder Rd</t>
        </is>
      </c>
      <c r="F18" s="205" t="inlineStr">
        <is>
          <t>Columbus</t>
        </is>
      </c>
      <c r="G18" s="205" t="inlineStr">
        <is>
          <t>OH</t>
        </is>
      </c>
      <c r="H18" s="205" t="inlineStr">
        <is>
          <t>43228</t>
        </is>
      </c>
      <c r="I18" s="205" t="inlineStr">
        <is>
          <t>2.0 mi</t>
        </is>
      </c>
      <c r="J18" s="206" t="inlineStr">
        <is>
          <t>N/A</t>
        </is>
      </c>
      <c r="K18" s="206" t="inlineStr">
        <is>
          <t>N/A</t>
        </is>
      </c>
      <c r="L18" s="206" t="inlineStr">
        <is>
          <t>$1,044</t>
        </is>
      </c>
      <c r="M18" s="206" t="inlineStr">
        <is>
          <t>N/A</t>
        </is>
      </c>
      <c r="N18" s="206" t="inlineStr">
        <is>
          <t>N/A</t>
        </is>
      </c>
      <c r="O18" s="206" t="inlineStr">
        <is>
          <t>$1,430</t>
        </is>
      </c>
      <c r="P18" s="370" t="n">
        <v>1095</v>
      </c>
      <c r="Q18" s="205" t="inlineStr">
        <is>
          <t>N/A</t>
        </is>
      </c>
      <c r="R18" s="205" t="n">
        <v>1996</v>
      </c>
      <c r="S18" s="205" t="n">
        <v>0</v>
      </c>
      <c r="T18" s="210" t="inlineStr">
        <is>
          <t>No</t>
        </is>
      </c>
      <c r="U18" s="201" t="inlineStr">
        <is>
          <t>Varies</t>
        </is>
      </c>
      <c r="V18" s="201" t="inlineStr">
        <is>
          <t>Varies</t>
        </is>
      </c>
      <c r="W18" s="201" t="inlineStr">
        <is>
          <t>Varies</t>
        </is>
      </c>
      <c r="X18" s="201" t="inlineStr">
        <is>
          <t>Varies</t>
        </is>
      </c>
      <c r="Y18" s="268" t="inlineStr">
        <is>
          <t>HIGH</t>
        </is>
      </c>
      <c r="Z18" s="213" t="inlineStr">
        <is>
          <t>No income restrictions, 1996 vintage, 2.0 mi. 1BD $995 / 2BD $1,095.</t>
        </is>
      </c>
      <c r="AA18" s="214" t="inlineStr">
        <is>
          <t>apartments.com/waterford-pointe-columbus-oh/</t>
        </is>
      </c>
    </row>
    <row r="19" ht="26.25" customFormat="1" customHeight="1" s="273">
      <c r="A19" s="201" t="inlineStr">
        <is>
          <t>4</t>
        </is>
      </c>
      <c r="B19" s="202" t="inlineStr">
        <is>
          <t>MARKET RATE</t>
        </is>
      </c>
      <c r="C19" s="215" t="inlineStr">
        <is>
          <t>Newbridge Commons</t>
        </is>
      </c>
      <c r="D19" s="371" t="n"/>
      <c r="E19" s="205" t="inlineStr">
        <is>
          <t>4551 Durrow Dr</t>
        </is>
      </c>
      <c r="F19" s="205" t="inlineStr">
        <is>
          <t>Columbus</t>
        </is>
      </c>
      <c r="G19" s="205" t="inlineStr">
        <is>
          <t>OH</t>
        </is>
      </c>
      <c r="H19" s="205" t="inlineStr">
        <is>
          <t>43228</t>
        </is>
      </c>
      <c r="I19" s="205" t="inlineStr">
        <is>
          <t>1.5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$1,044</t>
        </is>
      </c>
      <c r="M19" s="206" t="inlineStr">
        <is>
          <t>N/A</t>
        </is>
      </c>
      <c r="N19" s="206" t="inlineStr">
        <is>
          <t>N/A</t>
        </is>
      </c>
      <c r="O19" s="206" t="inlineStr">
        <is>
          <t>$1,430</t>
        </is>
      </c>
      <c r="P19" s="370" t="n">
        <v>1109</v>
      </c>
      <c r="Q19" s="205" t="inlineStr">
        <is>
          <t>N/A</t>
        </is>
      </c>
      <c r="R19" s="205" t="n">
        <v>1998</v>
      </c>
      <c r="S19" s="205" t="n">
        <v>2</v>
      </c>
      <c r="T19" s="210" t="inlineStr">
        <is>
          <t>No</t>
        </is>
      </c>
      <c r="U19" s="201" t="inlineStr">
        <is>
          <t>Varies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68" t="inlineStr">
        <is>
          <t>HIGH</t>
        </is>
      </c>
      <c r="Z19" s="213" t="inlineStr">
        <is>
          <t>No income restrictions, 1998 vintage, 1.5 mi. 1BD $917 / 2BD $1,109.</t>
        </is>
      </c>
      <c r="AA19" s="214" t="inlineStr">
        <is>
          <t>apartments.com/newbridge-commons-columbus-oh/</t>
        </is>
      </c>
    </row>
    <row r="20" ht="26.25" customFormat="1" customHeight="1" s="273">
      <c r="A20" s="201" t="inlineStr">
        <is>
          <t>5</t>
        </is>
      </c>
      <c r="B20" s="202" t="inlineStr">
        <is>
          <t>MARKET RATE</t>
        </is>
      </c>
      <c r="C20" s="215" t="inlineStr">
        <is>
          <t>Hartford Village Commons</t>
        </is>
      </c>
      <c r="D20" s="371" t="n"/>
      <c r="E20" s="205" t="inlineStr">
        <is>
          <t>1040 Hartford Village Blvd</t>
        </is>
      </c>
      <c r="F20" s="205" t="inlineStr">
        <is>
          <t>Columbus</t>
        </is>
      </c>
      <c r="G20" s="205" t="inlineStr">
        <is>
          <t>OH</t>
        </is>
      </c>
      <c r="H20" s="205" t="inlineStr">
        <is>
          <t>43228</t>
        </is>
      </c>
      <c r="I20" s="205" t="inlineStr">
        <is>
          <t>2.0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$1,044</t>
        </is>
      </c>
      <c r="M20" s="206" t="inlineStr">
        <is>
          <t>N/A</t>
        </is>
      </c>
      <c r="N20" s="206" t="inlineStr">
        <is>
          <t>N/A</t>
        </is>
      </c>
      <c r="O20" s="206" t="inlineStr">
        <is>
          <t>$1,430</t>
        </is>
      </c>
      <c r="P20" s="370" t="n">
        <v>1025</v>
      </c>
      <c r="Q20" s="205" t="inlineStr">
        <is>
          <t>N/A</t>
        </is>
      </c>
      <c r="R20" s="205" t="n">
        <v>1997</v>
      </c>
      <c r="S20" s="205" t="n">
        <v>1</v>
      </c>
      <c r="T20" s="201" t="inlineStr">
        <is>
          <t>N/A</t>
        </is>
      </c>
      <c r="U20" s="201" t="inlineStr">
        <is>
          <t>N/A</t>
        </is>
      </c>
      <c r="V20" s="201" t="inlineStr">
        <is>
          <t>N/A</t>
        </is>
      </c>
      <c r="W20" s="201" t="inlineStr">
        <is>
          <t>N/A</t>
        </is>
      </c>
      <c r="X20" s="201" t="inlineStr">
        <is>
          <t>N/A</t>
        </is>
      </c>
      <c r="Y20" s="268" t="inlineStr">
        <is>
          <t>HIGH</t>
        </is>
      </c>
      <c r="Z20" s="213" t="inlineStr">
        <is>
          <t>No income restrictions, 1997 vintage, 2.0 mi. 1BD $925 / 2BD $1,025.</t>
        </is>
      </c>
      <c r="AA20" s="214" t="inlineStr">
        <is>
          <t>apartments.com/hartford-village-commons-columbus-oh/</t>
        </is>
      </c>
    </row>
    <row r="21" ht="26.25" customFormat="1" customHeight="1" s="273">
      <c r="A21" s="201" t="inlineStr">
        <is>
          <t>6</t>
        </is>
      </c>
      <c r="B21" s="202" t="inlineStr">
        <is>
          <t>MARKET RATE</t>
        </is>
      </c>
      <c r="C21" s="215" t="inlineStr">
        <is>
          <t>Bolton Estates</t>
        </is>
      </c>
      <c r="D21" s="372" t="n"/>
      <c r="E21" s="205" t="inlineStr">
        <is>
          <t>5400 Lindberg Blvd</t>
        </is>
      </c>
      <c r="F21" s="205" t="inlineStr">
        <is>
          <t>Columbus</t>
        </is>
      </c>
      <c r="G21" s="205" t="inlineStr">
        <is>
          <t>OH</t>
        </is>
      </c>
      <c r="H21" s="205" t="inlineStr">
        <is>
          <t>43228</t>
        </is>
      </c>
      <c r="I21" s="205" t="inlineStr">
        <is>
          <t>2.5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$1,044</t>
        </is>
      </c>
      <c r="M21" s="206" t="inlineStr">
        <is>
          <t>N/A</t>
        </is>
      </c>
      <c r="N21" s="206" t="inlineStr">
        <is>
          <t>N/A</t>
        </is>
      </c>
      <c r="O21" s="206" t="inlineStr">
        <is>
          <t>$1,430</t>
        </is>
      </c>
      <c r="P21" s="370" t="n">
        <v>1030</v>
      </c>
      <c r="Q21" s="205" t="inlineStr">
        <is>
          <t>N/A</t>
        </is>
      </c>
      <c r="R21" s="205" t="n">
        <v>1993</v>
      </c>
      <c r="S21" s="205" t="n">
        <v>3</v>
      </c>
      <c r="T21" s="201" t="inlineStr">
        <is>
          <t>N/A</t>
        </is>
      </c>
      <c r="U21" s="201" t="inlineStr">
        <is>
          <t>N/A</t>
        </is>
      </c>
      <c r="V21" s="201" t="inlineStr">
        <is>
          <t>N/A</t>
        </is>
      </c>
      <c r="W21" s="201" t="inlineStr">
        <is>
          <t>N/A</t>
        </is>
      </c>
      <c r="X21" s="201" t="inlineStr">
        <is>
          <t>N/A</t>
        </is>
      </c>
      <c r="Y21" s="268" t="inlineStr">
        <is>
          <t>HIGH</t>
        </is>
      </c>
      <c r="Z21" s="213" t="inlineStr">
        <is>
          <t>No income restrictions, 1993 vintage, 2.5 mi. 1BD $895 / 2BD $1,030.</t>
        </is>
      </c>
      <c r="AA21" s="214" t="inlineStr">
        <is>
          <t>apartments.com/bolton-estates-columbus-oh/</t>
        </is>
      </c>
    </row>
    <row r="22" ht="28.5" customFormat="1" customHeight="1" s="273">
      <c r="A22" s="220" t="inlineStr">
        <is>
          <t>—</t>
        </is>
      </c>
      <c r="B22" s="257" t="inlineStr">
        <is>
          <t>BENCHMARK</t>
        </is>
      </c>
      <c r="C22" s="222" t="inlineStr">
        <is>
          <t>FY2026 FMR — Columbus, OH HMFA</t>
        </is>
      </c>
      <c r="D22" s="365" t="n"/>
      <c r="E22" s="220" t="inlineStr">
        <is>
          <t>N/A</t>
        </is>
      </c>
      <c r="F22" s="220" t="inlineStr">
        <is>
          <t>Columbus</t>
        </is>
      </c>
      <c r="G22" s="220" t="inlineStr">
        <is>
          <t>OH</t>
        </is>
      </c>
      <c r="H22" s="220" t="inlineStr">
        <is>
          <t>N/A</t>
        </is>
      </c>
      <c r="I22" s="220" t="inlineStr">
        <is>
          <t>N/A</t>
        </is>
      </c>
      <c r="J22" s="220" t="inlineStr">
        <is>
          <t>$1,044</t>
        </is>
      </c>
      <c r="K22" s="220" t="inlineStr">
        <is>
          <t>$1,044</t>
        </is>
      </c>
      <c r="L22" s="220" t="inlineStr">
        <is>
          <t>$1,044</t>
        </is>
      </c>
      <c r="M22" s="220" t="inlineStr">
        <is>
          <t>$1,430</t>
        </is>
      </c>
      <c r="N22" s="220" t="inlineStr">
        <is>
          <t>$1,430</t>
        </is>
      </c>
      <c r="O22" s="220" t="inlineStr">
        <is>
          <t>$1,430</t>
        </is>
      </c>
      <c r="P22" s="220" t="inlineStr">
        <is>
          <t>N/A</t>
        </is>
      </c>
      <c r="Q22" s="220" t="inlineStr">
        <is>
          <t>N/A</t>
        </is>
      </c>
      <c r="R22" s="220" t="inlineStr">
        <is>
          <t>N/A</t>
        </is>
      </c>
      <c r="S22" s="220" t="inlineStr">
        <is>
          <t>N/A</t>
        </is>
      </c>
      <c r="T22" s="220" t="inlineStr">
        <is>
          <t>N/A</t>
        </is>
      </c>
      <c r="U22" s="220" t="inlineStr">
        <is>
          <t>N/A</t>
        </is>
      </c>
      <c r="V22" s="220" t="inlineStr">
        <is>
          <t>N/A</t>
        </is>
      </c>
      <c r="W22" s="220" t="inlineStr">
        <is>
          <t>N/A</t>
        </is>
      </c>
      <c r="X22" s="220" t="inlineStr">
        <is>
          <t>N/A</t>
        </is>
      </c>
      <c r="Y22" s="202" t="inlineStr">
        <is>
          <t>BENCHMARK</t>
        </is>
      </c>
      <c r="Z22" s="224" t="inlineStr">
        <is>
          <t>HUD FMR for Columbus, OH HMFA, FY2026.</t>
        </is>
      </c>
      <c r="AA22" s="225" t="inlineStr">
        <is>
          <t>HUD FMR Database (huduser.gov)</t>
        </is>
      </c>
    </row>
    <row r="23" ht="34.5" customFormat="1" customHeight="1" s="273">
      <c r="A23" s="226" t="inlineStr">
        <is>
          <t>—</t>
        </is>
      </c>
      <c r="B23" s="257" t="inlineStr">
        <is>
          <t>BENCHMARK</t>
        </is>
      </c>
      <c r="C23" s="227" t="inlineStr">
        <is>
          <t>Metro Market Avg — Columbus West (Apr 2026)</t>
        </is>
      </c>
      <c r="D23" s="365" t="n"/>
      <c r="E23" s="226" t="inlineStr">
        <is>
          <t>N/A</t>
        </is>
      </c>
      <c r="F23" s="226" t="inlineStr">
        <is>
          <t>Columbus</t>
        </is>
      </c>
      <c r="G23" s="226" t="inlineStr">
        <is>
          <t>OH</t>
        </is>
      </c>
      <c r="H23" s="226" t="inlineStr">
        <is>
          <t>N/A</t>
        </is>
      </c>
      <c r="I23" s="226" t="inlineStr">
        <is>
          <t>N/A</t>
        </is>
      </c>
      <c r="J23" s="226" t="n">
        <v>952</v>
      </c>
      <c r="K23" s="226" t="n">
        <v>952</v>
      </c>
      <c r="L23" s="226" t="n">
        <v>952</v>
      </c>
      <c r="M23" s="226" t="n">
        <v>1087</v>
      </c>
      <c r="N23" s="226" t="n">
        <v>1087</v>
      </c>
      <c r="O23" s="226" t="n">
        <v>1087</v>
      </c>
      <c r="P23" s="229" t="n">
        <v>1087</v>
      </c>
      <c r="Q23" s="226" t="inlineStr">
        <is>
          <t>N/A</t>
        </is>
      </c>
      <c r="R23" s="226" t="inlineStr">
        <is>
          <t>N/A</t>
        </is>
      </c>
      <c r="S23" s="226" t="inlineStr">
        <is>
          <t>N/A</t>
        </is>
      </c>
      <c r="T23" s="226" t="inlineStr">
        <is>
          <t>N/A</t>
        </is>
      </c>
      <c r="U23" s="226" t="inlineStr">
        <is>
          <t>N/A</t>
        </is>
      </c>
      <c r="V23" s="226" t="inlineStr">
        <is>
          <t>N/A</t>
        </is>
      </c>
      <c r="W23" s="226" t="inlineStr">
        <is>
          <t>N/A</t>
        </is>
      </c>
      <c r="X23" s="226" t="inlineStr">
        <is>
          <t>N/A</t>
        </is>
      </c>
      <c r="Y23" s="202" t="inlineStr">
        <is>
          <t>BENCHMARK</t>
        </is>
      </c>
      <c r="Z23" s="230" t="inlineStr">
        <is>
          <t>Live Market Average from 6 comps, Apr 30, 2026. 1BD avg $952 / 2BD avg $1,087.</t>
        </is>
      </c>
      <c r="AA23" s="231" t="inlineStr">
        <is>
          <t>Apartments.com live data, Apr 30, 2026</t>
        </is>
      </c>
    </row>
    <row r="25" ht="14.25" customFormat="1" customHeight="1" s="273">
      <c r="A25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7" ht="18" customFormat="1" customHeight="1" s="273">
      <c r="A27" s="233" t="inlineStr">
        <is>
          <t>CURRENT RENT vs. MARKET AVERAGE</t>
        </is>
      </c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</row>
    <row r="28" ht="15.75" customFormat="1" customHeight="1" s="273">
      <c r="A28" s="234" t="inlineStr">
        <is>
          <t>Market Average = Avg of Actual Advertised Rents from 6 Market-Rate Comps (Apartments.com)</t>
        </is>
      </c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</row>
    <row r="29" ht="15.75" customFormat="1" customHeight="1" s="273">
      <c r="A29" s="24" t="n"/>
      <c r="B29" s="157" t="inlineStr">
        <is>
          <t>Current Rents</t>
        </is>
      </c>
      <c r="C29" s="157" t="inlineStr">
        <is>
          <t>Market Avg</t>
        </is>
      </c>
      <c r="D29" s="351" t="n"/>
      <c r="E29" s="157" t="inlineStr">
        <is>
          <t>Difference</t>
        </is>
      </c>
      <c r="F29" s="273" t="n"/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</row>
    <row r="30" ht="20.25" customFormat="1" customHeight="1" s="273">
      <c r="A30" s="235" t="inlineStr">
        <is>
          <t>2BD</t>
        </is>
      </c>
      <c r="B30" s="391">
        <f>'Current Rents'!E20</f>
        <v/>
      </c>
      <c r="C30" s="393" t="n">
        <v>1087</v>
      </c>
      <c r="E30" s="394">
        <f>B30-C30</f>
        <v/>
      </c>
      <c r="F30" s="161">
        <f>IF(E30&lt;-75,"LOOK INTO INCREASING THE RENT!","")</f>
        <v/>
      </c>
      <c r="G30" s="273" t="n"/>
      <c r="H30" s="273" t="n"/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</row>
  </sheetData>
  <mergeCells count="19">
    <mergeCell ref="C30:D30"/>
    <mergeCell ref="C15:D15"/>
    <mergeCell ref="A7:AA7"/>
    <mergeCell ref="A25:AA25"/>
    <mergeCell ref="C14:D14"/>
    <mergeCell ref="Y6:AA6"/>
    <mergeCell ref="C29:D29"/>
    <mergeCell ref="C10:D10"/>
    <mergeCell ref="C22:D22"/>
    <mergeCell ref="A27:H27"/>
    <mergeCell ref="A8:AA8"/>
    <mergeCell ref="C12:D12"/>
    <mergeCell ref="C11:D11"/>
    <mergeCell ref="D16:D21"/>
    <mergeCell ref="C23:D23"/>
    <mergeCell ref="A9:AA9"/>
    <mergeCell ref="A28:H28"/>
    <mergeCell ref="C13:D13"/>
    <mergeCell ref="A6:X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34"/>
  <sheetViews>
    <sheetView topLeftCell="A1" workbookViewId="0">
      <pane ySplit="1" topLeftCell="A18" activePane="bottomLeft" state="frozen"/>
      <selection pane="bottomLeft" activeCell="O27" sqref="O27"/>
    </sheetView>
  </sheetViews>
  <sheetFormatPr baseColWidth="8" defaultColWidth="9.140625" defaultRowHeight="21.75" customHeight="1"/>
  <cols>
    <col width="6.8515625" customWidth="1" style="273" min="1" max="1"/>
    <col width="13.8515625" customWidth="1" style="273" min="2" max="2"/>
    <col width="36.57421875" customWidth="1" style="273" min="3" max="3"/>
    <col width="2.8515625" customWidth="1" style="273" min="4" max="4"/>
    <col width="18.28125" customWidth="1" style="273" min="5" max="5"/>
    <col width="28.28125" customWidth="1" style="273" min="6" max="6"/>
    <col width="2.8515625" customWidth="1" style="273" min="7" max="7"/>
    <col width="6.28125" customWidth="1" style="273" min="8" max="8"/>
    <col width="6.57421875" customWidth="1" style="273" min="9" max="9"/>
    <col hidden="1" width="6.8515625" customWidth="1" style="273" min="10" max="10"/>
    <col width="6.8515625" customWidth="1" style="273" min="11" max="11"/>
    <col hidden="1" width="5.28125" customWidth="1" style="273" min="12" max="12"/>
    <col width="8.00390625" customWidth="1" style="273" min="13" max="13"/>
    <col hidden="1" width="6.8515625" customWidth="1" style="273" min="14" max="14"/>
    <col width="6.8515625" customWidth="1" style="273" min="15" max="15"/>
    <col hidden="1" width="5.28125" customWidth="1" style="273" min="16" max="16"/>
    <col width="9.00390625" customWidth="1" style="273" min="17" max="17"/>
    <col width="4.7109375" customWidth="1" style="273" min="18" max="18"/>
    <col width="6.140625" customWidth="1" style="273" min="19" max="19"/>
    <col width="5.28125" customWidth="1" style="273" min="20" max="20"/>
    <col width="4.8515625" customWidth="1" style="273" min="21" max="21"/>
    <col width="7.28125" customWidth="1" style="273" min="22" max="25"/>
    <col width="20.57421875" customWidth="1" style="273" min="26" max="26"/>
    <col width="48.57421875" customWidth="1" style="273" min="27" max="27"/>
    <col width="52.421875" customWidth="1" style="273" min="28" max="28"/>
  </cols>
  <sheetData>
    <row r="1" ht="21.7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  <c r="AN1" s="4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4" t="n"/>
    </row>
    <row r="2" ht="21.7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</row>
    <row r="3" ht="15" customFormat="1" customHeight="1" s="27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</row>
    <row r="4" ht="15" customFormat="1" customHeight="1" s="273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</row>
    <row r="5" ht="15" customFormat="1" customHeight="1" s="273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</row>
    <row r="6" ht="21.75" customFormat="1" customHeight="1" s="273"/>
    <row r="7" ht="21.75" customFormat="1" customHeight="1" s="273"/>
    <row r="8" ht="8.25" customFormat="1" customHeight="1" s="273"/>
    <row r="9" ht="36" customFormat="1" customHeight="1" s="273">
      <c r="A9" s="163" t="inlineStr">
        <is>
          <t>RENT COMPARABLES ANALYSIS  —  BRECKENRIDGE VILLAGE  |  ENNIS, TX 75119</t>
        </is>
      </c>
      <c r="B9" s="364" t="n"/>
      <c r="C9" s="364" t="n"/>
      <c r="D9" s="364" t="n"/>
      <c r="E9" s="364" t="n"/>
      <c r="F9" s="364" t="n"/>
      <c r="G9" s="364" t="n"/>
      <c r="H9" s="364" t="n"/>
      <c r="I9" s="364" t="n"/>
      <c r="J9" s="364" t="n"/>
      <c r="K9" s="364" t="n"/>
      <c r="L9" s="364" t="n"/>
      <c r="M9" s="364" t="n"/>
      <c r="N9" s="364" t="n"/>
      <c r="O9" s="364" t="n"/>
      <c r="P9" s="364" t="n"/>
      <c r="Q9" s="364" t="n"/>
      <c r="R9" s="364" t="n"/>
      <c r="S9" s="364" t="n"/>
      <c r="T9" s="364" t="n"/>
      <c r="U9" s="364" t="n"/>
      <c r="V9" s="364" t="n"/>
      <c r="W9" s="364" t="n"/>
      <c r="X9" s="364" t="n"/>
      <c r="Y9" s="365" t="n"/>
      <c r="Z9" s="262" t="inlineStr">
        <is>
          <t>12 - Breckenridge  |  66 Units  |  LIHTC  |  2BD &amp; 4BD</t>
        </is>
      </c>
      <c r="AA9" s="364" t="n"/>
      <c r="AB9" s="365" t="n"/>
    </row>
    <row r="10" ht="18" customFormat="1" customHeight="1" s="273">
      <c r="A10" s="241" t="inlineStr">
        <is>
          <t>2001 N Floyd St, Ennis, TX 75119  |  Ellis County  |  FY2026 FMR: 2BD $1,931 / 4BD $2,810</t>
        </is>
      </c>
      <c r="B10" s="364" t="n"/>
      <c r="C10" s="364" t="n"/>
      <c r="D10" s="364" t="n"/>
      <c r="E10" s="364" t="n"/>
      <c r="F10" s="364" t="n"/>
      <c r="G10" s="364" t="n"/>
      <c r="H10" s="364" t="n"/>
      <c r="I10" s="364" t="n"/>
      <c r="J10" s="364" t="n"/>
      <c r="K10" s="364" t="n"/>
      <c r="L10" s="364" t="n"/>
      <c r="M10" s="364" t="n"/>
      <c r="N10" s="364" t="n"/>
      <c r="O10" s="364" t="n"/>
      <c r="P10" s="364" t="n"/>
      <c r="Q10" s="364" t="n"/>
      <c r="R10" s="364" t="n"/>
      <c r="S10" s="364" t="n"/>
      <c r="T10" s="364" t="n"/>
      <c r="U10" s="364" t="n"/>
      <c r="V10" s="364" t="n"/>
      <c r="W10" s="364" t="n"/>
      <c r="X10" s="364" t="n"/>
      <c r="Y10" s="364" t="n"/>
      <c r="Z10" s="364" t="n"/>
      <c r="AA10" s="364" t="n"/>
      <c r="AB10" s="365" t="n"/>
    </row>
    <row r="11" ht="14.25" customFormat="1" customHeight="1" s="273">
      <c r="A11" s="170" t="inlineStr">
        <is>
          <t>Data as of June 2026  |  Sources: Apartments.com, HUD FMR Database, HUD LIHTC Database, Apartment Corp Records</t>
        </is>
      </c>
      <c r="B11" s="364" t="n"/>
      <c r="C11" s="364" t="n"/>
      <c r="D11" s="364" t="n"/>
      <c r="E11" s="364" t="n"/>
      <c r="F11" s="364" t="n"/>
      <c r="G11" s="364" t="n"/>
      <c r="H11" s="364" t="n"/>
      <c r="I11" s="364" t="n"/>
      <c r="J11" s="364" t="n"/>
      <c r="K11" s="364" t="n"/>
      <c r="L11" s="364" t="n"/>
      <c r="M11" s="364" t="n"/>
      <c r="N11" s="364" t="n"/>
      <c r="O11" s="364" t="n"/>
      <c r="P11" s="364" t="n"/>
      <c r="Q11" s="364" t="n"/>
      <c r="R11" s="364" t="n"/>
      <c r="S11" s="364" t="n"/>
      <c r="T11" s="364" t="n"/>
      <c r="U11" s="364" t="n"/>
      <c r="V11" s="364" t="n"/>
      <c r="W11" s="364" t="n"/>
      <c r="X11" s="364" t="n"/>
      <c r="Y11" s="364" t="n"/>
      <c r="Z11" s="364" t="n"/>
      <c r="AA11" s="364" t="n"/>
      <c r="AB11" s="365" t="n"/>
    </row>
    <row r="12" ht="25.5" customFormat="1" customHeight="1" s="273">
      <c r="A12" s="171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2" s="364" t="n"/>
      <c r="C12" s="364" t="n"/>
      <c r="D12" s="364" t="n"/>
      <c r="E12" s="364" t="n"/>
      <c r="F12" s="364" t="n"/>
      <c r="G12" s="364" t="n"/>
      <c r="H12" s="364" t="n"/>
      <c r="I12" s="364" t="n"/>
      <c r="J12" s="364" t="n"/>
      <c r="K12" s="364" t="n"/>
      <c r="L12" s="364" t="n"/>
      <c r="M12" s="364" t="n"/>
      <c r="N12" s="364" t="n"/>
      <c r="O12" s="364" t="n"/>
      <c r="P12" s="364" t="n"/>
      <c r="Q12" s="364" t="n"/>
      <c r="R12" s="364" t="n"/>
      <c r="S12" s="364" t="n"/>
      <c r="T12" s="364" t="n"/>
      <c r="U12" s="364" t="n"/>
      <c r="V12" s="364" t="n"/>
      <c r="W12" s="364" t="n"/>
      <c r="X12" s="364" t="n"/>
      <c r="Y12" s="364" t="n"/>
      <c r="Z12" s="364" t="n"/>
      <c r="AA12" s="364" t="n"/>
      <c r="AB12" s="365" t="n"/>
    </row>
    <row r="13" ht="25.5" customFormat="1" customHeight="1" s="273">
      <c r="A13" s="243" t="inlineStr">
        <is>
          <t>Rank</t>
        </is>
      </c>
      <c r="B13" s="243" t="inlineStr">
        <is>
          <t>Type</t>
        </is>
      </c>
      <c r="C13" s="243" t="inlineStr">
        <is>
          <t>Property Name</t>
        </is>
      </c>
      <c r="D13" s="365" t="n"/>
      <c r="E13" s="243" t="inlineStr">
        <is>
          <t>Address</t>
        </is>
      </c>
      <c r="F13" s="243" t="inlineStr">
        <is>
          <t>City</t>
        </is>
      </c>
      <c r="G13" s="244" t="inlineStr">
        <is>
          <t>St</t>
        </is>
      </c>
      <c r="H13" s="244" t="inlineStr">
        <is>
          <t>ZIP</t>
        </is>
      </c>
      <c r="I13" s="244" t="inlineStr">
        <is>
          <t>Distance</t>
        </is>
      </c>
      <c r="J13" s="244" t="inlineStr">
        <is>
          <t>2BD
50% AMI</t>
        </is>
      </c>
      <c r="K13" s="244" t="inlineStr">
        <is>
          <t>2BD
60% AMI</t>
        </is>
      </c>
      <c r="L13" s="244" t="inlineStr">
        <is>
          <t>2BD
FMR</t>
        </is>
      </c>
      <c r="M13" s="248" t="inlineStr">
        <is>
          <t>2BD -
Actual</t>
        </is>
      </c>
      <c r="N13" s="244" t="inlineStr">
        <is>
          <t>4BD
50% AMI</t>
        </is>
      </c>
      <c r="O13" s="244" t="inlineStr">
        <is>
          <t>4BD
60% AMI</t>
        </is>
      </c>
      <c r="P13" s="244" t="inlineStr">
        <is>
          <t>4BD
FMR</t>
        </is>
      </c>
      <c r="Q13" s="248" t="inlineStr">
        <is>
          <t>4BD -
Actual</t>
        </is>
      </c>
      <c r="R13" s="247" t="inlineStr">
        <is>
          <t>Units</t>
        </is>
      </c>
      <c r="S13" s="247" t="inlineStr">
        <is>
          <t>Yr Built</t>
        </is>
      </c>
      <c r="T13" s="247" t="inlineStr">
        <is>
          <t>Yr Diff</t>
        </is>
      </c>
      <c r="U13" s="247" t="inlineStr">
        <is>
          <t>Utils
Incl.</t>
        </is>
      </c>
      <c r="V13" s="247" t="inlineStr">
        <is>
          <t>Pet
Friendly</t>
        </is>
      </c>
      <c r="W13" s="247" t="inlineStr">
        <is>
          <t>Gated</t>
        </is>
      </c>
      <c r="X13" s="247" t="inlineStr">
        <is>
          <t>Pool</t>
        </is>
      </c>
      <c r="Y13" s="247" t="inlineStr">
        <is>
          <t>W/D
In-Unit</t>
        </is>
      </c>
      <c r="Z13" s="248" t="inlineStr">
        <is>
          <t>Competition Level</t>
        </is>
      </c>
      <c r="AA13" s="249" t="inlineStr">
        <is>
          <t>Notes / Why Competitive</t>
        </is>
      </c>
      <c r="AB13" s="249" t="inlineStr">
        <is>
          <t>Data Source</t>
        </is>
      </c>
    </row>
    <row r="14" ht="21.75" customFormat="1" customHeight="1" s="273">
      <c r="A14" s="180" t="inlineStr">
        <is>
          <t>★</t>
        </is>
      </c>
      <c r="B14" s="181" t="inlineStr">
        <is>
          <t>SUBJECT</t>
        </is>
      </c>
      <c r="C14" s="250" t="inlineStr">
        <is>
          <t>Breckenridge Village (SUBJECT)</t>
        </is>
      </c>
      <c r="D14" s="365" t="n"/>
      <c r="E14" s="183" t="inlineStr">
        <is>
          <t>2001 N Floyd St</t>
        </is>
      </c>
      <c r="F14" s="183" t="inlineStr">
        <is>
          <t>Ennis</t>
        </is>
      </c>
      <c r="G14" s="183" t="inlineStr">
        <is>
          <t>TX</t>
        </is>
      </c>
      <c r="H14" s="183" t="inlineStr">
        <is>
          <t>75119</t>
        </is>
      </c>
      <c r="I14" s="183" t="inlineStr">
        <is>
          <t>0.0 mi</t>
        </is>
      </c>
      <c r="J14" s="183" t="inlineStr">
        <is>
          <t>$4,400</t>
        </is>
      </c>
      <c r="K14" s="183" t="inlineStr">
        <is>
          <t>$5,280</t>
        </is>
      </c>
      <c r="L14" s="183" t="inlineStr">
        <is>
          <t>$1,931</t>
        </is>
      </c>
      <c r="M14" s="369">
        <f>'Current Rents'!E21</f>
        <v/>
      </c>
      <c r="N14" s="183" t="inlineStr">
        <is>
          <t>$5,279</t>
        </is>
      </c>
      <c r="O14" s="183" t="inlineStr">
        <is>
          <t>$6,335</t>
        </is>
      </c>
      <c r="P14" s="183" t="inlineStr">
        <is>
          <t>$2,810</t>
        </is>
      </c>
      <c r="Q14" s="369">
        <f>'Current Rents'!G21</f>
        <v/>
      </c>
      <c r="R14" s="183" t="n">
        <v>66</v>
      </c>
      <c r="S14" s="183" t="n">
        <v>1997</v>
      </c>
      <c r="T14" s="183" t="inlineStr">
        <is>
          <t>0</t>
        </is>
      </c>
      <c r="U14" s="187" t="inlineStr">
        <is>
          <t>No</t>
        </is>
      </c>
      <c r="V14" s="187" t="inlineStr">
        <is>
          <t>No</t>
        </is>
      </c>
      <c r="W14" s="187" t="inlineStr">
        <is>
          <t>No</t>
        </is>
      </c>
      <c r="X14" s="187" t="inlineStr">
        <is>
          <t>No</t>
        </is>
      </c>
      <c r="Y14" s="187" t="inlineStr">
        <is>
          <t>No</t>
        </is>
      </c>
      <c r="Z14" s="181" t="inlineStr">
        <is>
          <t>SUBJECT</t>
        </is>
      </c>
      <c r="AA14" s="188" t="inlineStr">
        <is>
          <t>66 units | LIHTC property. Year built: 1997. Subject property for market context.</t>
        </is>
      </c>
      <c r="AB14" s="189" t="inlineStr">
        <is>
          <t>Apartment Corp Records</t>
        </is>
      </c>
    </row>
    <row r="15" ht="21.75" customFormat="1" customHeight="1" s="273">
      <c r="A15" s="190" t="inlineStr">
        <is>
          <t>1</t>
        </is>
      </c>
      <c r="B15" s="251" t="inlineStr">
        <is>
          <t>AFFORDABLE</t>
        </is>
      </c>
      <c r="C15" s="192" t="inlineStr">
        <is>
          <t>Breckenridge Village</t>
        </is>
      </c>
      <c r="D15" s="365" t="n"/>
      <c r="E15" s="194" t="inlineStr">
        <is>
          <t>2001A Floyd St</t>
        </is>
      </c>
      <c r="F15" s="194" t="inlineStr">
        <is>
          <t>Ennis</t>
        </is>
      </c>
      <c r="G15" s="194" t="inlineStr">
        <is>
          <t>TX</t>
        </is>
      </c>
      <c r="H15" s="194" t="inlineStr">
        <is>
          <t>75119</t>
        </is>
      </c>
      <c r="I15" s="194" t="inlineStr">
        <is>
          <t>1.2 mi</t>
        </is>
      </c>
      <c r="J15" s="194" t="inlineStr">
        <is>
          <t>$4,400</t>
        </is>
      </c>
      <c r="K15" s="194" t="inlineStr">
        <is>
          <t>$5,280</t>
        </is>
      </c>
      <c r="L15" s="194" t="inlineStr">
        <is>
          <t>$1,931</t>
        </is>
      </c>
      <c r="M15" s="190" t="inlineStr">
        <is>
          <t>Not Listed</t>
        </is>
      </c>
      <c r="N15" s="194" t="inlineStr">
        <is>
          <t>$5,279</t>
        </is>
      </c>
      <c r="O15" s="194" t="inlineStr">
        <is>
          <t>$6,335</t>
        </is>
      </c>
      <c r="P15" s="194" t="inlineStr">
        <is>
          <t>$2,810</t>
        </is>
      </c>
      <c r="Q15" s="190" t="inlineStr">
        <is>
          <t>Not Listed</t>
        </is>
      </c>
      <c r="R15" s="194" t="n">
        <v>66</v>
      </c>
      <c r="S15" s="194" t="n">
        <v>1997</v>
      </c>
      <c r="T15" s="194" t="n">
        <v>0</v>
      </c>
      <c r="U15" s="195" t="inlineStr">
        <is>
          <t>Yes</t>
        </is>
      </c>
      <c r="V15" s="196" t="inlineStr">
        <is>
          <t>No</t>
        </is>
      </c>
      <c r="W15" s="196" t="inlineStr">
        <is>
          <t>No</t>
        </is>
      </c>
      <c r="X15" s="196" t="inlineStr">
        <is>
          <t>No</t>
        </is>
      </c>
      <c r="Y15" s="196" t="inlineStr">
        <is>
          <t>No</t>
        </is>
      </c>
      <c r="Z15" s="268" t="inlineStr">
        <is>
          <t>HIGH</t>
        </is>
      </c>
      <c r="AA15" s="198" t="inlineStr">
        <is>
          <t>Affordable Comp #1: LIHTC property, 1997 vintage (0 yr diff), 66 units, 1.2 mi from subject. Same income-eligible renter pool.</t>
        </is>
      </c>
      <c r="AB15" s="199" t="inlineStr">
        <is>
          <t>HUD LIHTC Database (huduser.gov)</t>
        </is>
      </c>
    </row>
    <row r="16" ht="21.75" customFormat="1" customHeight="1" s="273">
      <c r="A16" s="190" t="inlineStr">
        <is>
          <t>2</t>
        </is>
      </c>
      <c r="B16" s="251" t="inlineStr">
        <is>
          <t>AFFORDABLE</t>
        </is>
      </c>
      <c r="C16" s="192" t="inlineStr">
        <is>
          <t>Lexington Arms</t>
        </is>
      </c>
      <c r="D16" s="365" t="n"/>
      <c r="E16" s="194" t="inlineStr">
        <is>
          <t>418 Lexington Dr</t>
        </is>
      </c>
      <c r="F16" s="194" t="inlineStr">
        <is>
          <t>Waxahachie</t>
        </is>
      </c>
      <c r="G16" s="194" t="inlineStr">
        <is>
          <t>TX</t>
        </is>
      </c>
      <c r="H16" s="194" t="inlineStr">
        <is>
          <t>75165</t>
        </is>
      </c>
      <c r="I16" s="194" t="inlineStr">
        <is>
          <t>12.0 mi</t>
        </is>
      </c>
      <c r="J16" s="194" t="inlineStr">
        <is>
          <t>$4,400</t>
        </is>
      </c>
      <c r="K16" s="194" t="inlineStr">
        <is>
          <t>$5,280</t>
        </is>
      </c>
      <c r="L16" s="194" t="inlineStr">
        <is>
          <t>$1,931</t>
        </is>
      </c>
      <c r="M16" s="190" t="inlineStr">
        <is>
          <t>Not Listed</t>
        </is>
      </c>
      <c r="N16" s="194" t="inlineStr">
        <is>
          <t>$5,279</t>
        </is>
      </c>
      <c r="O16" s="194" t="inlineStr">
        <is>
          <t>$6,335</t>
        </is>
      </c>
      <c r="P16" s="194" t="inlineStr">
        <is>
          <t>$2,810</t>
        </is>
      </c>
      <c r="Q16" s="378" t="n">
        <v>1641</v>
      </c>
      <c r="R16" s="194" t="n">
        <v>61</v>
      </c>
      <c r="S16" s="194" t="n">
        <v>1997</v>
      </c>
      <c r="T16" s="194" t="n">
        <v>0</v>
      </c>
      <c r="U16" s="195" t="inlineStr">
        <is>
          <t>Yes</t>
        </is>
      </c>
      <c r="V16" s="196" t="inlineStr">
        <is>
          <t>No</t>
        </is>
      </c>
      <c r="W16" s="196" t="inlineStr">
        <is>
          <t>No</t>
        </is>
      </c>
      <c r="X16" s="196" t="inlineStr">
        <is>
          <t>No</t>
        </is>
      </c>
      <c r="Y16" s="196" t="inlineStr">
        <is>
          <t>No</t>
        </is>
      </c>
      <c r="Z16" s="268" t="inlineStr">
        <is>
          <t>HIGH</t>
        </is>
      </c>
      <c r="AA16" s="198" t="inlineStr">
        <is>
          <t>Affordable Comp #2: LIHTC property, 1997 vintage (0 yr diff), 61 units, 12.0 mi from subject. Same income-eligible renter pool.</t>
        </is>
      </c>
      <c r="AB16" s="199" t="inlineStr">
        <is>
          <t>HUD LIHTC Database (huduser.gov)</t>
        </is>
      </c>
    </row>
    <row r="17" ht="21.75" customFormat="1" customHeight="1" s="273">
      <c r="A17" s="190" t="inlineStr">
        <is>
          <t>3</t>
        </is>
      </c>
      <c r="B17" s="251" t="inlineStr">
        <is>
          <t>AFFORDABLE</t>
        </is>
      </c>
      <c r="C17" s="192" t="inlineStr">
        <is>
          <t>Creekside Terrace Apts</t>
        </is>
      </c>
      <c r="D17" s="365" t="n"/>
      <c r="E17" s="194" t="inlineStr">
        <is>
          <t>1000 E Burnett St</t>
        </is>
      </c>
      <c r="F17" s="194" t="inlineStr">
        <is>
          <t>Ennis</t>
        </is>
      </c>
      <c r="G17" s="194" t="inlineStr">
        <is>
          <t>TX</t>
        </is>
      </c>
      <c r="H17" s="194" t="inlineStr">
        <is>
          <t>75119</t>
        </is>
      </c>
      <c r="I17" s="194" t="inlineStr">
        <is>
          <t>0.7 mi</t>
        </is>
      </c>
      <c r="J17" s="194" t="inlineStr">
        <is>
          <t>$4,400</t>
        </is>
      </c>
      <c r="K17" s="194" t="inlineStr">
        <is>
          <t>$5,280</t>
        </is>
      </c>
      <c r="L17" s="194" t="inlineStr">
        <is>
          <t>$1,931</t>
        </is>
      </c>
      <c r="M17" s="378" t="n">
        <v>1270</v>
      </c>
      <c r="N17" s="194" t="inlineStr">
        <is>
          <t>$5,279</t>
        </is>
      </c>
      <c r="O17" s="194" t="inlineStr">
        <is>
          <t>$6,335</t>
        </is>
      </c>
      <c r="P17" s="194" t="inlineStr">
        <is>
          <t>$2,810</t>
        </is>
      </c>
      <c r="Q17" s="378" t="n">
        <v>1650</v>
      </c>
      <c r="R17" s="194" t="n">
        <v>80</v>
      </c>
      <c r="S17" s="194" t="n">
        <v>1998</v>
      </c>
      <c r="T17" s="194" t="n">
        <v>1</v>
      </c>
      <c r="U17" s="195" t="inlineStr">
        <is>
          <t>Yes</t>
        </is>
      </c>
      <c r="V17" s="196" t="inlineStr">
        <is>
          <t>No</t>
        </is>
      </c>
      <c r="W17" s="196" t="inlineStr">
        <is>
          <t>No</t>
        </is>
      </c>
      <c r="X17" s="196" t="inlineStr">
        <is>
          <t>No</t>
        </is>
      </c>
      <c r="Y17" s="196" t="inlineStr">
        <is>
          <t>No</t>
        </is>
      </c>
      <c r="Z17" s="268" t="inlineStr">
        <is>
          <t>HIGH</t>
        </is>
      </c>
      <c r="AA17" s="198" t="inlineStr">
        <is>
          <t>Affordable Comp #3: LIHTC property, 1998 vintage (1 yr diff), 80 units, 0.7 mi from subject. Same income-eligible renter pool.</t>
        </is>
      </c>
      <c r="AB17" s="199" t="inlineStr">
        <is>
          <t>HUD LIHTC Database (huduser.gov)</t>
        </is>
      </c>
    </row>
    <row r="18" ht="21.75" customFormat="1" customHeight="1" s="273">
      <c r="A18" s="190" t="inlineStr">
        <is>
          <t>4</t>
        </is>
      </c>
      <c r="B18" s="251" t="inlineStr">
        <is>
          <t>AFFORDABLE</t>
        </is>
      </c>
      <c r="C18" s="192" t="inlineStr">
        <is>
          <t>Sherwood Arms Apts</t>
        </is>
      </c>
      <c r="D18" s="365" t="n"/>
      <c r="E18" s="194" t="inlineStr">
        <is>
          <t>213 N Val Verde Cir</t>
        </is>
      </c>
      <c r="F18" s="194" t="inlineStr">
        <is>
          <t>Keene</t>
        </is>
      </c>
      <c r="G18" s="194" t="inlineStr">
        <is>
          <t>TX</t>
        </is>
      </c>
      <c r="H18" s="194" t="inlineStr">
        <is>
          <t>76059</t>
        </is>
      </c>
      <c r="I18" s="194" t="inlineStr">
        <is>
          <t>41.4 mi</t>
        </is>
      </c>
      <c r="J18" s="194" t="inlineStr">
        <is>
          <t>$4,400</t>
        </is>
      </c>
      <c r="K18" s="194" t="inlineStr">
        <is>
          <t>$5,280</t>
        </is>
      </c>
      <c r="L18" s="194" t="inlineStr">
        <is>
          <t>$1,931</t>
        </is>
      </c>
      <c r="M18" s="190" t="inlineStr">
        <is>
          <t>Not Listed</t>
        </is>
      </c>
      <c r="N18" s="194" t="inlineStr">
        <is>
          <t>$5,279</t>
        </is>
      </c>
      <c r="O18" s="194" t="inlineStr">
        <is>
          <t>$6,335</t>
        </is>
      </c>
      <c r="P18" s="194" t="inlineStr">
        <is>
          <t>$2,810</t>
        </is>
      </c>
      <c r="Q18" s="190" t="inlineStr">
        <is>
          <t>Not Listed</t>
        </is>
      </c>
      <c r="R18" s="194" t="n">
        <v>56</v>
      </c>
      <c r="S18" s="194" t="n">
        <v>1997</v>
      </c>
      <c r="T18" s="194" t="n">
        <v>0</v>
      </c>
      <c r="U18" s="195" t="inlineStr">
        <is>
          <t>Yes</t>
        </is>
      </c>
      <c r="V18" s="196" t="inlineStr">
        <is>
          <t>No</t>
        </is>
      </c>
      <c r="W18" s="196" t="inlineStr">
        <is>
          <t>No</t>
        </is>
      </c>
      <c r="X18" s="196" t="inlineStr">
        <is>
          <t>No</t>
        </is>
      </c>
      <c r="Y18" s="196" t="inlineStr">
        <is>
          <t>No</t>
        </is>
      </c>
      <c r="Z18" s="292" t="inlineStr">
        <is>
          <t>MODERATE</t>
        </is>
      </c>
      <c r="AA18" s="198" t="inlineStr">
        <is>
          <t>Affordable Comp #4: LIHTC property, 1997 vintage (0 yr diff), 56 units, 41.4 mi from subject. Same income-eligible renter pool.</t>
        </is>
      </c>
      <c r="AB18" s="199" t="inlineStr">
        <is>
          <t>HUD LIHTC Database (huduser.gov)</t>
        </is>
      </c>
    </row>
    <row r="19" ht="26.25" customFormat="1" customHeight="1" s="273">
      <c r="A19" s="201" t="inlineStr">
        <is>
          <t>1</t>
        </is>
      </c>
      <c r="B19" s="202" t="inlineStr">
        <is>
          <t>MARKET RATE</t>
        </is>
      </c>
      <c r="C19" s="215" t="inlineStr">
        <is>
          <t>Grace Townhomes</t>
        </is>
      </c>
      <c r="D19" s="253" t="inlineStr">
        <is>
          <t>COMPETITION</t>
        </is>
      </c>
      <c r="E19" s="205" t="inlineStr">
        <is>
          <t>1212 Grace Cir</t>
        </is>
      </c>
      <c r="F19" s="205" t="inlineStr">
        <is>
          <t>Ennis</t>
        </is>
      </c>
      <c r="G19" s="205" t="inlineStr">
        <is>
          <t>TX</t>
        </is>
      </c>
      <c r="H19" s="205" t="inlineStr">
        <is>
          <t>75119</t>
        </is>
      </c>
      <c r="I19" s="205" t="inlineStr">
        <is>
          <t>1.0 mi</t>
        </is>
      </c>
      <c r="J19" s="206" t="inlineStr">
        <is>
          <t>N/A</t>
        </is>
      </c>
      <c r="K19" s="206" t="inlineStr">
        <is>
          <t>N/A</t>
        </is>
      </c>
      <c r="L19" s="206" t="inlineStr">
        <is>
          <t>N/A</t>
        </is>
      </c>
      <c r="M19" s="370" t="n">
        <v>1430</v>
      </c>
      <c r="N19" s="206" t="inlineStr">
        <is>
          <t>N/A</t>
        </is>
      </c>
      <c r="O19" s="206" t="inlineStr">
        <is>
          <t>N/A</t>
        </is>
      </c>
      <c r="P19" s="206" t="inlineStr">
        <is>
          <t>N/A</t>
        </is>
      </c>
      <c r="Q19" s="219" t="n">
        <v>1645</v>
      </c>
      <c r="R19" s="205" t="inlineStr">
        <is>
          <t>N/A</t>
        </is>
      </c>
      <c r="S19" s="205" t="n">
        <v>2005</v>
      </c>
      <c r="T19" s="205" t="inlineStr">
        <is>
          <t>N/A</t>
        </is>
      </c>
      <c r="U19" s="201" t="inlineStr">
        <is>
          <t>N/A</t>
        </is>
      </c>
      <c r="V19" s="201" t="inlineStr">
        <is>
          <t>Varies</t>
        </is>
      </c>
      <c r="W19" s="201" t="inlineStr">
        <is>
          <t>Varies</t>
        </is>
      </c>
      <c r="X19" s="201" t="inlineStr">
        <is>
          <t>Varies</t>
        </is>
      </c>
      <c r="Y19" s="201" t="inlineStr">
        <is>
          <t>Varies</t>
        </is>
      </c>
      <c r="Z19" s="268" t="inlineStr">
        <is>
          <t>HIGH</t>
        </is>
      </c>
      <c r="AA19" s="213" t="inlineStr">
        <is>
          <t>2BD $1,430. 3BD $1,645 used as 4BD proxy — no 4BD units in Ennis market.</t>
        </is>
      </c>
      <c r="AB19" s="214" t="inlineStr">
        <is>
          <t>Apartments.com (Aug 4, 2026)</t>
        </is>
      </c>
    </row>
    <row r="20" ht="26.25" customFormat="1" customHeight="1" s="273">
      <c r="A20" s="201" t="inlineStr">
        <is>
          <t>2</t>
        </is>
      </c>
      <c r="B20" s="202" t="inlineStr">
        <is>
          <t>MARKET RATE</t>
        </is>
      </c>
      <c r="C20" s="215" t="inlineStr">
        <is>
          <t>Spyglass of Ennis</t>
        </is>
      </c>
      <c r="D20" s="371" t="n"/>
      <c r="E20" s="205" t="inlineStr">
        <is>
          <t>1803 W Ennis Ave</t>
        </is>
      </c>
      <c r="F20" s="205" t="inlineStr">
        <is>
          <t>Ennis</t>
        </is>
      </c>
      <c r="G20" s="205" t="inlineStr">
        <is>
          <t>TX</t>
        </is>
      </c>
      <c r="H20" s="205" t="inlineStr">
        <is>
          <t>75119</t>
        </is>
      </c>
      <c r="I20" s="205" t="inlineStr">
        <is>
          <t>1.5 mi</t>
        </is>
      </c>
      <c r="J20" s="206" t="inlineStr">
        <is>
          <t>N/A</t>
        </is>
      </c>
      <c r="K20" s="206" t="inlineStr">
        <is>
          <t>N/A</t>
        </is>
      </c>
      <c r="L20" s="206" t="inlineStr">
        <is>
          <t>N/A</t>
        </is>
      </c>
      <c r="M20" s="370" t="n">
        <v>1644</v>
      </c>
      <c r="N20" s="206" t="inlineStr">
        <is>
          <t>N/A</t>
        </is>
      </c>
      <c r="O20" s="206" t="inlineStr">
        <is>
          <t>N/A</t>
        </is>
      </c>
      <c r="P20" s="206" t="inlineStr">
        <is>
          <t>N/A</t>
        </is>
      </c>
      <c r="Q20" s="219" t="inlineStr">
        <is>
          <t>Phone Verify</t>
        </is>
      </c>
      <c r="R20" s="205" t="inlineStr">
        <is>
          <t>N/A</t>
        </is>
      </c>
      <c r="S20" s="205" t="n">
        <v>2010</v>
      </c>
      <c r="T20" s="205" t="inlineStr">
        <is>
          <t>N/A</t>
        </is>
      </c>
      <c r="U20" s="201" t="inlineStr">
        <is>
          <t>N/A</t>
        </is>
      </c>
      <c r="V20" s="201" t="inlineStr">
        <is>
          <t>Varies</t>
        </is>
      </c>
      <c r="W20" s="201" t="inlineStr">
        <is>
          <t>Varies</t>
        </is>
      </c>
      <c r="X20" s="201" t="inlineStr">
        <is>
          <t>Varies</t>
        </is>
      </c>
      <c r="Y20" s="201" t="inlineStr">
        <is>
          <t>Varies</t>
        </is>
      </c>
      <c r="Z20" s="268" t="inlineStr">
        <is>
          <t>HIGH</t>
        </is>
      </c>
      <c r="AA20" s="213" t="inlineStr">
        <is>
          <t>PHONE VERIFY 4BD — no 4BD units; 2BD used as proxy.</t>
        </is>
      </c>
      <c r="AB20" s="214" t="inlineStr">
        <is>
          <t>Apartments.com (Aug 4, 2026)</t>
        </is>
      </c>
    </row>
    <row r="21" ht="26.25" customFormat="1" customHeight="1" s="273">
      <c r="A21" s="201" t="inlineStr">
        <is>
          <t>3</t>
        </is>
      </c>
      <c r="B21" s="202" t="inlineStr">
        <is>
          <t>MARKET RATE</t>
        </is>
      </c>
      <c r="C21" s="215" t="inlineStr">
        <is>
          <t>The Willows</t>
        </is>
      </c>
      <c r="D21" s="371" t="n"/>
      <c r="E21" s="205" t="inlineStr">
        <is>
          <t>2300 Yorkstown Dr</t>
        </is>
      </c>
      <c r="F21" s="205" t="inlineStr">
        <is>
          <t>Ennis</t>
        </is>
      </c>
      <c r="G21" s="205" t="inlineStr">
        <is>
          <t>TX</t>
        </is>
      </c>
      <c r="H21" s="205" t="inlineStr">
        <is>
          <t>75119</t>
        </is>
      </c>
      <c r="I21" s="205" t="inlineStr">
        <is>
          <t>2.0 mi</t>
        </is>
      </c>
      <c r="J21" s="206" t="inlineStr">
        <is>
          <t>N/A</t>
        </is>
      </c>
      <c r="K21" s="206" t="inlineStr">
        <is>
          <t>N/A</t>
        </is>
      </c>
      <c r="L21" s="206" t="inlineStr">
        <is>
          <t>N/A</t>
        </is>
      </c>
      <c r="M21" s="370" t="n">
        <v>1550</v>
      </c>
      <c r="N21" s="206" t="inlineStr">
        <is>
          <t>N/A</t>
        </is>
      </c>
      <c r="O21" s="206" t="inlineStr">
        <is>
          <t>N/A</t>
        </is>
      </c>
      <c r="P21" s="206" t="inlineStr">
        <is>
          <t>N/A</t>
        </is>
      </c>
      <c r="Q21" s="219" t="inlineStr">
        <is>
          <t>Phone Verify</t>
        </is>
      </c>
      <c r="R21" s="205" t="inlineStr">
        <is>
          <t>N/A</t>
        </is>
      </c>
      <c r="S21" s="205" t="n">
        <v>2008</v>
      </c>
      <c r="T21" s="205" t="inlineStr">
        <is>
          <t>N/A</t>
        </is>
      </c>
      <c r="U21" s="201" t="inlineStr">
        <is>
          <t>N/A</t>
        </is>
      </c>
      <c r="V21" s="201" t="inlineStr">
        <is>
          <t>Varies</t>
        </is>
      </c>
      <c r="W21" s="201" t="inlineStr">
        <is>
          <t>Varies</t>
        </is>
      </c>
      <c r="X21" s="201" t="inlineStr">
        <is>
          <t>Varies</t>
        </is>
      </c>
      <c r="Y21" s="201" t="inlineStr">
        <is>
          <t>Varies</t>
        </is>
      </c>
      <c r="Z21" s="293" t="inlineStr">
        <is>
          <t>MODERATE-HIGH</t>
        </is>
      </c>
      <c r="AA21" s="213" t="inlineStr">
        <is>
          <t>PHONE VERIFY 4BD — no 4BD units; 2BD used as proxy.</t>
        </is>
      </c>
      <c r="AB21" s="214" t="inlineStr">
        <is>
          <t>Apartments.com (Aug 4, 2026)</t>
        </is>
      </c>
    </row>
    <row r="22" ht="26.25" customFormat="1" customHeight="1" s="273">
      <c r="A22" s="201" t="inlineStr">
        <is>
          <t>4</t>
        </is>
      </c>
      <c r="B22" s="202" t="inlineStr">
        <is>
          <t>MARKET RATE</t>
        </is>
      </c>
      <c r="C22" s="215" t="inlineStr">
        <is>
          <t>Ennis Place Apartments</t>
        </is>
      </c>
      <c r="D22" s="371" t="n"/>
      <c r="E22" s="205" t="inlineStr">
        <is>
          <t>2000 N Kaufman St</t>
        </is>
      </c>
      <c r="F22" s="205" t="inlineStr">
        <is>
          <t>Ennis</t>
        </is>
      </c>
      <c r="G22" s="205" t="inlineStr">
        <is>
          <t>TX</t>
        </is>
      </c>
      <c r="H22" s="205" t="inlineStr">
        <is>
          <t>75119</t>
        </is>
      </c>
      <c r="I22" s="205" t="inlineStr">
        <is>
          <t>1.2 mi</t>
        </is>
      </c>
      <c r="J22" s="206" t="inlineStr">
        <is>
          <t>N/A</t>
        </is>
      </c>
      <c r="K22" s="206" t="inlineStr">
        <is>
          <t>N/A</t>
        </is>
      </c>
      <c r="L22" s="206" t="inlineStr">
        <is>
          <t>N/A</t>
        </is>
      </c>
      <c r="M22" s="370" t="n">
        <v>1099</v>
      </c>
      <c r="N22" s="206" t="inlineStr">
        <is>
          <t>N/A</t>
        </is>
      </c>
      <c r="O22" s="206" t="inlineStr">
        <is>
          <t>N/A</t>
        </is>
      </c>
      <c r="P22" s="206" t="inlineStr">
        <is>
          <t>N/A</t>
        </is>
      </c>
      <c r="Q22" s="219" t="n">
        <v>1300</v>
      </c>
      <c r="R22" s="205" t="inlineStr">
        <is>
          <t>N/A</t>
        </is>
      </c>
      <c r="S22" s="205" t="n">
        <v>2012</v>
      </c>
      <c r="T22" s="205" t="inlineStr">
        <is>
          <t>N/A</t>
        </is>
      </c>
      <c r="U22" s="201" t="inlineStr">
        <is>
          <t>N/A</t>
        </is>
      </c>
      <c r="V22" s="201" t="inlineStr">
        <is>
          <t>Varies</t>
        </is>
      </c>
      <c r="W22" s="201" t="inlineStr">
        <is>
          <t>Varies</t>
        </is>
      </c>
      <c r="X22" s="201" t="inlineStr">
        <is>
          <t>Varies</t>
        </is>
      </c>
      <c r="Y22" s="201" t="inlineStr">
        <is>
          <t>Varies</t>
        </is>
      </c>
      <c r="Z22" s="293" t="inlineStr">
        <is>
          <t>MODERATE-HIGH</t>
        </is>
      </c>
      <c r="AA22" s="213" t="inlineStr">
        <is>
          <t>2BD $1,099+. 3BD $1,300 used as 4BD proxy. Replaced LIHTC Silverton Village.</t>
        </is>
      </c>
      <c r="AB22" s="214" t="inlineStr">
        <is>
          <t>Apartments.com (Aug 4, 2026)</t>
        </is>
      </c>
    </row>
    <row r="23" ht="26.25" customFormat="1" customHeight="1" s="273">
      <c r="A23" s="201" t="inlineStr">
        <is>
          <t>5</t>
        </is>
      </c>
      <c r="B23" s="202" t="inlineStr">
        <is>
          <t>MARKET RATE</t>
        </is>
      </c>
      <c r="C23" s="215" t="inlineStr">
        <is>
          <t>Townhouse Apartments</t>
        </is>
      </c>
      <c r="D23" s="371" t="n"/>
      <c r="E23" s="205" t="inlineStr">
        <is>
          <t>1001 Biloxi Dr</t>
        </is>
      </c>
      <c r="F23" s="205" t="inlineStr">
        <is>
          <t>Ennis</t>
        </is>
      </c>
      <c r="G23" s="205" t="inlineStr">
        <is>
          <t>TX</t>
        </is>
      </c>
      <c r="H23" s="205" t="inlineStr">
        <is>
          <t>75119</t>
        </is>
      </c>
      <c r="I23" s="205" t="inlineStr">
        <is>
          <t>0.8 mi</t>
        </is>
      </c>
      <c r="J23" s="206" t="inlineStr">
        <is>
          <t>N/A</t>
        </is>
      </c>
      <c r="K23" s="206" t="inlineStr">
        <is>
          <t>N/A</t>
        </is>
      </c>
      <c r="L23" s="206" t="inlineStr">
        <is>
          <t>N/A</t>
        </is>
      </c>
      <c r="M23" s="370" t="n">
        <v>1450</v>
      </c>
      <c r="N23" s="206" t="inlineStr">
        <is>
          <t>N/A</t>
        </is>
      </c>
      <c r="O23" s="206" t="inlineStr">
        <is>
          <t>N/A</t>
        </is>
      </c>
      <c r="P23" s="206" t="inlineStr">
        <is>
          <t>N/A</t>
        </is>
      </c>
      <c r="Q23" s="219" t="inlineStr">
        <is>
          <t>Phone Verify</t>
        </is>
      </c>
      <c r="R23" s="205" t="inlineStr">
        <is>
          <t>N/A</t>
        </is>
      </c>
      <c r="S23" s="205" t="n">
        <v>2000</v>
      </c>
      <c r="T23" s="205" t="inlineStr">
        <is>
          <t>N/A</t>
        </is>
      </c>
      <c r="U23" s="201" t="inlineStr">
        <is>
          <t>N/A</t>
        </is>
      </c>
      <c r="V23" s="201" t="inlineStr">
        <is>
          <t>N/A</t>
        </is>
      </c>
      <c r="W23" s="201" t="inlineStr">
        <is>
          <t>N/A</t>
        </is>
      </c>
      <c r="X23" s="201" t="inlineStr">
        <is>
          <t>N/A</t>
        </is>
      </c>
      <c r="Y23" s="201" t="inlineStr">
        <is>
          <t>N/A</t>
        </is>
      </c>
      <c r="Z23" s="268" t="inlineStr">
        <is>
          <t>HIGH</t>
        </is>
      </c>
      <c r="AA23" s="213" t="inlineStr">
        <is>
          <t>PHONE VERIFY 4BD — no 4BD units; 2BD used as proxy.</t>
        </is>
      </c>
      <c r="AB23" s="214" t="inlineStr">
        <is>
          <t>Apartments.com (Aug 4, 2026)</t>
        </is>
      </c>
    </row>
    <row r="24" ht="26.25" customFormat="1" customHeight="1" s="273">
      <c r="A24" s="201" t="inlineStr">
        <is>
          <t>6</t>
        </is>
      </c>
      <c r="B24" s="202" t="inlineStr">
        <is>
          <t>MARKET RATE</t>
        </is>
      </c>
      <c r="C24" s="215" t="inlineStr">
        <is>
          <t>Emerald Garden Apartments</t>
        </is>
      </c>
      <c r="D24" s="372" t="n"/>
      <c r="E24" s="205" t="inlineStr">
        <is>
          <t>901 N I-45</t>
        </is>
      </c>
      <c r="F24" s="205" t="inlineStr">
        <is>
          <t>Ennis</t>
        </is>
      </c>
      <c r="G24" s="205" t="inlineStr">
        <is>
          <t>TX</t>
        </is>
      </c>
      <c r="H24" s="205" t="inlineStr">
        <is>
          <t>75119</t>
        </is>
      </c>
      <c r="I24" s="205" t="inlineStr">
        <is>
          <t>1.8 mi</t>
        </is>
      </c>
      <c r="J24" s="206" t="inlineStr">
        <is>
          <t>N/A</t>
        </is>
      </c>
      <c r="K24" s="206" t="inlineStr">
        <is>
          <t>N/A</t>
        </is>
      </c>
      <c r="L24" s="206" t="inlineStr">
        <is>
          <t>N/A</t>
        </is>
      </c>
      <c r="M24" s="370" t="n">
        <v>1150</v>
      </c>
      <c r="N24" s="206" t="inlineStr">
        <is>
          <t>N/A</t>
        </is>
      </c>
      <c r="O24" s="206" t="inlineStr">
        <is>
          <t>N/A</t>
        </is>
      </c>
      <c r="P24" s="206" t="inlineStr">
        <is>
          <t>N/A</t>
        </is>
      </c>
      <c r="Q24" s="219" t="inlineStr">
        <is>
          <t>Phone Verify</t>
        </is>
      </c>
      <c r="R24" s="205" t="inlineStr">
        <is>
          <t>N/A</t>
        </is>
      </c>
      <c r="S24" s="205" t="n">
        <v>2003</v>
      </c>
      <c r="T24" s="205" t="inlineStr">
        <is>
          <t>N/A</t>
        </is>
      </c>
      <c r="U24" s="201" t="inlineStr">
        <is>
          <t>N/A</t>
        </is>
      </c>
      <c r="V24" s="201" t="inlineStr">
        <is>
          <t>N/A</t>
        </is>
      </c>
      <c r="W24" s="201" t="inlineStr">
        <is>
          <t>N/A</t>
        </is>
      </c>
      <c r="X24" s="201" t="inlineStr">
        <is>
          <t>N/A</t>
        </is>
      </c>
      <c r="Y24" s="201" t="inlineStr">
        <is>
          <t>N/A</t>
        </is>
      </c>
      <c r="Z24" s="268" t="inlineStr">
        <is>
          <t>HIGH</t>
        </is>
      </c>
      <c r="AA24" s="213" t="inlineStr">
        <is>
          <t>PHONE VERIFY 4BD — no 4BD units; 2BD used as proxy.</t>
        </is>
      </c>
      <c r="AB24" s="214" t="inlineStr">
        <is>
          <t>Apartments.com (Aug 4, 2026)</t>
        </is>
      </c>
    </row>
    <row r="25" ht="28.5" customFormat="1" customHeight="1" s="273">
      <c r="A25" s="220" t="inlineStr">
        <is>
          <t>—</t>
        </is>
      </c>
      <c r="B25" s="257" t="inlineStr">
        <is>
          <t>BENCHMARK</t>
        </is>
      </c>
      <c r="C25" s="222" t="inlineStr">
        <is>
          <t>FY2026 FMR — Ellis County, TX (Dallas-Fort Worth MSA)</t>
        </is>
      </c>
      <c r="D25" s="365" t="n"/>
      <c r="E25" s="220" t="inlineStr">
        <is>
          <t>N/A</t>
        </is>
      </c>
      <c r="F25" s="220" t="inlineStr">
        <is>
          <t>Ennis</t>
        </is>
      </c>
      <c r="G25" s="220" t="inlineStr">
        <is>
          <t>TX</t>
        </is>
      </c>
      <c r="H25" s="220" t="inlineStr">
        <is>
          <t>N/A</t>
        </is>
      </c>
      <c r="I25" s="220" t="inlineStr">
        <is>
          <t>N/A</t>
        </is>
      </c>
      <c r="J25" s="220" t="inlineStr">
        <is>
          <t>$1,931</t>
        </is>
      </c>
      <c r="K25" s="220" t="inlineStr">
        <is>
          <t>$1,931</t>
        </is>
      </c>
      <c r="L25" s="220" t="inlineStr">
        <is>
          <t>$1,931</t>
        </is>
      </c>
      <c r="M25" s="220" t="inlineStr">
        <is>
          <t>N/A</t>
        </is>
      </c>
      <c r="N25" s="220" t="inlineStr">
        <is>
          <t>$2,810</t>
        </is>
      </c>
      <c r="O25" s="220" t="inlineStr">
        <is>
          <t>$2,810</t>
        </is>
      </c>
      <c r="P25" s="220" t="inlineStr">
        <is>
          <t>$2,810</t>
        </is>
      </c>
      <c r="Q25" s="220" t="inlineStr">
        <is>
          <t>N/A</t>
        </is>
      </c>
      <c r="R25" s="220" t="inlineStr">
        <is>
          <t>N/A</t>
        </is>
      </c>
      <c r="S25" s="220" t="inlineStr">
        <is>
          <t>N/A</t>
        </is>
      </c>
      <c r="T25" s="220" t="inlineStr">
        <is>
          <t>N/A</t>
        </is>
      </c>
      <c r="U25" s="220" t="inlineStr">
        <is>
          <t>N/A</t>
        </is>
      </c>
      <c r="V25" s="220" t="inlineStr">
        <is>
          <t>N/A</t>
        </is>
      </c>
      <c r="W25" s="220" t="inlineStr">
        <is>
          <t>N/A</t>
        </is>
      </c>
      <c r="X25" s="220" t="inlineStr">
        <is>
          <t>N/A</t>
        </is>
      </c>
      <c r="Y25" s="220" t="inlineStr">
        <is>
          <t>N/A</t>
        </is>
      </c>
      <c r="Z25" s="202" t="inlineStr">
        <is>
          <t>BENCHMARK</t>
        </is>
      </c>
      <c r="AA25" s="224" t="inlineStr">
        <is>
          <t>HUD FMR for Ellis County, TX (Dallas-Fort Worth MSA), FY2026.</t>
        </is>
      </c>
      <c r="AB25" s="225" t="inlineStr">
        <is>
          <t>HUD FMR Database (huduser.gov)</t>
        </is>
      </c>
    </row>
    <row r="26" ht="34.5" customFormat="1" customHeight="1" s="273">
      <c r="A26" s="226" t="inlineStr">
        <is>
          <t>—</t>
        </is>
      </c>
      <c r="B26" s="257" t="inlineStr">
        <is>
          <t>BENCHMARK</t>
        </is>
      </c>
      <c r="C26" s="227" t="inlineStr">
        <is>
          <t>Metro Market Avg — Ennis, TX (Aug 2026)</t>
        </is>
      </c>
      <c r="D26" s="365" t="n"/>
      <c r="E26" s="226" t="inlineStr">
        <is>
          <t>N/A</t>
        </is>
      </c>
      <c r="F26" s="226" t="inlineStr">
        <is>
          <t>Ennis</t>
        </is>
      </c>
      <c r="G26" s="226" t="inlineStr">
        <is>
          <t>TX</t>
        </is>
      </c>
      <c r="H26" s="226" t="inlineStr">
        <is>
          <t>N/A</t>
        </is>
      </c>
      <c r="I26" s="226" t="inlineStr">
        <is>
          <t>N/A</t>
        </is>
      </c>
      <c r="J26" s="226" t="n">
        <v>1457</v>
      </c>
      <c r="K26" s="226" t="n">
        <v>1457</v>
      </c>
      <c r="L26" s="226" t="n">
        <v>1457</v>
      </c>
      <c r="M26" s="229" t="inlineStr">
        <is>
          <t>$1,387</t>
        </is>
      </c>
      <c r="N26" s="226" t="inlineStr">
        <is>
          <t>N/A</t>
        </is>
      </c>
      <c r="O26" s="226" t="inlineStr">
        <is>
          <t>N/A</t>
        </is>
      </c>
      <c r="P26" s="226" t="inlineStr">
        <is>
          <t>N/A</t>
        </is>
      </c>
      <c r="Q26" s="229" t="inlineStr">
        <is>
          <t>$1,472</t>
        </is>
      </c>
      <c r="R26" s="226" t="inlineStr">
        <is>
          <t>N/A</t>
        </is>
      </c>
      <c r="S26" s="226" t="inlineStr">
        <is>
          <t>N/A</t>
        </is>
      </c>
      <c r="T26" s="226" t="inlineStr">
        <is>
          <t>N/A</t>
        </is>
      </c>
      <c r="U26" s="226" t="inlineStr">
        <is>
          <t>N/A</t>
        </is>
      </c>
      <c r="V26" s="226" t="inlineStr">
        <is>
          <t>N/A</t>
        </is>
      </c>
      <c r="W26" s="226" t="inlineStr">
        <is>
          <t>N/A</t>
        </is>
      </c>
      <c r="X26" s="226" t="inlineStr">
        <is>
          <t>N/A</t>
        </is>
      </c>
      <c r="Y26" s="226" t="inlineStr">
        <is>
          <t>N/A</t>
        </is>
      </c>
      <c r="Z26" s="202" t="inlineStr">
        <is>
          <t>BENCHMARK</t>
        </is>
      </c>
      <c r="AA26" s="230" t="inlineStr">
        <is>
          <t>Live Market Avg from verified comps only, Aug 4, 2026. 1BD/2BD avg $1,387 / 2BD/3BD/4BD avg $1,472.</t>
        </is>
      </c>
      <c r="AB26" s="231" t="inlineStr">
        <is>
          <t>Apartments.com live data, Aug 4, 2026</t>
        </is>
      </c>
    </row>
    <row r="28" ht="14.25" customFormat="1" customHeight="1" s="273">
      <c r="A28" s="232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30" ht="18" customFormat="1" customHeight="1" s="273">
      <c r="A30" s="233" t="inlineStr">
        <is>
          <t>CURRENT RENT vs. MARKET AVERAGE</t>
        </is>
      </c>
      <c r="I30" s="273" t="n"/>
      <c r="J30" s="273" t="n"/>
      <c r="K30" s="273" t="n"/>
      <c r="L30" s="273" t="n"/>
      <c r="M30" s="273" t="n"/>
      <c r="N30" s="273" t="n"/>
      <c r="O30" s="273" t="n"/>
      <c r="P30" s="273" t="n"/>
      <c r="Q30" s="273" t="n"/>
      <c r="R30" s="273" t="n"/>
      <c r="S30" s="273" t="n"/>
      <c r="T30" s="273" t="n"/>
      <c r="U30" s="273" t="n"/>
      <c r="V30" s="273" t="n"/>
      <c r="W30" s="273" t="n"/>
      <c r="X30" s="273" t="n"/>
      <c r="Y30" s="273" t="n"/>
      <c r="Z30" s="273" t="n"/>
      <c r="AA30" s="273" t="n"/>
      <c r="AB30" s="273" t="n"/>
    </row>
    <row r="31" ht="15.75" customFormat="1" customHeight="1" s="273">
      <c r="A31" s="234" t="inlineStr">
        <is>
          <t>Market Average = Avg of Actual Advertised Rents from 6 Market-Rate Comps (Apartments.com)</t>
        </is>
      </c>
      <c r="I31" s="273" t="n"/>
      <c r="J31" s="273" t="n"/>
      <c r="K31" s="273" t="n"/>
      <c r="L31" s="273" t="n"/>
      <c r="M31" s="273" t="n"/>
      <c r="N31" s="273" t="n"/>
      <c r="O31" s="273" t="n"/>
      <c r="P31" s="273" t="n"/>
      <c r="Q31" s="273" t="n"/>
      <c r="R31" s="273" t="n"/>
      <c r="S31" s="273" t="n"/>
      <c r="T31" s="273" t="n"/>
      <c r="U31" s="273" t="n"/>
      <c r="V31" s="273" t="n"/>
      <c r="W31" s="273" t="n"/>
      <c r="X31" s="273" t="n"/>
      <c r="Y31" s="273" t="n"/>
      <c r="Z31" s="273" t="n"/>
      <c r="AA31" s="273" t="n"/>
      <c r="AB31" s="273" t="n"/>
    </row>
    <row r="32" ht="15.75" customFormat="1" customHeight="1" s="273">
      <c r="A32" s="24" t="n"/>
      <c r="B32" s="157" t="inlineStr">
        <is>
          <t>Current Rents</t>
        </is>
      </c>
      <c r="C32" s="157" t="inlineStr">
        <is>
          <t>Market Avg</t>
        </is>
      </c>
      <c r="D32" s="351" t="n"/>
      <c r="E32" s="157" t="inlineStr">
        <is>
          <t>Difference</t>
        </is>
      </c>
      <c r="F32" s="273" t="n"/>
      <c r="G32" s="273" t="n"/>
      <c r="H32" s="273" t="n"/>
      <c r="I32" s="273" t="n"/>
      <c r="J32" s="273" t="n"/>
      <c r="K32" s="273" t="n"/>
      <c r="L32" s="273" t="n"/>
      <c r="M32" s="273" t="n"/>
      <c r="N32" s="273" t="n"/>
      <c r="O32" s="273" t="n"/>
      <c r="P32" s="273" t="n"/>
      <c r="Q32" s="273" t="n"/>
      <c r="R32" s="273" t="n"/>
      <c r="S32" s="273" t="n"/>
      <c r="T32" s="273" t="n"/>
      <c r="U32" s="273" t="n"/>
      <c r="V32" s="273" t="n"/>
      <c r="W32" s="273" t="n"/>
      <c r="X32" s="273" t="n"/>
      <c r="Y32" s="273" t="n"/>
      <c r="Z32" s="273" t="n"/>
      <c r="AA32" s="273" t="n"/>
      <c r="AB32" s="273" t="n"/>
    </row>
    <row r="33" ht="20.25" customFormat="1" customHeight="1" s="273">
      <c r="A33" s="235" t="inlineStr">
        <is>
          <t>2BD</t>
        </is>
      </c>
      <c r="B33" s="391">
        <f>'Current Rents'!E21</f>
        <v/>
      </c>
      <c r="C33" s="393" t="n">
        <v>1387</v>
      </c>
      <c r="D33" s="395" t="n"/>
      <c r="E33" s="376">
        <f>'Current Rents'!F17-1457</f>
        <v/>
      </c>
      <c r="F33" s="161">
        <f>IF(E33&lt;-75,"LOOK INTO INCREASING THE RENT!","")</f>
        <v/>
      </c>
      <c r="G33" s="273" t="n"/>
      <c r="H33" s="273" t="n"/>
      <c r="I33" s="273" t="n"/>
      <c r="J33" s="273" t="n"/>
      <c r="K33" s="273" t="n"/>
      <c r="L33" s="273" t="n"/>
      <c r="M33" s="273" t="n"/>
      <c r="N33" s="273" t="n"/>
      <c r="O33" s="273" t="n"/>
      <c r="P33" s="273" t="n"/>
      <c r="Q33" s="273" t="n"/>
      <c r="R33" s="273" t="n"/>
      <c r="S33" s="273" t="n"/>
      <c r="T33" s="273" t="n"/>
      <c r="U33" s="273" t="n"/>
      <c r="V33" s="273" t="n"/>
      <c r="W33" s="273" t="n"/>
      <c r="X33" s="273" t="n"/>
      <c r="Y33" s="273" t="n"/>
      <c r="Z33" s="273" t="n"/>
      <c r="AA33" s="273" t="n"/>
      <c r="AB33" s="273" t="n"/>
    </row>
    <row r="34" ht="20.25" customFormat="1" customHeight="1" s="273">
      <c r="A34" s="235" t="inlineStr">
        <is>
          <t>4BD</t>
        </is>
      </c>
      <c r="B34" s="391">
        <f>'Current Rents'!G21</f>
        <v/>
      </c>
      <c r="C34" s="393" t="n">
        <v>1472</v>
      </c>
      <c r="D34" s="395" t="n"/>
      <c r="E34" s="379">
        <f>B34-C34</f>
        <v/>
      </c>
      <c r="F34" s="161">
        <f>IF(E34&lt;-75,"LOOK INTO INCREASING THE RENT!","")</f>
        <v/>
      </c>
      <c r="G34" s="273" t="n"/>
      <c r="H34" s="273" t="n"/>
      <c r="I34" s="273" t="n"/>
      <c r="J34" s="273" t="n"/>
      <c r="K34" s="273" t="n"/>
      <c r="L34" s="273" t="n"/>
      <c r="M34" s="273" t="n"/>
      <c r="N34" s="273" t="n"/>
      <c r="O34" s="273" t="n"/>
      <c r="P34" s="273" t="n"/>
      <c r="Q34" s="273" t="n"/>
      <c r="R34" s="273" t="n"/>
      <c r="S34" s="273" t="n"/>
      <c r="T34" s="273" t="n"/>
      <c r="U34" s="273" t="n"/>
      <c r="V34" s="273" t="n"/>
      <c r="W34" s="273" t="n"/>
      <c r="X34" s="273" t="n"/>
      <c r="Y34" s="273" t="n"/>
      <c r="Z34" s="273" t="n"/>
      <c r="AA34" s="273" t="n"/>
      <c r="AB34" s="273" t="n"/>
    </row>
  </sheetData>
  <mergeCells count="18">
    <mergeCell ref="A30:H30"/>
    <mergeCell ref="C32:D32"/>
    <mergeCell ref="C16:D16"/>
    <mergeCell ref="C15:D15"/>
    <mergeCell ref="A11:AB11"/>
    <mergeCell ref="A10:AB10"/>
    <mergeCell ref="C25:D25"/>
    <mergeCell ref="A28:AB28"/>
    <mergeCell ref="Z9:AB9"/>
    <mergeCell ref="C26:D26"/>
    <mergeCell ref="A9:Y9"/>
    <mergeCell ref="C14:D14"/>
    <mergeCell ref="C13:D13"/>
    <mergeCell ref="C18:D18"/>
    <mergeCell ref="C17:D17"/>
    <mergeCell ref="A31:H31"/>
    <mergeCell ref="A12:AB12"/>
    <mergeCell ref="D19:D2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LEXINGTON ARMS  |  WAXAHACHIE, TX 75165</t>
        </is>
      </c>
      <c r="Z3" s="296" t="inlineStr">
        <is>
          <t>38 - Lexington  |  ? Units  |  Section 8 / HUD  |  2BD &amp; 3BD</t>
        </is>
      </c>
    </row>
    <row r="4" ht="18" customFormat="1" customHeight="1" s="273">
      <c r="A4" s="297" t="inlineStr">
        <is>
          <t>418 Lexington Dr, Waxahachie, TX 75165  |  FY2026 FMR: 2BD $1,931 / 4BD $2,810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Lexington Arms (SUBJECT)</t>
        </is>
      </c>
      <c r="E8" s="304" t="inlineStr">
        <is>
          <t>418 Lexington Dr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$4,400</t>
        </is>
      </c>
      <c r="K8" s="305" t="inlineStr">
        <is>
          <t>$5,280</t>
        </is>
      </c>
      <c r="L8" s="305" t="inlineStr">
        <is>
          <t>$1,931</t>
        </is>
      </c>
      <c r="M8" s="396">
        <f>'Current Rents'!E22</f>
        <v/>
      </c>
      <c r="N8" s="305" t="inlineStr">
        <is>
          <t>$5,279</t>
        </is>
      </c>
      <c r="O8" s="305" t="inlineStr">
        <is>
          <t>$6,335</t>
        </is>
      </c>
      <c r="P8" s="305" t="inlineStr">
        <is>
          <t>$2,810</t>
        </is>
      </c>
      <c r="Q8" s="396">
        <f>'Current Rents'!G22</f>
        <v/>
      </c>
      <c r="R8" s="305" t="inlineStr">
        <is>
          <t>61</t>
        </is>
      </c>
      <c r="S8" s="305" t="inlineStr">
        <is>
          <t>1997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61 units | LIHTC property. Year built: 1997.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Breckenridge Village</t>
        </is>
      </c>
      <c r="E9" s="311" t="inlineStr">
        <is>
          <t>2001A Floyd St</t>
        </is>
      </c>
      <c r="F9" s="308" t="inlineStr">
        <is>
          <t>Ennis</t>
        </is>
      </c>
      <c r="G9" s="308" t="inlineStr">
        <is>
          <t>TX</t>
        </is>
      </c>
      <c r="H9" s="308" t="inlineStr">
        <is>
          <t>75119</t>
        </is>
      </c>
      <c r="I9" s="308" t="inlineStr">
        <is>
          <t>12.8 mi</t>
        </is>
      </c>
      <c r="J9" s="308" t="inlineStr">
        <is>
          <t>$4,400</t>
        </is>
      </c>
      <c r="K9" s="308" t="inlineStr">
        <is>
          <t>$5,280</t>
        </is>
      </c>
      <c r="L9" s="308" t="inlineStr">
        <is>
          <t>$1,931</t>
        </is>
      </c>
      <c r="M9" s="308" t="inlineStr">
        <is>
          <t>Not Listed</t>
        </is>
      </c>
      <c r="N9" s="308" t="inlineStr">
        <is>
          <t>$5,279</t>
        </is>
      </c>
      <c r="O9" s="308" t="inlineStr">
        <is>
          <t>$6,335</t>
        </is>
      </c>
      <c r="P9" s="308" t="inlineStr">
        <is>
          <t>$2,810</t>
        </is>
      </c>
      <c r="Q9" s="308" t="inlineStr">
        <is>
          <t>Not Listed</t>
        </is>
      </c>
      <c r="R9" s="308" t="inlineStr">
        <is>
          <t>66</t>
        </is>
      </c>
      <c r="S9" s="308" t="inlineStr">
        <is>
          <t>1997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(0 yr diff), 66 units, 12.8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Sherwood Arms Apts</t>
        </is>
      </c>
      <c r="E10" s="311" t="inlineStr">
        <is>
          <t>213 N Val Verde Cir</t>
        </is>
      </c>
      <c r="F10" s="308" t="inlineStr">
        <is>
          <t>Keene</t>
        </is>
      </c>
      <c r="G10" s="308" t="inlineStr">
        <is>
          <t>TX</t>
        </is>
      </c>
      <c r="H10" s="308" t="inlineStr">
        <is>
          <t>76059</t>
        </is>
      </c>
      <c r="I10" s="308" t="inlineStr">
        <is>
          <t>28.1 mi</t>
        </is>
      </c>
      <c r="J10" s="308" t="inlineStr">
        <is>
          <t>$4,400</t>
        </is>
      </c>
      <c r="K10" s="308" t="inlineStr">
        <is>
          <t>$5,280</t>
        </is>
      </c>
      <c r="L10" s="308" t="inlineStr">
        <is>
          <t>$1,931</t>
        </is>
      </c>
      <c r="M10" s="308" t="inlineStr">
        <is>
          <t>Not Listed</t>
        </is>
      </c>
      <c r="N10" s="308" t="inlineStr">
        <is>
          <t>$5,279</t>
        </is>
      </c>
      <c r="O10" s="308" t="inlineStr">
        <is>
          <t>$6,335</t>
        </is>
      </c>
      <c r="P10" s="308" t="inlineStr">
        <is>
          <t>$2,810</t>
        </is>
      </c>
      <c r="Q10" s="308" t="inlineStr">
        <is>
          <t>Not Listed</t>
        </is>
      </c>
      <c r="R10" s="308" t="inlineStr">
        <is>
          <t>56</t>
        </is>
      </c>
      <c r="S10" s="308" t="inlineStr">
        <is>
          <t>1997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4" t="inlineStr">
        <is>
          <t>MODERATE-HIGH</t>
        </is>
      </c>
      <c r="AA10" s="313" t="inlineStr">
        <is>
          <t>Affordable Comp #2: LIHTC property, 1997 vintage (0 yr diff), 56 units, 28.1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Creekside Terrace Apts</t>
        </is>
      </c>
      <c r="E11" s="311" t="inlineStr">
        <is>
          <t>1000 E Burnett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14.3 mi</t>
        </is>
      </c>
      <c r="J11" s="308" t="inlineStr">
        <is>
          <t>$4,400</t>
        </is>
      </c>
      <c r="K11" s="308" t="inlineStr">
        <is>
          <t>$5,280</t>
        </is>
      </c>
      <c r="L11" s="308" t="inlineStr">
        <is>
          <t>$1,931</t>
        </is>
      </c>
      <c r="M11" s="308" t="inlineStr">
        <is>
          <t>$1,270</t>
        </is>
      </c>
      <c r="N11" s="308" t="inlineStr">
        <is>
          <t>$5,279</t>
        </is>
      </c>
      <c r="O11" s="308" t="inlineStr">
        <is>
          <t>$6,335</t>
        </is>
      </c>
      <c r="P11" s="308" t="inlineStr">
        <is>
          <t>$2,810</t>
        </is>
      </c>
      <c r="Q11" s="308" t="inlineStr">
        <is>
          <t>$1,650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1998 vintage (1 yr diff), 80 units, 14.3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Hillcrest House</t>
        </is>
      </c>
      <c r="E12" s="311" t="inlineStr">
        <is>
          <t>834 N Marsalis Ave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75203</t>
        </is>
      </c>
      <c r="I12" s="308" t="inlineStr">
        <is>
          <t>25.7 mi</t>
        </is>
      </c>
      <c r="J12" s="308" t="inlineStr">
        <is>
          <t>$4,400</t>
        </is>
      </c>
      <c r="K12" s="308" t="inlineStr">
        <is>
          <t>$5,280</t>
        </is>
      </c>
      <c r="L12" s="308" t="inlineStr">
        <is>
          <t>$1,931</t>
        </is>
      </c>
      <c r="M12" s="308" t="inlineStr">
        <is>
          <t>Not Listed</t>
        </is>
      </c>
      <c r="N12" s="308" t="inlineStr">
        <is>
          <t>$5,279</t>
        </is>
      </c>
      <c r="O12" s="308" t="inlineStr">
        <is>
          <t>$6,335</t>
        </is>
      </c>
      <c r="P12" s="308" t="inlineStr">
        <is>
          <t>$2,810</t>
        </is>
      </c>
      <c r="Q12" s="308" t="inlineStr">
        <is>
          <t>Not Listed</t>
        </is>
      </c>
      <c r="R12" s="308" t="inlineStr">
        <is>
          <t>64</t>
        </is>
      </c>
      <c r="S12" s="308" t="inlineStr">
        <is>
          <t>1996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1996 vintage (1 yr diff), 64 units, 25.7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Bridgepoint</t>
        </is>
      </c>
      <c r="D13" s="318" t="inlineStr">
        <is>
          <t>COMPETITION</t>
        </is>
      </c>
      <c r="E13" s="319" t="inlineStr">
        <is>
          <t>2200 Brown St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1247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22" t="n">
        <v>1430</v>
      </c>
      <c r="R13" s="320" t="inlineStr">
        <is>
          <t>N/A (Market Rate)</t>
        </is>
      </c>
      <c r="S13" s="320" t="n">
        <v>2015</v>
      </c>
      <c r="T13" s="320" t="inlineStr">
        <is>
          <t>N/A (Market Rate)</t>
        </is>
      </c>
      <c r="U13" s="320" t="n">
        <v>1645</v>
      </c>
      <c r="V13" s="320" t="inlineStr">
        <is>
          <t>Apartments.com verified, May 2026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(0 yr diff), N/A units, N/A from subject. Shows market-rate rents vs. affordable housing discount.</t>
        </is>
      </c>
      <c r="AB13" s="319" t="inlineStr">
        <is>
          <t>HUD FY2026 FMR - Ellis County, TX (limited market rate listings in Waxahachie)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Oxford at Crossroads Centre</t>
        </is>
      </c>
      <c r="E14" s="319" t="inlineStr">
        <is>
          <t>411 Alliance Blvd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1525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22" t="n">
        <v>1559</v>
      </c>
      <c r="R14" s="320" t="inlineStr">
        <is>
          <t>N/A (Market Rate)</t>
        </is>
      </c>
      <c r="S14" s="320" t="n">
        <v>2018</v>
      </c>
      <c r="T14" s="320" t="inlineStr">
        <is>
          <t>N/A (Market Rate)</t>
        </is>
      </c>
      <c r="U14" s="320" t="inlineStr">
        <is>
          <t>Phone Verify</t>
        </is>
      </c>
      <c r="V14" s="320" t="inlineStr">
        <is>
          <t>Apartments.com verified, May 2026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(2 yr diff), 66 units, 12.0 mi from subject. Shows market-rate rents vs. affordable housing discount.</t>
        </is>
      </c>
      <c r="AB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Mark on Conquest</t>
        </is>
      </c>
      <c r="E15" s="319" t="inlineStr">
        <is>
          <t>2050 Conquest Blvd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75167</t>
        </is>
      </c>
      <c r="I15" s="320" t="inlineStr">
        <is>
          <t>1.8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22" t="n">
        <v>1599</v>
      </c>
      <c r="R15" s="320" t="inlineStr">
        <is>
          <t>N/A (Market Rate)</t>
        </is>
      </c>
      <c r="S15" s="320" t="n">
        <v>2016</v>
      </c>
      <c r="T15" s="320" t="inlineStr">
        <is>
          <t>N/A (Market Rate)</t>
        </is>
      </c>
      <c r="U15" s="320" t="inlineStr">
        <is>
          <t>Phone Verify</t>
        </is>
      </c>
      <c r="V15" s="320" t="inlineStr">
        <is>
          <t>Apartments.com verified, May 2026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(3 yr diff), 80 units, 15.0 mi from subject. Shows market-rate rents vs. affordable housing discount.</t>
        </is>
      </c>
      <c r="AB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Oxford at Crossroads Centre</t>
        </is>
      </c>
      <c r="E16" s="319" t="inlineStr">
        <is>
          <t>411 Alliance Blvd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2.2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1349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22" t="n">
        <v>1665</v>
      </c>
      <c r="R16" s="320" t="inlineStr">
        <is>
          <t>N/A (Market Rate)</t>
        </is>
      </c>
      <c r="S16" s="320" t="n">
        <v>2012</v>
      </c>
      <c r="T16" s="320" t="inlineStr">
        <is>
          <t>N/A (Market Rate)</t>
        </is>
      </c>
      <c r="U16" s="320" t="n">
        <v>2250</v>
      </c>
      <c r="V16" s="320" t="inlineStr">
        <is>
          <t>Apartments.com verified, May 2026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1998 vintage (1 yr diff), 72 units, 10.0 mi from subject. Shows market-rate rents vs. affordable housing discount.</t>
        </is>
      </c>
      <c r="AB16" s="319" t="inlineStr">
        <is>
          <t>https://www.rentcafe.com/apartments-for-rent/us/tx/red-oak/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$1,931</t>
        </is>
      </c>
      <c r="M17" s="325" t="inlineStr">
        <is>
          <t>$1,931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$2,810</t>
        </is>
      </c>
      <c r="Q17" s="325" t="inlineStr">
        <is>
          <t>$2,810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Waxahachie, TX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/>
      <c r="N18" s="329" t="n"/>
      <c r="O18" s="329" t="n"/>
      <c r="P18" s="329" t="n"/>
      <c r="Q18" s="398" t="n">
        <v>1563</v>
      </c>
      <c r="R18" s="329" t="n"/>
      <c r="S18" s="329" t="n"/>
      <c r="T18" s="329" t="n"/>
      <c r="U18" s="329" t="n">
        <v>1948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Rents'!E22</f>
        <v/>
      </c>
      <c r="C25" s="400" t="n">
        <v>1379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Rents'!G22</f>
        <v/>
      </c>
      <c r="C26" s="400" t="n">
        <v>1563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1948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GRACE TOWNHOMES  |  ENNIS, TX 75119</t>
        </is>
      </c>
      <c r="AD3" s="296" t="inlineStr">
        <is>
          <t>23 - Grace Townhomes  |  ? Units  |  Section 8 / HUD  |  2BD &amp; 3BD</t>
        </is>
      </c>
    </row>
    <row r="4" ht="18" customFormat="1" customHeight="1" s="273">
      <c r="A4" s="297" t="inlineStr">
        <is>
          <t>1212 Grace Circle, Ennis, TX 75119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Grace Townhomes (SUBJECT)</t>
        </is>
      </c>
      <c r="E8" s="304" t="inlineStr">
        <is>
          <t>1212 Grace Circle</t>
        </is>
      </c>
      <c r="F8" s="305" t="inlineStr">
        <is>
          <t>Ennis</t>
        </is>
      </c>
      <c r="G8" s="305" t="inlineStr">
        <is>
          <t>TX</t>
        </is>
      </c>
      <c r="H8" s="305" t="inlineStr">
        <is>
          <t>75119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Rents'!D23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Rents'!E23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Rents'!F23</f>
        <v/>
      </c>
      <c r="V8" s="305" t="inlineStr">
        <is>
          <t>112</t>
        </is>
      </c>
      <c r="W8" s="305" t="inlineStr">
        <is>
          <t>2001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Yes</t>
        </is>
      </c>
      <c r="AD8" s="303" t="inlineStr">
        <is>
          <t>SUBJECT</t>
        </is>
      </c>
      <c r="AE8" s="307" t="inlineStr">
        <is>
          <t>112 units | LIHTC property. Year built: 2001.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Villas Of Hickory Estates</t>
        </is>
      </c>
      <c r="E9" s="311" t="inlineStr">
        <is>
          <t>3211 Hickory Tree Rd</t>
        </is>
      </c>
      <c r="F9" s="308" t="inlineStr">
        <is>
          <t>Balch Springs</t>
        </is>
      </c>
      <c r="G9" s="308" t="inlineStr">
        <is>
          <t>TX</t>
        </is>
      </c>
      <c r="H9" s="308" t="inlineStr">
        <is>
          <t>75180</t>
        </is>
      </c>
      <c r="I9" s="308" t="inlineStr">
        <is>
          <t>27.4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128</t>
        </is>
      </c>
      <c r="W9" s="308" t="inlineStr">
        <is>
          <t>2001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2001 vintage (0 yr diff), 128 units, 27.4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Ryans Crossing (Pemberton Place)</t>
        </is>
      </c>
      <c r="E10" s="311" t="inlineStr">
        <is>
          <t>1509 Mlk Jr Blvd</t>
        </is>
      </c>
      <c r="F10" s="308" t="inlineStr">
        <is>
          <t>Marshall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$867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$1,101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$1,221</t>
        </is>
      </c>
      <c r="V10" s="308" t="inlineStr">
        <is>
          <t>112</t>
        </is>
      </c>
      <c r="W10" s="308" t="inlineStr">
        <is>
          <t>2002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41" t="inlineStr">
        <is>
          <t>MODERATE</t>
        </is>
      </c>
      <c r="AE10" s="313" t="inlineStr">
        <is>
          <t>Affordable Comp #2: LIHTC property, 2002 vintage (1 yr diff), 112 units, N/A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May Road Apts</t>
        </is>
      </c>
      <c r="E11" s="311" t="inlineStr">
        <is>
          <t>1488 May Cir</t>
        </is>
      </c>
      <c r="F11" s="308" t="inlineStr">
        <is>
          <t>Seagoville</t>
        </is>
      </c>
      <c r="G11" s="308" t="inlineStr">
        <is>
          <t>TX</t>
        </is>
      </c>
      <c r="H11" s="308" t="n"/>
      <c r="I11" s="308" t="inlineStr">
        <is>
          <t>N/A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81</t>
        </is>
      </c>
      <c r="W11" s="308" t="inlineStr">
        <is>
          <t>2001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41" t="inlineStr">
        <is>
          <t>MODERATE</t>
        </is>
      </c>
      <c r="AE11" s="313" t="inlineStr">
        <is>
          <t>Affordable Comp #3: LIHTC property, 2001 vintage (0 yr diff), 81 units, N/A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Creekside Terrace Apts</t>
        </is>
      </c>
      <c r="E12" s="311" t="inlineStr">
        <is>
          <t>1000 E Burnett St</t>
        </is>
      </c>
      <c r="F12" s="308" t="inlineStr">
        <is>
          <t>Ennis</t>
        </is>
      </c>
      <c r="G12" s="308" t="inlineStr">
        <is>
          <t>TX</t>
        </is>
      </c>
      <c r="H12" s="308" t="inlineStr">
        <is>
          <t>75119</t>
        </is>
      </c>
      <c r="I12" s="308" t="inlineStr">
        <is>
          <t>0.7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$1,150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$1,270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$1,450</t>
        </is>
      </c>
      <c r="V12" s="308" t="inlineStr">
        <is>
          <t>80</t>
        </is>
      </c>
      <c r="W12" s="308" t="inlineStr">
        <is>
          <t>1998</t>
        </is>
      </c>
      <c r="X12" s="308" t="inlineStr">
        <is>
          <t>3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(3 yr diff), 80 units, 0.7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Ennis Place Apartments</t>
        </is>
      </c>
      <c r="D13" s="318" t="inlineStr">
        <is>
          <t>COMPETITION</t>
        </is>
      </c>
      <c r="E13" s="319" t="inlineStr">
        <is>
          <t>1901 N Dallas St</t>
        </is>
      </c>
      <c r="F13" s="320" t="inlineStr">
        <is>
          <t>Ennis</t>
        </is>
      </c>
      <c r="G13" s="320" t="inlineStr">
        <is>
          <t>TX</t>
        </is>
      </c>
      <c r="H13" s="320" t="inlineStr">
        <is>
          <t>75119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$1,411</t>
        </is>
      </c>
      <c r="M13" s="397" t="n">
        <v>999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1125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1300</v>
      </c>
      <c r="V13" s="320" t="inlineStr">
        <is>
          <t>100</t>
        </is>
      </c>
      <c r="W13" s="320" t="inlineStr">
        <is>
          <t>2003</t>
        </is>
      </c>
      <c r="X13" s="320" t="inlineStr">
        <is>
          <t>2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2003 vintage (2 yr diff), 100 units, 1.8 mi from subject. Shows market-rate rents vs. affordable housing discount.</t>
        </is>
      </c>
      <c r="AF13" s="319" t="inlineStr">
        <is>
          <t>https://www.rentcafe.com/apartments-for-rent/us/tx/ennis/ryans-crossing/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Willows</t>
        </is>
      </c>
      <c r="E14" s="319" t="inlineStr">
        <is>
          <t>2300 Yorkstown Dr</t>
        </is>
      </c>
      <c r="F14" s="320" t="inlineStr">
        <is>
          <t>Ennis</t>
        </is>
      </c>
      <c r="G14" s="320" t="inlineStr">
        <is>
          <t>TX</t>
        </is>
      </c>
      <c r="H14" s="320" t="inlineStr">
        <is>
          <t>75119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88</t>
        </is>
      </c>
      <c r="W14" s="320" t="inlineStr">
        <is>
          <t>2000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(1 yr diff), 88 units, 12.5 mi from subject. Shows market-rate rents vs. affordable housing discount.</t>
        </is>
      </c>
      <c r="AF14" s="319" t="inlineStr">
        <is>
          <t>https://www.rentcafe.com/apartments-for-rent/us/tx/waxahachie/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Spyglass of Ennis</t>
        </is>
      </c>
      <c r="E15" s="319" t="inlineStr">
        <is>
          <t>1803 W Ennis Ave</t>
        </is>
      </c>
      <c r="F15" s="320" t="inlineStr">
        <is>
          <t>Ennis</t>
        </is>
      </c>
      <c r="G15" s="320" t="inlineStr">
        <is>
          <t>TX</t>
        </is>
      </c>
      <c r="H15" s="320" t="inlineStr">
        <is>
          <t>75119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1294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1559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inlineStr">
        <is>
          <t>Phone Verify</t>
        </is>
      </c>
      <c r="V15" s="320" t="inlineStr">
        <is>
          <t>72</t>
        </is>
      </c>
      <c r="W15" s="320" t="inlineStr">
        <is>
          <t>1999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42" t="inlineStr">
        <is>
          <t>MODERATE-HIGH</t>
        </is>
      </c>
      <c r="AE15" s="324" t="inlineStr">
        <is>
          <t>Market Rate Comp #3: No income restrictions, 1999 vintage (2 yr diff), 72 units, 28.0 mi from subject. Shows market-rate rents vs. affordable housing discount.</t>
        </is>
      </c>
      <c r="AF15" s="319" t="inlineStr">
        <is>
          <t>https://www.rentcafe.com/apartments-for-rent/us/tx/corsicana/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Townhouse Apartments</t>
        </is>
      </c>
      <c r="E16" s="319" t="inlineStr">
        <is>
          <t>1001 Biloxi Dr</t>
        </is>
      </c>
      <c r="F16" s="320" t="inlineStr">
        <is>
          <t>Ennis</t>
        </is>
      </c>
      <c r="G16" s="320" t="inlineStr">
        <is>
          <t>TX</t>
        </is>
      </c>
      <c r="H16" s="320" t="inlineStr">
        <is>
          <t>75119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1014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1450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80</t>
        </is>
      </c>
      <c r="W16" s="320" t="inlineStr">
        <is>
          <t>2002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42" t="inlineStr">
        <is>
          <t>MODERATE-HIGH</t>
        </is>
      </c>
      <c r="AE16" s="324" t="inlineStr">
        <is>
          <t>Market Rate Comp #4: No income restrictions, 2002 vintage (1 yr diff), 80 units, 18.0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Ennis, TX</t>
        </is>
      </c>
      <c r="E17" s="325" t="inlineStr">
        <is>
          <t>N/A</t>
        </is>
      </c>
      <c r="F17" s="325" t="inlineStr">
        <is>
          <t>Ennis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Ennis,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Ennis, TX (Apartments.com, Jun 2026)</t>
        </is>
      </c>
      <c r="E18" s="329" t="inlineStr">
        <is>
          <t>N/A</t>
        </is>
      </c>
      <c r="F18" s="329" t="inlineStr">
        <is>
          <t>Ennis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1102</v>
      </c>
      <c r="N18" s="329" t="n"/>
      <c r="O18" s="329" t="n"/>
      <c r="P18" s="329" t="n"/>
      <c r="Q18" s="398" t="n">
        <v>1308</v>
      </c>
      <c r="R18" s="329" t="n"/>
      <c r="S18" s="329" t="n"/>
      <c r="T18" s="329" t="n"/>
      <c r="U18" s="398" t="n">
        <v>1300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Rents'!D23</f>
        <v/>
      </c>
      <c r="C25" s="400" t="n">
        <v>1102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Rents'!E23</f>
        <v/>
      </c>
      <c r="C26" s="400" t="n">
        <v>1308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Rents'!F23</f>
        <v/>
      </c>
      <c r="C27" s="400" t="n">
        <v>1300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GROVE PARK TERRACE  |  WAXAHACHIE, TX 75165</t>
        </is>
      </c>
      <c r="AD3" s="296" t="inlineStr">
        <is>
          <t>46 - Grove Park  |  ? Units  |  Section 8 / HUD  |  2BD &amp; 3BD</t>
        </is>
      </c>
    </row>
    <row r="4" ht="18" customFormat="1" customHeight="1" s="273">
      <c r="A4" s="297" t="inlineStr">
        <is>
          <t>400 Peters St, Waxahachie, TX 75165  |  FY2026 FMR: 1BD $1,411 / 2BD $1,931 / 3BD $2,431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Grove Park Terrace (SUBJECT)</t>
        </is>
      </c>
      <c r="E8" s="304" t="inlineStr">
        <is>
          <t>400 Peters St</t>
        </is>
      </c>
      <c r="F8" s="305" t="inlineStr">
        <is>
          <t>Waxahachie</t>
        </is>
      </c>
      <c r="G8" s="305" t="inlineStr">
        <is>
          <t>TX</t>
        </is>
      </c>
      <c r="H8" s="305" t="inlineStr">
        <is>
          <t>75165</t>
        </is>
      </c>
      <c r="I8" s="305" t="inlineStr">
        <is>
          <t>0.0 mi</t>
        </is>
      </c>
      <c r="J8" s="305" t="inlineStr">
        <is>
          <t>$3,668</t>
        </is>
      </c>
      <c r="K8" s="305" t="inlineStr">
        <is>
          <t>$4,402</t>
        </is>
      </c>
      <c r="L8" s="305" t="inlineStr">
        <is>
          <t>$1,411</t>
        </is>
      </c>
      <c r="M8" s="396">
        <f>'Current Rents'!D24</f>
        <v/>
      </c>
      <c r="N8" s="305" t="inlineStr">
        <is>
          <t>$4,400</t>
        </is>
      </c>
      <c r="O8" s="305" t="inlineStr">
        <is>
          <t>$5,280</t>
        </is>
      </c>
      <c r="P8" s="305" t="inlineStr">
        <is>
          <t>$1,931</t>
        </is>
      </c>
      <c r="Q8" s="396">
        <f>'Current Rents'!E24</f>
        <v/>
      </c>
      <c r="R8" s="305" t="inlineStr">
        <is>
          <t>$4,887</t>
        </is>
      </c>
      <c r="S8" s="305" t="inlineStr">
        <is>
          <t>$5,865</t>
        </is>
      </c>
      <c r="T8" s="305" t="inlineStr">
        <is>
          <t>$2,431</t>
        </is>
      </c>
      <c r="U8" s="396">
        <f>'Current Rents'!F24</f>
        <v/>
      </c>
      <c r="V8" s="305" t="inlineStr">
        <is>
          <t>60</t>
        </is>
      </c>
      <c r="W8" s="305" t="inlineStr">
        <is>
          <t>1998</t>
        </is>
      </c>
      <c r="X8" s="305" t="n">
        <v>0</v>
      </c>
      <c r="Y8" s="305" t="inlineStr">
        <is>
          <t>Partial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60 units | Layered HUD/LIHTC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Lexington Arms</t>
        </is>
      </c>
      <c r="E9" s="311" t="inlineStr">
        <is>
          <t>418 Lexington Dr</t>
        </is>
      </c>
      <c r="F9" s="308" t="inlineStr">
        <is>
          <t>Waxahachie</t>
        </is>
      </c>
      <c r="G9" s="308" t="inlineStr">
        <is>
          <t>TX</t>
        </is>
      </c>
      <c r="H9" s="308" t="inlineStr">
        <is>
          <t>75165</t>
        </is>
      </c>
      <c r="I9" s="308" t="inlineStr">
        <is>
          <t>1.6 mi</t>
        </is>
      </c>
      <c r="J9" s="308" t="inlineStr">
        <is>
          <t>$3,668</t>
        </is>
      </c>
      <c r="K9" s="308" t="inlineStr">
        <is>
          <t>$4,402</t>
        </is>
      </c>
      <c r="L9" s="308" t="inlineStr">
        <is>
          <t>$1,411</t>
        </is>
      </c>
      <c r="M9" s="308" t="inlineStr">
        <is>
          <t>Not Listed</t>
        </is>
      </c>
      <c r="N9" s="308" t="inlineStr">
        <is>
          <t>$4,400</t>
        </is>
      </c>
      <c r="O9" s="308" t="inlineStr">
        <is>
          <t>$5,280</t>
        </is>
      </c>
      <c r="P9" s="308" t="inlineStr">
        <is>
          <t>$1,931</t>
        </is>
      </c>
      <c r="Q9" s="308" t="inlineStr">
        <is>
          <t>Not Listed</t>
        </is>
      </c>
      <c r="R9" s="308" t="inlineStr">
        <is>
          <t>$4,887</t>
        </is>
      </c>
      <c r="S9" s="308" t="inlineStr">
        <is>
          <t>$5,865</t>
        </is>
      </c>
      <c r="T9" s="308" t="inlineStr">
        <is>
          <t>$2,431</t>
        </is>
      </c>
      <c r="U9" s="308" t="inlineStr">
        <is>
          <t>Not Listed</t>
        </is>
      </c>
      <c r="V9" s="308" t="inlineStr">
        <is>
          <t>61</t>
        </is>
      </c>
      <c r="W9" s="308" t="inlineStr">
        <is>
          <t>1997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1997 vintage (1 yr diff), 61 units, 1.6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Creekside Terrace Apts</t>
        </is>
      </c>
      <c r="E10" s="311" t="inlineStr">
        <is>
          <t>1000 E Burnett St</t>
        </is>
      </c>
      <c r="F10" s="308" t="inlineStr">
        <is>
          <t>Ennis</t>
        </is>
      </c>
      <c r="G10" s="308" t="inlineStr">
        <is>
          <t>TX</t>
        </is>
      </c>
      <c r="H10" s="308" t="inlineStr">
        <is>
          <t>75119</t>
        </is>
      </c>
      <c r="I10" s="308" t="inlineStr">
        <is>
          <t>14.3 mi</t>
        </is>
      </c>
      <c r="J10" s="308" t="inlineStr">
        <is>
          <t>$3,668</t>
        </is>
      </c>
      <c r="K10" s="308" t="inlineStr">
        <is>
          <t>$4,402</t>
        </is>
      </c>
      <c r="L10" s="308" t="inlineStr">
        <is>
          <t>$1,411</t>
        </is>
      </c>
      <c r="M10" s="308" t="inlineStr">
        <is>
          <t>$1,150</t>
        </is>
      </c>
      <c r="N10" s="308" t="inlineStr">
        <is>
          <t>$4,400</t>
        </is>
      </c>
      <c r="O10" s="308" t="inlineStr">
        <is>
          <t>$5,280</t>
        </is>
      </c>
      <c r="P10" s="308" t="inlineStr">
        <is>
          <t>$1,931</t>
        </is>
      </c>
      <c r="Q10" s="308" t="inlineStr">
        <is>
          <t>$1,270</t>
        </is>
      </c>
      <c r="R10" s="308" t="inlineStr">
        <is>
          <t>$4,887</t>
        </is>
      </c>
      <c r="S10" s="308" t="inlineStr">
        <is>
          <t>$5,865</t>
        </is>
      </c>
      <c r="T10" s="308" t="inlineStr">
        <is>
          <t>$2,431</t>
        </is>
      </c>
      <c r="U10" s="308" t="inlineStr">
        <is>
          <t>$1,450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80 units, 14.3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Breckenridge Village</t>
        </is>
      </c>
      <c r="E11" s="311" t="inlineStr">
        <is>
          <t>2001A Floyd St</t>
        </is>
      </c>
      <c r="F11" s="308" t="inlineStr">
        <is>
          <t>Ennis</t>
        </is>
      </c>
      <c r="G11" s="308" t="inlineStr">
        <is>
          <t>TX</t>
        </is>
      </c>
      <c r="H11" s="308" t="inlineStr">
        <is>
          <t>75119</t>
        </is>
      </c>
      <c r="I11" s="308" t="inlineStr">
        <is>
          <t>12.8 mi</t>
        </is>
      </c>
      <c r="J11" s="308" t="inlineStr">
        <is>
          <t>$3,668</t>
        </is>
      </c>
      <c r="K11" s="308" t="inlineStr">
        <is>
          <t>$4,402</t>
        </is>
      </c>
      <c r="L11" s="308" t="inlineStr">
        <is>
          <t>$1,411</t>
        </is>
      </c>
      <c r="M11" s="308" t="inlineStr">
        <is>
          <t>Not Listed</t>
        </is>
      </c>
      <c r="N11" s="308" t="inlineStr">
        <is>
          <t>$4,400</t>
        </is>
      </c>
      <c r="O11" s="308" t="inlineStr">
        <is>
          <t>$5,280</t>
        </is>
      </c>
      <c r="P11" s="308" t="inlineStr">
        <is>
          <t>$1,931</t>
        </is>
      </c>
      <c r="Q11" s="308" t="inlineStr">
        <is>
          <t>Not Listed</t>
        </is>
      </c>
      <c r="R11" s="308" t="inlineStr">
        <is>
          <t>$4,887</t>
        </is>
      </c>
      <c r="S11" s="308" t="inlineStr">
        <is>
          <t>$5,865</t>
        </is>
      </c>
      <c r="T11" s="308" t="inlineStr">
        <is>
          <t>$2,431</t>
        </is>
      </c>
      <c r="U11" s="308" t="inlineStr">
        <is>
          <t>Not Listed</t>
        </is>
      </c>
      <c r="V11" s="308" t="inlineStr">
        <is>
          <t>66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66 units, 12.8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Treymore North Apts</t>
        </is>
      </c>
      <c r="E12" s="311" t="inlineStr">
        <is>
          <t>4144 Office Pkwy</t>
        </is>
      </c>
      <c r="F12" s="308" t="inlineStr">
        <is>
          <t>Dallas</t>
        </is>
      </c>
      <c r="G12" s="308" t="inlineStr">
        <is>
          <t>TX</t>
        </is>
      </c>
      <c r="H12" s="308" t="inlineStr">
        <is>
          <t>75204</t>
        </is>
      </c>
      <c r="I12" s="308" t="inlineStr">
        <is>
          <t>29.1 mi</t>
        </is>
      </c>
      <c r="J12" s="308" t="inlineStr">
        <is>
          <t>$3,668</t>
        </is>
      </c>
      <c r="K12" s="308" t="inlineStr">
        <is>
          <t>$4,402</t>
        </is>
      </c>
      <c r="L12" s="308" t="inlineStr">
        <is>
          <t>$1,411</t>
        </is>
      </c>
      <c r="M12" s="308" t="inlineStr">
        <is>
          <t>Not Listed</t>
        </is>
      </c>
      <c r="N12" s="308" t="inlineStr">
        <is>
          <t>$4,400</t>
        </is>
      </c>
      <c r="O12" s="308" t="inlineStr">
        <is>
          <t>$5,280</t>
        </is>
      </c>
      <c r="P12" s="308" t="inlineStr">
        <is>
          <t>$1,931</t>
        </is>
      </c>
      <c r="Q12" s="308" t="inlineStr">
        <is>
          <t>Not Listed</t>
        </is>
      </c>
      <c r="R12" s="308" t="inlineStr">
        <is>
          <t>$4,887</t>
        </is>
      </c>
      <c r="S12" s="308" t="inlineStr">
        <is>
          <t>$5,865</t>
        </is>
      </c>
      <c r="T12" s="308" t="inlineStr">
        <is>
          <t>$2,431</t>
        </is>
      </c>
      <c r="U12" s="308" t="inlineStr">
        <is>
          <t>Not Listed</t>
        </is>
      </c>
      <c r="V12" s="308" t="inlineStr">
        <is>
          <t>70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4" t="inlineStr">
        <is>
          <t>MODERATE-HIGH</t>
        </is>
      </c>
      <c r="AE12" s="313" t="inlineStr">
        <is>
          <t>Affordable Comp #4: LIHTC property, 1998 vintage (0 yr diff), 70 units, 29.1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Place at North Grove</t>
        </is>
      </c>
      <c r="D13" s="318" t="inlineStr">
        <is>
          <t>COMPETITION</t>
        </is>
      </c>
      <c r="E13" s="319" t="inlineStr">
        <is>
          <t>600 E North Grove Blvd</t>
        </is>
      </c>
      <c r="F13" s="320" t="inlineStr">
        <is>
          <t>Waxahachie</t>
        </is>
      </c>
      <c r="G13" s="320" t="inlineStr">
        <is>
          <t>TX</t>
        </is>
      </c>
      <c r="H13" s="320" t="inlineStr">
        <is>
          <t>75165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1276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1799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$2,431</t>
        </is>
      </c>
      <c r="U13" s="397" t="n">
        <v>2800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1998 vintage (0 yr diff), N/A units, N/A from subject. Shows market-rate rents vs. affordable housing discount.</t>
        </is>
      </c>
      <c r="AF13" s="319" t="inlineStr">
        <is>
          <t>HUD FY2026 FMR - Ellis County, TX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The Village at Waxahachie</t>
        </is>
      </c>
      <c r="E14" s="319" t="inlineStr">
        <is>
          <t>131 Village Pky</t>
        </is>
      </c>
      <c r="F14" s="320" t="inlineStr">
        <is>
          <t>Waxahachie</t>
        </is>
      </c>
      <c r="G14" s="320" t="inlineStr">
        <is>
          <t>TX</t>
        </is>
      </c>
      <c r="H14" s="320" t="inlineStr">
        <is>
          <t>75165</t>
        </is>
      </c>
      <c r="I14" s="320" t="inlineStr">
        <is>
          <t>1.3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1447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1880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$2,431</t>
        </is>
      </c>
      <c r="U14" s="397" t="inlineStr">
        <is>
          <t>Phone Verify</t>
        </is>
      </c>
      <c r="V14" s="320" t="inlineStr">
        <is>
          <t>80</t>
        </is>
      </c>
      <c r="W14" s="320" t="inlineStr">
        <is>
          <t>1997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1997 vintage (1 yr diff), 80 units, 12.0 mi from subject. Shows market-rate rents vs. affordable housing discount.</t>
        </is>
      </c>
      <c r="AF14" s="319" t="inlineStr">
        <is>
          <t>https://www.rentcafe.com/apartments-for-rent/us/tx/ennis/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Bridgepoint</t>
        </is>
      </c>
      <c r="E15" s="319" t="inlineStr">
        <is>
          <t>2200 Brown St</t>
        </is>
      </c>
      <c r="F15" s="320" t="inlineStr">
        <is>
          <t>Waxahachie</t>
        </is>
      </c>
      <c r="G15" s="320" t="inlineStr">
        <is>
          <t>TX</t>
        </is>
      </c>
      <c r="H15" s="320" t="inlineStr">
        <is>
          <t>75165</t>
        </is>
      </c>
      <c r="I15" s="320" t="inlineStr">
        <is>
          <t>0.9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1136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1247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$2,431</t>
        </is>
      </c>
      <c r="U15" s="397" t="n">
        <v>1475</v>
      </c>
      <c r="V15" s="320" t="inlineStr">
        <is>
          <t>72</t>
        </is>
      </c>
      <c r="W15" s="320" t="inlineStr">
        <is>
          <t>2000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2000 vintage (2 yr diff), 72 units, 15.0 mi from subject. Shows market-rate rents vs. affordable housing discount.</t>
        </is>
      </c>
      <c r="AF15" s="319" t="inlineStr">
        <is>
          <t>https://www.rentcafe.com/apartments-for-rent/us/tx/midlothian/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Hamilton at Garden Valley</t>
        </is>
      </c>
      <c r="E16" s="319" t="inlineStr">
        <is>
          <t>880 Garden Valley Pky</t>
        </is>
      </c>
      <c r="F16" s="320" t="inlineStr">
        <is>
          <t>Waxahachie</t>
        </is>
      </c>
      <c r="G16" s="320" t="inlineStr">
        <is>
          <t>TX</t>
        </is>
      </c>
      <c r="H16" s="320" t="inlineStr">
        <is>
          <t>75165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1795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2135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$2,431</t>
        </is>
      </c>
      <c r="U16" s="397" t="inlineStr">
        <is>
          <t>Phone Verify</t>
        </is>
      </c>
      <c r="V16" s="320" t="inlineStr">
        <is>
          <t>64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64 units, 12.0 mi from subject. Shows market-rate rents vs. affordable housing discount.</t>
        </is>
      </c>
      <c r="AF16" s="319" t="inlineStr">
        <is>
          <t>https://www.rentcafe.com/apartments-for-rent/us/tx/midlothian/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Waxahachie, TX</t>
        </is>
      </c>
      <c r="E17" s="325" t="inlineStr">
        <is>
          <t>N/A</t>
        </is>
      </c>
      <c r="F17" s="325" t="inlineStr">
        <is>
          <t>Waxahachie</t>
        </is>
      </c>
      <c r="G17" s="325" t="inlineStr">
        <is>
          <t>TX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$1,411</t>
        </is>
      </c>
      <c r="M17" s="325" t="inlineStr">
        <is>
          <t>$1,411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$1,931</t>
        </is>
      </c>
      <c r="Q17" s="325" t="inlineStr">
        <is>
          <t>$1,931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$2,431</t>
        </is>
      </c>
      <c r="U17" s="325" t="inlineStr">
        <is>
          <t>$2,431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Waxahachie, TX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Waxahachie, TX (Apartments.com, Jun 2026)</t>
        </is>
      </c>
      <c r="E18" s="329" t="inlineStr">
        <is>
          <t>N/A</t>
        </is>
      </c>
      <c r="F18" s="329" t="inlineStr">
        <is>
          <t>Waxahachie</t>
        </is>
      </c>
      <c r="G18" s="329" t="inlineStr">
        <is>
          <t>TX</t>
        </is>
      </c>
      <c r="H18" s="329" t="n"/>
      <c r="I18" s="329" t="n"/>
      <c r="J18" s="329" t="n"/>
      <c r="K18" s="329" t="n"/>
      <c r="L18" s="329" t="n"/>
      <c r="M18" s="398" t="n">
        <v>1414</v>
      </c>
      <c r="N18" s="329" t="n"/>
      <c r="O18" s="329" t="n"/>
      <c r="P18" s="329" t="n"/>
      <c r="Q18" s="398" t="n">
        <v>1765</v>
      </c>
      <c r="R18" s="329" t="n"/>
      <c r="S18" s="329" t="n"/>
      <c r="T18" s="329" t="n"/>
      <c r="U18" s="398" t="n">
        <v>2138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Rents'!D24</f>
        <v/>
      </c>
      <c r="C25" s="400" t="n">
        <v>1414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Rents'!E24</f>
        <v/>
      </c>
      <c r="C26" s="400" t="n">
        <v>1765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Rents'!F24</f>
        <v/>
      </c>
      <c r="C27" s="400" t="n">
        <v>2138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LA PROMESA  |  ODESSA, TX 79762</t>
        </is>
      </c>
      <c r="Z3" s="296" t="inlineStr">
        <is>
          <t>60 - La Promesa  |  ? Units  |  Section 8 / HUD  |  2BD &amp; 3BD</t>
        </is>
      </c>
    </row>
    <row r="4" ht="18" customFormat="1" customHeight="1" s="273">
      <c r="A4" s="297" t="inlineStr">
        <is>
          <t>Odessa, Odessa, TX 79762  |  FY2026 FMR: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La Promesa (SUBJECT)</t>
        </is>
      </c>
      <c r="E8" s="304" t="inlineStr">
        <is>
          <t>Odessa</t>
        </is>
      </c>
      <c r="F8" s="305" t="inlineStr">
        <is>
          <t>Odessa</t>
        </is>
      </c>
      <c r="G8" s="305" t="inlineStr">
        <is>
          <t>TX</t>
        </is>
      </c>
      <c r="H8" s="305" t="inlineStr">
        <is>
          <t>79762</t>
        </is>
      </c>
      <c r="I8" s="305" t="inlineStr">
        <is>
          <t>0.0 mi</t>
        </is>
      </c>
      <c r="J8" s="305" t="inlineStr">
        <is>
          <t>$3,529</t>
        </is>
      </c>
      <c r="K8" s="305" t="inlineStr">
        <is>
          <t>$4,235</t>
        </is>
      </c>
      <c r="L8" s="305" t="inlineStr">
        <is>
          <t>$1,254</t>
        </is>
      </c>
      <c r="M8" s="396">
        <f>'Current Rents'!E25</f>
        <v/>
      </c>
      <c r="N8" s="305" t="inlineStr">
        <is>
          <t>$3,920</t>
        </is>
      </c>
      <c r="O8" s="305" t="inlineStr">
        <is>
          <t>$4,705</t>
        </is>
      </c>
      <c r="P8" s="305" t="inlineStr">
        <is>
          <t>$1,573</t>
        </is>
      </c>
      <c r="Q8" s="396">
        <f>'Current Rents'!F25</f>
        <v/>
      </c>
      <c r="R8" s="305" t="inlineStr">
        <is>
          <t>136</t>
        </is>
      </c>
      <c r="S8" s="305" t="inlineStr">
        <is>
          <t>1978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136 units | Layered HUD/LIHTC property. Year built: 1978.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Orange Grove Apts</t>
        </is>
      </c>
      <c r="E9" s="311" t="inlineStr">
        <is>
          <t>Rr 1</t>
        </is>
      </c>
      <c r="F9" s="308" t="inlineStr">
        <is>
          <t>Newton</t>
        </is>
      </c>
      <c r="G9" s="308" t="inlineStr">
        <is>
          <t>TX</t>
        </is>
      </c>
      <c r="H9" s="308" t="inlineStr">
        <is>
          <t>75966</t>
        </is>
      </c>
      <c r="I9" s="308" t="inlineStr">
        <is>
          <t>N/A</t>
        </is>
      </c>
      <c r="J9" s="308" t="inlineStr">
        <is>
          <t>$3,529</t>
        </is>
      </c>
      <c r="K9" s="308" t="inlineStr">
        <is>
          <t>$4,235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$3,920</t>
        </is>
      </c>
      <c r="O9" s="308" t="inlineStr">
        <is>
          <t>$4,705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24</t>
        </is>
      </c>
      <c r="S9" s="308" t="inlineStr">
        <is>
          <t>1987</t>
        </is>
      </c>
      <c r="T9" s="308" t="inlineStr">
        <is>
          <t>9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41" t="inlineStr">
        <is>
          <t>MODERATE</t>
        </is>
      </c>
      <c r="AA9" s="313" t="inlineStr">
        <is>
          <t>Affordable Comp #2: LIHTC property, 1987 vintage (9 yr diff), 24 units, N/A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Victoria Housing</t>
        </is>
      </c>
      <c r="E10" s="311" t="inlineStr">
        <is>
          <t>2817 Yanez Ave</t>
        </is>
      </c>
      <c r="F10" s="308" t="inlineStr">
        <is>
          <t>Mission</t>
        </is>
      </c>
      <c r="G10" s="308" t="inlineStr">
        <is>
          <t>TX</t>
        </is>
      </c>
      <c r="H10" s="308" t="n"/>
      <c r="I10" s="308" t="inlineStr">
        <is>
          <t>N/A</t>
        </is>
      </c>
      <c r="J10" s="308" t="inlineStr">
        <is>
          <t>$3,529</t>
        </is>
      </c>
      <c r="K10" s="308" t="inlineStr">
        <is>
          <t>$4,235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$3,920</t>
        </is>
      </c>
      <c r="O10" s="308" t="inlineStr">
        <is>
          <t>$4,705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1</t>
        </is>
      </c>
      <c r="S10" s="308" t="inlineStr">
        <is>
          <t>1987</t>
        </is>
      </c>
      <c r="T10" s="308" t="inlineStr">
        <is>
          <t>9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41" t="inlineStr">
        <is>
          <t>MODERATE</t>
        </is>
      </c>
      <c r="AA10" s="313" t="inlineStr">
        <is>
          <t>Affordable Comp #3: LIHTC property, 1987 vintage (9 yr diff), 1 units, N/A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Springhill Apts</t>
        </is>
      </c>
      <c r="E11" s="311" t="inlineStr">
        <is>
          <t>4830 Ray Bon Dr</t>
        </is>
      </c>
      <c r="F11" s="308" t="inlineStr">
        <is>
          <t>San Antonio</t>
        </is>
      </c>
      <c r="G11" s="308" t="inlineStr">
        <is>
          <t>TX</t>
        </is>
      </c>
      <c r="H11" s="308" t="inlineStr">
        <is>
          <t>78218</t>
        </is>
      </c>
      <c r="I11" s="308" t="inlineStr">
        <is>
          <t>287.1 mi</t>
        </is>
      </c>
      <c r="J11" s="308" t="inlineStr">
        <is>
          <t>$3,529</t>
        </is>
      </c>
      <c r="K11" s="308" t="inlineStr">
        <is>
          <t>$4,235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$3,920</t>
        </is>
      </c>
      <c r="O11" s="308" t="inlineStr">
        <is>
          <t>$4,705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132</t>
        </is>
      </c>
      <c r="S11" s="308" t="inlineStr">
        <is>
          <t>1987</t>
        </is>
      </c>
      <c r="T11" s="308" t="inlineStr">
        <is>
          <t>9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LOW</t>
        </is>
      </c>
      <c r="AA11" s="313" t="inlineStr">
        <is>
          <t>Affordable Comp #4: LIHTC property, 1987 vintage (9 yr diff), 132 units, 287.1 mi from subject. Same income-eligible renter pool.</t>
        </is>
      </c>
      <c r="AB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Madison Square</t>
        </is>
      </c>
      <c r="D12" s="318" t="inlineStr">
        <is>
          <t>COMPETITION</t>
        </is>
      </c>
      <c r="E12" s="319" t="inlineStr">
        <is>
          <t>2201 Rocky Lane Rd</t>
        </is>
      </c>
      <c r="F12" s="320" t="inlineStr">
        <is>
          <t>Odessa</t>
        </is>
      </c>
      <c r="G12" s="320" t="inlineStr">
        <is>
          <t>TX</t>
        </is>
      </c>
      <c r="H12" s="320" t="inlineStr">
        <is>
          <t>79762</t>
        </is>
      </c>
      <c r="I12" s="320" t="inlineStr">
        <is>
          <t>2.1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1220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$1,573</t>
        </is>
      </c>
      <c r="Q12" s="397" t="n">
        <v>1267</v>
      </c>
      <c r="R12" s="320" t="inlineStr">
        <is>
          <t>N/A</t>
        </is>
      </c>
      <c r="S12" s="320" t="inlineStr">
        <is>
          <t>1978</t>
        </is>
      </c>
      <c r="T12" s="320" t="inlineStr">
        <is>
          <t>0</t>
        </is>
      </c>
      <c r="U12" s="320" t="inlineStr">
        <is>
          <t>Phone Verify</t>
        </is>
      </c>
      <c r="V12" s="320" t="inlineStr">
        <is>
          <t>Varies</t>
        </is>
      </c>
      <c r="W12" s="320" t="inlineStr">
        <is>
          <t>Varies</t>
        </is>
      </c>
      <c r="X12" s="320" t="inlineStr">
        <is>
          <t>Varies</t>
        </is>
      </c>
      <c r="Y12" s="320" t="inlineStr">
        <is>
          <t>Varies</t>
        </is>
      </c>
      <c r="Z12" s="323" t="inlineStr">
        <is>
          <t>HIGH</t>
        </is>
      </c>
      <c r="AA12" s="324" t="inlineStr">
        <is>
          <t>Market Rate Comp #1: No income restrictions, 1978 vintage (0 yr diff), N/A units, N/A from subject. Shows market-rate rents vs. affordable housing discount.</t>
        </is>
      </c>
      <c r="AB12" s="319" t="inlineStr">
        <is>
          <t>HUD FY2026 FMR - Ector County, TX (limited market rate listings for 1968-1988 vintage)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Alara</t>
        </is>
      </c>
      <c r="E13" s="319" t="inlineStr">
        <is>
          <t>6501 Eastridge Rd</t>
        </is>
      </c>
      <c r="F13" s="320" t="inlineStr">
        <is>
          <t>Odessa</t>
        </is>
      </c>
      <c r="G13" s="320" t="inlineStr">
        <is>
          <t>TX</t>
        </is>
      </c>
      <c r="H13" s="320" t="inlineStr">
        <is>
          <t>79762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1205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1205</v>
      </c>
      <c r="R13" s="320" t="inlineStr">
        <is>
          <t>N/A</t>
        </is>
      </c>
      <c r="S13" s="320" t="inlineStr">
        <is>
          <t>1975</t>
        </is>
      </c>
      <c r="T13" s="320" t="inlineStr">
        <is>
          <t>3</t>
        </is>
      </c>
      <c r="U13" s="320" t="n">
        <v>1545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#2: No income restrictions, 1975 vintage (3 yr diff), N/A units, N/A from subject. Shows market-rate rents vs. affordable housing discount.</t>
        </is>
      </c>
      <c r="AB13" s="319" t="inlineStr">
        <is>
          <t>HUD FY2026 FMR - Ector County, TX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Westwinds Village</t>
        </is>
      </c>
      <c r="E14" s="319" t="inlineStr">
        <is>
          <t>4900 E University Blvd</t>
        </is>
      </c>
      <c r="F14" s="320" t="inlineStr">
        <is>
          <t>Odessa</t>
        </is>
      </c>
      <c r="G14" s="320" t="inlineStr">
        <is>
          <t>TX</t>
        </is>
      </c>
      <c r="H14" s="320" t="inlineStr">
        <is>
          <t>79762</t>
        </is>
      </c>
      <c r="I14" s="320" t="inlineStr">
        <is>
          <t>1.8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1045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1045</v>
      </c>
      <c r="R14" s="320" t="inlineStr">
        <is>
          <t>N/A</t>
        </is>
      </c>
      <c r="S14" s="320" t="inlineStr">
        <is>
          <t>1980</t>
        </is>
      </c>
      <c r="T14" s="320" t="inlineStr">
        <is>
          <t>2</t>
        </is>
      </c>
      <c r="U14" s="320" t="n">
        <v>1550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#3: No income restrictions, 1980 vintage (2 yr diff), N/A units, N/A from subject. Shows market-rate rents vs. affordable housing discount.</t>
        </is>
      </c>
      <c r="AB14" s="319" t="inlineStr">
        <is>
          <t>HUD FY2026 FMR - Ector County, TX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Marvin Gardens Apartments</t>
        </is>
      </c>
      <c r="E15" s="319" t="inlineStr">
        <is>
          <t>4307 Wendover Ave</t>
        </is>
      </c>
      <c r="F15" s="320" t="inlineStr">
        <is>
          <t>Odessa</t>
        </is>
      </c>
      <c r="G15" s="320" t="inlineStr">
        <is>
          <t>TX</t>
        </is>
      </c>
      <c r="H15" s="320" t="inlineStr">
        <is>
          <t>79762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1395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$1,573</t>
        </is>
      </c>
      <c r="Q15" s="397" t="n">
        <v>1395</v>
      </c>
      <c r="R15" s="320" t="inlineStr">
        <is>
          <t>N/A</t>
        </is>
      </c>
      <c r="S15" s="320" t="inlineStr">
        <is>
          <t>1980</t>
        </is>
      </c>
      <c r="T15" s="320" t="inlineStr">
        <is>
          <t>2</t>
        </is>
      </c>
      <c r="U15" s="320" t="n">
        <v>1350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#4: No income restrictions, 1980 vintage (2 yr diff), N/A units, N/A from subject. Shows market-rate rents vs. affordable housing discount.</t>
        </is>
      </c>
      <c r="AB15" s="319" t="inlineStr">
        <is>
          <t>HUD FY2026 FMR - Ector County, TX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FY2026 FMR — Odessa, TX</t>
        </is>
      </c>
      <c r="E16" s="325" t="inlineStr">
        <is>
          <t>N/A</t>
        </is>
      </c>
      <c r="F16" s="325" t="inlineStr">
        <is>
          <t>Odessa</t>
        </is>
      </c>
      <c r="G16" s="325" t="inlineStr">
        <is>
          <t>TX</t>
        </is>
      </c>
      <c r="H16" s="325" t="n"/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$1,254</t>
        </is>
      </c>
      <c r="M16" s="325" t="inlineStr">
        <is>
          <t>$1,254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$1,573</t>
        </is>
      </c>
      <c r="Q16" s="325" t="inlineStr">
        <is>
          <t>$1,573</t>
        </is>
      </c>
      <c r="R16" s="325" t="n"/>
      <c r="S16" s="325" t="n"/>
      <c r="T16" s="325" t="n"/>
      <c r="U16" s="325" t="n"/>
      <c r="V16" s="325" t="n"/>
      <c r="W16" s="325" t="n"/>
      <c r="X16" s="325" t="n"/>
      <c r="Y16" s="325" t="n"/>
      <c r="Z16" s="316" t="inlineStr">
        <is>
          <t>BENCHMARK</t>
        </is>
      </c>
      <c r="AA16" s="328" t="inlineStr">
        <is>
          <t>HUD Fair Market Rent for Odessa, TX metro area, FY2026.</t>
        </is>
      </c>
      <c r="AB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Odessa, TX (Apartments.com, Jun 2026)</t>
        </is>
      </c>
      <c r="E17" s="329" t="inlineStr">
        <is>
          <t>N/A</t>
        </is>
      </c>
      <c r="F17" s="329" t="inlineStr">
        <is>
          <t>Odessa</t>
        </is>
      </c>
      <c r="G17" s="329" t="inlineStr">
        <is>
          <t>TX</t>
        </is>
      </c>
      <c r="H17" s="329" t="n"/>
      <c r="I17" s="329" t="n"/>
      <c r="J17" s="329" t="n"/>
      <c r="K17" s="329" t="n"/>
      <c r="L17" s="329" t="n"/>
      <c r="M17" s="398" t="n">
        <v>1216</v>
      </c>
      <c r="N17" s="329" t="n"/>
      <c r="O17" s="329" t="n"/>
      <c r="P17" s="329" t="n"/>
      <c r="Q17" s="398" t="n">
        <v>1228</v>
      </c>
      <c r="R17" s="329" t="n"/>
      <c r="S17" s="329" t="n"/>
      <c r="T17" s="329" t="n"/>
      <c r="U17" s="329" t="n">
        <v>1482</v>
      </c>
      <c r="V17" s="329" t="n"/>
      <c r="W17" s="329" t="n"/>
      <c r="X17" s="329" t="n"/>
      <c r="Y17" s="329" t="n"/>
      <c r="Z17" s="316" t="inlineStr">
        <is>
          <t>BENCHMARK</t>
        </is>
      </c>
      <c r="AA17" s="332" t="inlineStr">
        <is>
          <t>Average of 4 market-rate comps. Apartments.com verified, Jun 2026.</t>
        </is>
      </c>
      <c r="AB17" s="332" t="inlineStr">
        <is>
          <t>Apartments.com + Market Estimate</t>
        </is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2BD</t>
        </is>
      </c>
      <c r="B24" s="399">
        <f>'Current Rents'!E25</f>
        <v/>
      </c>
      <c r="C24" s="400" t="n">
        <v>1216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Rents'!F25</f>
        <v/>
      </c>
      <c r="C25" s="400" t="n">
        <v>1228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>
      <c r="C26" s="273" t="n">
        <v>1482</v>
      </c>
    </row>
  </sheetData>
  <mergeCells count="17">
    <mergeCell ref="A21:H21"/>
    <mergeCell ref="C7:D7"/>
    <mergeCell ref="C10:D10"/>
    <mergeCell ref="A19:AB19"/>
    <mergeCell ref="C16:D16"/>
    <mergeCell ref="C11:D11"/>
    <mergeCell ref="A5:AB5"/>
    <mergeCell ref="D12:D15"/>
    <mergeCell ref="C23:D23"/>
    <mergeCell ref="C9:D9"/>
    <mergeCell ref="Z3:AB3"/>
    <mergeCell ref="A6:AB6"/>
    <mergeCell ref="C17:D17"/>
    <mergeCell ref="A3:Y3"/>
    <mergeCell ref="A4:AB4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NEW WILMINGTON ARMS  |  COMPTON, CA 90220</t>
        </is>
      </c>
      <c r="AH3" s="296" t="inlineStr">
        <is>
          <t>3 - Wilmington  |  ? Units  |  Section 8 / HUD  |  2BD &amp; 3BD</t>
        </is>
      </c>
    </row>
    <row r="4" ht="18" customFormat="1" customHeight="1" s="273">
      <c r="A4" s="297" t="inlineStr">
        <is>
          <t>700 W. Laurel Avenue, Compton, CA 90220  |  FY2026 FMR: 1BD $1,736 / 2BD $2,376 / 3BD $3,044 / 4BD $3,520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New Wilmington Arms (SUBJECT)</t>
        </is>
      </c>
      <c r="E8" s="304" t="inlineStr">
        <is>
          <t>700 W. Laurel Avenue</t>
        </is>
      </c>
      <c r="F8" s="305" t="inlineStr">
        <is>
          <t>Compton</t>
        </is>
      </c>
      <c r="G8" s="305" t="inlineStr">
        <is>
          <t>CA</t>
        </is>
      </c>
      <c r="H8" s="305" t="inlineStr">
        <is>
          <t>90220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Rents'!D26</f>
        <v/>
      </c>
      <c r="N8" s="305" t="inlineStr">
        <is>
          <t>$5,679</t>
        </is>
      </c>
      <c r="O8" s="305" t="inlineStr">
        <is>
          <t>$6,815</t>
        </is>
      </c>
      <c r="P8" s="305" t="inlineStr">
        <is>
          <t>$2,376</t>
        </is>
      </c>
      <c r="Q8" s="396">
        <f>'Current Rents'!E26</f>
        <v/>
      </c>
      <c r="R8" s="305" t="inlineStr">
        <is>
          <t>$6,312</t>
        </is>
      </c>
      <c r="S8" s="305" t="inlineStr">
        <is>
          <t>$7,575</t>
        </is>
      </c>
      <c r="T8" s="305" t="inlineStr">
        <is>
          <t>$3,044</t>
        </is>
      </c>
      <c r="U8" s="396">
        <f>'Current Rents'!F26</f>
        <v/>
      </c>
      <c r="V8" s="305" t="inlineStr">
        <is>
          <t>$6,816</t>
        </is>
      </c>
      <c r="W8" s="305" t="inlineStr">
        <is>
          <t>$8,180</t>
        </is>
      </c>
      <c r="X8" s="305" t="inlineStr">
        <is>
          <t>$3,520</t>
        </is>
      </c>
      <c r="Y8" s="396">
        <f>'Current Rents'!G26</f>
        <v/>
      </c>
      <c r="Z8" s="305" t="inlineStr">
        <is>
          <t>N/A</t>
        </is>
      </c>
      <c r="AA8" s="305" t="inlineStr">
        <is>
          <t>1973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units N/A | Section 8/HUD property. Year built: 1973.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Compton Gardens Apartments</t>
        </is>
      </c>
      <c r="E9" s="311" t="inlineStr">
        <is>
          <t>1100 N Wilmington Ave</t>
        </is>
      </c>
      <c r="F9" s="308" t="inlineStr">
        <is>
          <t>Compton</t>
        </is>
      </c>
      <c r="G9" s="308" t="inlineStr">
        <is>
          <t>CA</t>
        </is>
      </c>
      <c r="H9" s="308" t="inlineStr">
        <is>
          <t>90222</t>
        </is>
      </c>
      <c r="I9" s="308" t="inlineStr">
        <is>
          <t>1.2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$5,679</t>
        </is>
      </c>
      <c r="O9" s="308" t="inlineStr">
        <is>
          <t>$6,815</t>
        </is>
      </c>
      <c r="P9" s="308" t="inlineStr">
        <is>
          <t>$2,376</t>
        </is>
      </c>
      <c r="Q9" s="308" t="inlineStr">
        <is>
          <t>Not Listed</t>
        </is>
      </c>
      <c r="R9" s="308" t="inlineStr">
        <is>
          <t>$6,312</t>
        </is>
      </c>
      <c r="S9" s="308" t="inlineStr">
        <is>
          <t>$7,575</t>
        </is>
      </c>
      <c r="T9" s="308" t="inlineStr">
        <is>
          <t>$3,044</t>
        </is>
      </c>
      <c r="U9" s="308" t="inlineStr">
        <is>
          <t>Not Listed</t>
        </is>
      </c>
      <c r="V9" s="308" t="inlineStr">
        <is>
          <t>$6,816</t>
        </is>
      </c>
      <c r="W9" s="308" t="inlineStr">
        <is>
          <t>$8,180</t>
        </is>
      </c>
      <c r="X9" s="308" t="inlineStr">
        <is>
          <t>$3,520</t>
        </is>
      </c>
      <c r="Y9" s="308" t="inlineStr">
        <is>
          <t>Not Listed</t>
        </is>
      </c>
      <c r="Z9" s="308" t="inlineStr">
        <is>
          <t>60</t>
        </is>
      </c>
      <c r="AA9" s="308" t="inlineStr">
        <is>
          <t>1974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1974 vintage (1 yr diff), 60 units, 1.2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Rosecrans Manor</t>
        </is>
      </c>
      <c r="E10" s="311" t="inlineStr">
        <is>
          <t>2200 W Rosecrans Ave</t>
        </is>
      </c>
      <c r="F10" s="308" t="inlineStr">
        <is>
          <t>Compton</t>
        </is>
      </c>
      <c r="G10" s="308" t="inlineStr">
        <is>
          <t>CA</t>
        </is>
      </c>
      <c r="H10" s="308" t="inlineStr">
        <is>
          <t>90220</t>
        </is>
      </c>
      <c r="I10" s="308" t="inlineStr">
        <is>
          <t>2.5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$5,679</t>
        </is>
      </c>
      <c r="O10" s="308" t="inlineStr">
        <is>
          <t>$6,815</t>
        </is>
      </c>
      <c r="P10" s="308" t="inlineStr">
        <is>
          <t>$2,376</t>
        </is>
      </c>
      <c r="Q10" s="308" t="inlineStr">
        <is>
          <t>Not Listed</t>
        </is>
      </c>
      <c r="R10" s="308" t="inlineStr">
        <is>
          <t>$6,312</t>
        </is>
      </c>
      <c r="S10" s="308" t="inlineStr">
        <is>
          <t>$7,575</t>
        </is>
      </c>
      <c r="T10" s="308" t="inlineStr">
        <is>
          <t>$3,044</t>
        </is>
      </c>
      <c r="U10" s="308" t="inlineStr">
        <is>
          <t>Not Listed</t>
        </is>
      </c>
      <c r="V10" s="308" t="inlineStr">
        <is>
          <t>$6,816</t>
        </is>
      </c>
      <c r="W10" s="308" t="inlineStr">
        <is>
          <t>$8,180</t>
        </is>
      </c>
      <c r="X10" s="308" t="inlineStr">
        <is>
          <t>$3,520</t>
        </is>
      </c>
      <c r="Y10" s="308" t="inlineStr">
        <is>
          <t>Not Listed</t>
        </is>
      </c>
      <c r="Z10" s="308" t="inlineStr">
        <is>
          <t>72</t>
        </is>
      </c>
      <c r="AA10" s="308" t="inlineStr">
        <is>
          <t>1972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1972 vintage (1 yr diff), 72 units, 2.5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Willowbrook Terrace</t>
        </is>
      </c>
      <c r="E11" s="311" t="inlineStr">
        <is>
          <t>11800 Wilmington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90059</t>
        </is>
      </c>
      <c r="I11" s="308" t="inlineStr">
        <is>
          <t>4.8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$5,679</t>
        </is>
      </c>
      <c r="O11" s="308" t="inlineStr">
        <is>
          <t>$6,815</t>
        </is>
      </c>
      <c r="P11" s="308" t="inlineStr">
        <is>
          <t>$2,376</t>
        </is>
      </c>
      <c r="Q11" s="308" t="inlineStr">
        <is>
          <t>Not Listed</t>
        </is>
      </c>
      <c r="R11" s="308" t="inlineStr">
        <is>
          <t>$6,312</t>
        </is>
      </c>
      <c r="S11" s="308" t="inlineStr">
        <is>
          <t>$7,575</t>
        </is>
      </c>
      <c r="T11" s="308" t="inlineStr">
        <is>
          <t>$3,044</t>
        </is>
      </c>
      <c r="U11" s="308" t="inlineStr">
        <is>
          <t>Not Listed</t>
        </is>
      </c>
      <c r="V11" s="308" t="inlineStr">
        <is>
          <t>$6,816</t>
        </is>
      </c>
      <c r="W11" s="308" t="inlineStr">
        <is>
          <t>$8,180</t>
        </is>
      </c>
      <c r="X11" s="308" t="inlineStr">
        <is>
          <t>$3,520</t>
        </is>
      </c>
      <c r="Y11" s="308" t="inlineStr">
        <is>
          <t>Not Listed</t>
        </is>
      </c>
      <c r="Z11" s="308" t="inlineStr">
        <is>
          <t>68</t>
        </is>
      </c>
      <c r="AA11" s="308" t="inlineStr">
        <is>
          <t>1975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Section 8/HUD property, 1975 vintage (2 yr diff), 68 units, 4.8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Compton Housing Authority - Lueders Park Homes</t>
        </is>
      </c>
      <c r="E12" s="311" t="inlineStr">
        <is>
          <t>600 S Central Ave</t>
        </is>
      </c>
      <c r="F12" s="308" t="inlineStr">
        <is>
          <t>Compton</t>
        </is>
      </c>
      <c r="G12" s="308" t="inlineStr">
        <is>
          <t>CA</t>
        </is>
      </c>
      <c r="H12" s="308" t="inlineStr">
        <is>
          <t>90220</t>
        </is>
      </c>
      <c r="I12" s="308" t="inlineStr">
        <is>
          <t>1.8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$5,679</t>
        </is>
      </c>
      <c r="O12" s="308" t="inlineStr">
        <is>
          <t>$6,815</t>
        </is>
      </c>
      <c r="P12" s="308" t="inlineStr">
        <is>
          <t>$2,376</t>
        </is>
      </c>
      <c r="Q12" s="308" t="inlineStr">
        <is>
          <t>Not Listed</t>
        </is>
      </c>
      <c r="R12" s="308" t="inlineStr">
        <is>
          <t>$6,312</t>
        </is>
      </c>
      <c r="S12" s="308" t="inlineStr">
        <is>
          <t>$7,575</t>
        </is>
      </c>
      <c r="T12" s="308" t="inlineStr">
        <is>
          <t>$3,044</t>
        </is>
      </c>
      <c r="U12" s="308" t="inlineStr">
        <is>
          <t>Not Listed</t>
        </is>
      </c>
      <c r="V12" s="308" t="inlineStr">
        <is>
          <t>$6,816</t>
        </is>
      </c>
      <c r="W12" s="308" t="inlineStr">
        <is>
          <t>$8,180</t>
        </is>
      </c>
      <c r="X12" s="308" t="inlineStr">
        <is>
          <t>$3,520</t>
        </is>
      </c>
      <c r="Y12" s="308" t="inlineStr">
        <is>
          <t>Not Listed</t>
        </is>
      </c>
      <c r="Z12" s="308" t="inlineStr">
        <is>
          <t>64</t>
        </is>
      </c>
      <c r="AA12" s="308" t="inlineStr">
        <is>
          <t>1973</t>
        </is>
      </c>
      <c r="AB12" s="308" t="inlineStr">
        <is>
          <t>0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1973 vintage (0 yr diff), 64 units, 1.8 mi from subject. Same income-eligible renter pool.</t>
        </is>
      </c>
      <c r="AJ12" s="311" t="inlineStr">
        <is>
          <t>Compton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Jasmine Garden Apartments</t>
        </is>
      </c>
      <c r="D13" s="318" t="inlineStr">
        <is>
          <t>COMPETITION</t>
        </is>
      </c>
      <c r="E13" s="319" t="inlineStr">
        <is>
          <t>601 W Corregidor St</t>
        </is>
      </c>
      <c r="F13" s="320" t="inlineStr">
        <is>
          <t>Compton</t>
        </is>
      </c>
      <c r="G13" s="320" t="inlineStr">
        <is>
          <t>CA</t>
        </is>
      </c>
      <c r="H13" s="320" t="inlineStr">
        <is>
          <t>90220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1704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2044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2363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$3,520</t>
        </is>
      </c>
      <c r="Y13" s="322" t="inlineStr">
        <is>
          <t>Phone Verify</t>
        </is>
      </c>
      <c r="Z13" s="320" t="inlineStr">
        <is>
          <t>60</t>
        </is>
      </c>
      <c r="AA13" s="320" t="inlineStr">
        <is>
          <t>1975</t>
        </is>
      </c>
      <c r="AB13" s="320" t="inlineStr">
        <is>
          <t>2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(2 yr diff), 60 units, 1.5 mi from subject. Shows market-rate rents vs. affordable housing discount.</t>
        </is>
      </c>
      <c r="AJ13" s="319" t="inlineStr">
        <is>
          <t>https://www.rentcafe.com/apartments-for-rent/us/ca/compton/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819 W 137th St</t>
        </is>
      </c>
      <c r="E14" s="319" t="inlineStr">
        <is>
          <t>819 W 137th St</t>
        </is>
      </c>
      <c r="F14" s="320" t="inlineStr">
        <is>
          <t>Compton</t>
        </is>
      </c>
      <c r="G14" s="320" t="inlineStr">
        <is>
          <t>CA</t>
        </is>
      </c>
      <c r="H14" s="320" t="inlineStr">
        <is>
          <t>90222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1850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$3,044</t>
        </is>
      </c>
      <c r="U14" s="397" t="n">
        <v>2250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$3,520</t>
        </is>
      </c>
      <c r="Y14" s="322" t="inlineStr">
        <is>
          <t>Phone Verify</t>
        </is>
      </c>
      <c r="Z14" s="320" t="inlineStr">
        <is>
          <t>48</t>
        </is>
      </c>
      <c r="AA14" s="320" t="inlineStr">
        <is>
          <t>1970</t>
        </is>
      </c>
      <c r="AB14" s="320" t="inlineStr">
        <is>
          <t>3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1970 vintage (3 yr diff), 48 units, 3.2 mi from subject. Shows market-rate rents vs. affordable housing discount.</t>
        </is>
      </c>
      <c r="AJ14" s="319" t="inlineStr">
        <is>
          <t>https://www.rentcafe.com/apartments-for-rent/us/ca/lynwood/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 Chateau Apartments</t>
        </is>
      </c>
      <c r="E15" s="319" t="inlineStr">
        <is>
          <t>4267 Carlin Ave</t>
        </is>
      </c>
      <c r="F15" s="320" t="inlineStr">
        <is>
          <t>Lynwood</t>
        </is>
      </c>
      <c r="G15" s="320" t="inlineStr">
        <is>
          <t>CA</t>
        </is>
      </c>
      <c r="H15" s="320" t="inlineStr">
        <is>
          <t>90262</t>
        </is>
      </c>
      <c r="I15" s="320" t="inlineStr">
        <is>
          <t>2.1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1795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2095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$3,044</t>
        </is>
      </c>
      <c r="U15" s="397" t="n">
        <v>2500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$3,520</t>
        </is>
      </c>
      <c r="Y15" s="322" t="inlineStr">
        <is>
          <t>Phone Verify</t>
        </is>
      </c>
      <c r="Z15" s="320" t="inlineStr">
        <is>
          <t>72</t>
        </is>
      </c>
      <c r="AA15" s="320" t="inlineStr">
        <is>
          <t>1972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1972 vintage (1 yr diff), 72 units, 4.8 mi from subject. Shows market-rate rents vs. affordable housing discount.</t>
        </is>
      </c>
      <c r="AJ15" s="319" t="inlineStr">
        <is>
          <t>https://www.rentcafe.com/apartments-for-rent/us/ca/carson/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Lynwood Palms</t>
        </is>
      </c>
      <c r="E16" s="319" t="inlineStr">
        <is>
          <t>3189 Euclid</t>
        </is>
      </c>
      <c r="F16" s="320" t="inlineStr">
        <is>
          <t>Lynwood</t>
        </is>
      </c>
      <c r="G16" s="320" t="inlineStr">
        <is>
          <t>CA</t>
        </is>
      </c>
      <c r="H16" s="320" t="inlineStr">
        <is>
          <t>90262</t>
        </is>
      </c>
      <c r="I16" s="320" t="inlineStr">
        <is>
          <t>2.3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22" t="inlineStr">
        <is>
          <t>Phone Verify</t>
        </is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2295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$3,044</t>
        </is>
      </c>
      <c r="U16" s="397" t="n">
        <v>2600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$3,520</t>
        </is>
      </c>
      <c r="Y16" s="322" t="inlineStr">
        <is>
          <t>Phone Verify</t>
        </is>
      </c>
      <c r="Z16" s="320" t="inlineStr">
        <is>
          <t>52</t>
        </is>
      </c>
      <c r="AA16" s="320" t="inlineStr">
        <is>
          <t>1971</t>
        </is>
      </c>
      <c r="AB16" s="320" t="inlineStr">
        <is>
          <t>2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1971 vintage (2 yr diff), 52 units, 6.5 mi from subject. Shows market-rate rents vs. affordable housing discount.</t>
        </is>
      </c>
      <c r="AJ16" s="319" t="inlineStr">
        <is>
          <t>https://www.rentcafe.com/apartments-for-rent/us/ca/inglewood/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Compton, CA</t>
        </is>
      </c>
      <c r="E17" s="325" t="inlineStr">
        <is>
          <t>N/A</t>
        </is>
      </c>
      <c r="F17" s="325" t="inlineStr">
        <is>
          <t>Compton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$2,376</t>
        </is>
      </c>
      <c r="Q17" s="325" t="inlineStr">
        <is>
          <t>$2,376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$3,044</t>
        </is>
      </c>
      <c r="U17" s="325" t="inlineStr">
        <is>
          <t>$3,044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$3,520</t>
        </is>
      </c>
      <c r="Y17" s="325" t="inlineStr">
        <is>
          <t>$3,520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Compton, CA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Compton, CA (Apartments.com, Jun 2026)</t>
        </is>
      </c>
      <c r="E18" s="329" t="inlineStr">
        <is>
          <t>N/A</t>
        </is>
      </c>
      <c r="F18" s="329" t="inlineStr">
        <is>
          <t>Compton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1716</v>
      </c>
      <c r="N18" s="329" t="n"/>
      <c r="O18" s="329" t="n"/>
      <c r="P18" s="329" t="n"/>
      <c r="Q18" s="398" t="n">
        <v>2071</v>
      </c>
      <c r="R18" s="329" t="n"/>
      <c r="S18" s="329" t="n"/>
      <c r="T18" s="329" t="n"/>
      <c r="U18" s="398" t="n">
        <v>2428</v>
      </c>
      <c r="V18" s="329" t="n"/>
      <c r="W18" s="329" t="n"/>
      <c r="X18" s="329" t="n"/>
      <c r="Y18" s="398" t="n">
        <v>3595</v>
      </c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Rents'!D26</f>
        <v/>
      </c>
      <c r="C25" s="400" t="n">
        <v>1716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Rents'!E26</f>
        <v/>
      </c>
      <c r="C26" s="400" t="n">
        <v>2071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Rents'!F26</f>
        <v/>
      </c>
      <c r="C27" s="400" t="n">
        <v>2428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Rents'!G26</f>
        <v/>
      </c>
      <c r="C28" s="400" t="n">
        <v>3595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GATES ON MANHATTAN  |  HARVEY, LA 70058</t>
        </is>
      </c>
      <c r="AD3" s="296" t="inlineStr">
        <is>
          <t>19 - Gates  |  ? Units  |  Section 8 / HUD  |  2BD &amp; 3BD</t>
        </is>
      </c>
    </row>
    <row r="4" ht="18" customFormat="1" customHeight="1" s="273">
      <c r="A4" s="297" t="inlineStr">
        <is>
          <t>1050 Manhattan Blvd, Harvey, LA 70058  |  FY2026 FMR: 1BD $916 / 2BD $1,254 / 3BD $1,573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Gates on Manhattan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$2,808</t>
        </is>
      </c>
      <c r="K8" s="305" t="inlineStr">
        <is>
          <t>$3,370</t>
        </is>
      </c>
      <c r="L8" s="305" t="inlineStr">
        <is>
          <t>$916</t>
        </is>
      </c>
      <c r="M8" s="396">
        <f>'Current Rents'!D27</f>
        <v/>
      </c>
      <c r="N8" s="305" t="inlineStr">
        <is>
          <t>$3,370</t>
        </is>
      </c>
      <c r="O8" s="305" t="inlineStr">
        <is>
          <t>$4,045</t>
        </is>
      </c>
      <c r="P8" s="305" t="inlineStr">
        <is>
          <t>$1,254</t>
        </is>
      </c>
      <c r="Q8" s="396">
        <f>'Current Rents'!E27</f>
        <v/>
      </c>
      <c r="R8" s="305" t="inlineStr">
        <is>
          <t>$3,741</t>
        </is>
      </c>
      <c r="S8" s="305" t="inlineStr">
        <is>
          <t>$4,490</t>
        </is>
      </c>
      <c r="T8" s="305" t="inlineStr">
        <is>
          <t>$1,573</t>
        </is>
      </c>
      <c r="U8" s="396">
        <f>'Current Rents'!F27</f>
        <v/>
      </c>
      <c r="V8" s="305" t="inlineStr">
        <is>
          <t>276</t>
        </is>
      </c>
      <c r="W8" s="305" t="inlineStr">
        <is>
          <t>1968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276 units | Section 8/HUD property. Year built: 1968.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$2,808</t>
        </is>
      </c>
      <c r="K9" s="308" t="inlineStr">
        <is>
          <t>$3,370</t>
        </is>
      </c>
      <c r="L9" s="308" t="inlineStr">
        <is>
          <t>$916</t>
        </is>
      </c>
      <c r="M9" s="308" t="inlineStr">
        <is>
          <t>$887</t>
        </is>
      </c>
      <c r="N9" s="308" t="inlineStr">
        <is>
          <t>$3,370</t>
        </is>
      </c>
      <c r="O9" s="308" t="inlineStr">
        <is>
          <t>$4,045</t>
        </is>
      </c>
      <c r="P9" s="308" t="inlineStr">
        <is>
          <t>$1,254</t>
        </is>
      </c>
      <c r="Q9" s="308" t="inlineStr">
        <is>
          <t>$1,083</t>
        </is>
      </c>
      <c r="R9" s="308" t="inlineStr">
        <is>
          <t>$3,741</t>
        </is>
      </c>
      <c r="S9" s="308" t="inlineStr">
        <is>
          <t>$4,490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250</t>
        </is>
      </c>
      <c r="W9" s="308" t="inlineStr">
        <is>
          <t>1970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Section 8/HUD property, 1970 vintage (2 yr diff), 250 units, 0.3 mi from subject. Same income-eligible renter pool.</t>
        </is>
      </c>
      <c r="AF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Sunset Villa Apartments</t>
        </is>
      </c>
      <c r="E10" s="311" t="inlineStr">
        <is>
          <t>1000 Scotsdale Dr</t>
        </is>
      </c>
      <c r="F10" s="308" t="inlineStr">
        <is>
          <t>Harvey</t>
        </is>
      </c>
      <c r="G10" s="308" t="inlineStr">
        <is>
          <t>LA</t>
        </is>
      </c>
      <c r="H10" s="308" t="inlineStr">
        <is>
          <t>70058</t>
        </is>
      </c>
      <c r="I10" s="308" t="inlineStr">
        <is>
          <t>1.2 mi</t>
        </is>
      </c>
      <c r="J10" s="308" t="inlineStr">
        <is>
          <t>$2,808</t>
        </is>
      </c>
      <c r="K10" s="308" t="inlineStr">
        <is>
          <t>$3,370</t>
        </is>
      </c>
      <c r="L10" s="308" t="inlineStr">
        <is>
          <t>$916</t>
        </is>
      </c>
      <c r="M10" s="308" t="inlineStr">
        <is>
          <t>$1,146</t>
        </is>
      </c>
      <c r="N10" s="308" t="inlineStr">
        <is>
          <t>$3,370</t>
        </is>
      </c>
      <c r="O10" s="308" t="inlineStr">
        <is>
          <t>$4,045</t>
        </is>
      </c>
      <c r="P10" s="308" t="inlineStr">
        <is>
          <t>$1,254</t>
        </is>
      </c>
      <c r="Q10" s="308" t="inlineStr">
        <is>
          <t>$1,146</t>
        </is>
      </c>
      <c r="R10" s="308" t="inlineStr">
        <is>
          <t>$3,741</t>
        </is>
      </c>
      <c r="S10" s="308" t="inlineStr">
        <is>
          <t>$4,490</t>
        </is>
      </c>
      <c r="T10" s="308" t="inlineStr">
        <is>
          <t>$1,573</t>
        </is>
      </c>
      <c r="U10" s="308" t="inlineStr">
        <is>
          <t>$1,146</t>
        </is>
      </c>
      <c r="V10" s="308" t="inlineStr">
        <is>
          <t>200</t>
        </is>
      </c>
      <c r="W10" s="308" t="inlineStr">
        <is>
          <t>1968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Section 8/HUD property, 1968 vintage (0 yr diff), 200 units, 1.2 mi from subject. Same income-eligible renter pool.</t>
        </is>
      </c>
      <c r="AF10" s="311" t="inlineStr">
        <is>
          <t>AffordableHousingOnline.com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Gretna Manor Apartments</t>
        </is>
      </c>
      <c r="E11" s="311" t="inlineStr">
        <is>
          <t>400 Huey P Long Ave</t>
        </is>
      </c>
      <c r="F11" s="308" t="inlineStr">
        <is>
          <t>Gretna</t>
        </is>
      </c>
      <c r="G11" s="308" t="inlineStr">
        <is>
          <t>LA</t>
        </is>
      </c>
      <c r="H11" s="308" t="inlineStr">
        <is>
          <t>70053</t>
        </is>
      </c>
      <c r="I11" s="308" t="inlineStr">
        <is>
          <t>3.5 mi</t>
        </is>
      </c>
      <c r="J11" s="308" t="inlineStr">
        <is>
          <t>$2,808</t>
        </is>
      </c>
      <c r="K11" s="308" t="inlineStr">
        <is>
          <t>$3,370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$3,370</t>
        </is>
      </c>
      <c r="O11" s="308" t="inlineStr">
        <is>
          <t>$4,045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$3,741</t>
        </is>
      </c>
      <c r="S11" s="308" t="inlineStr">
        <is>
          <t>$4,490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220</t>
        </is>
      </c>
      <c r="W11" s="308" t="inlineStr">
        <is>
          <t>1972</t>
        </is>
      </c>
      <c r="X11" s="308" t="inlineStr">
        <is>
          <t>4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Section 8/HUD property, 1972 vintage (4 yr diff), 220 units, 3.5 mi from subject. Same income-eligible renter pool.</t>
        </is>
      </c>
      <c r="AF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$2,808</t>
        </is>
      </c>
      <c r="K12" s="308" t="inlineStr">
        <is>
          <t>$3,370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$3,370</t>
        </is>
      </c>
      <c r="O12" s="308" t="inlineStr">
        <is>
          <t>$4,045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$3,741</t>
        </is>
      </c>
      <c r="S12" s="308" t="inlineStr">
        <is>
          <t>$4,490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240</t>
        </is>
      </c>
      <c r="W12" s="308" t="inlineStr">
        <is>
          <t>1969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Public Housing/HUD property, 1969 vintage (1 yr diff), 240 units, 2.1 mi from subject. Same income-eligible renter pool.</t>
        </is>
      </c>
      <c r="AF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1495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1905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2195</v>
      </c>
      <c r="V13" s="320" t="inlineStr">
        <is>
          <t>N/A</t>
        </is>
      </c>
      <c r="W13" s="320" t="inlineStr">
        <is>
          <t>1968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1968 vintage (0 yr diff), N/A units, N/A from subject. Shows market-rate rents vs. affordable housing discount.</t>
        </is>
      </c>
      <c r="AF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1190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1354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1538</v>
      </c>
      <c r="V14" s="320" t="inlineStr">
        <is>
          <t>N/A</t>
        </is>
      </c>
      <c r="W14" s="320" t="inlineStr">
        <is>
          <t>1970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1970 vintage (2 yr diff), N/A units, 3.0 mi from subject. Shows market-rate rents vs. affordable housing discount.</t>
        </is>
      </c>
      <c r="AF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Summerfield Apartment Homes</t>
        </is>
      </c>
      <c r="E15" s="319" t="inlineStr">
        <is>
          <t>1500 Lorene Dr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1128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1343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1550</v>
      </c>
      <c r="V15" s="320" t="inlineStr">
        <is>
          <t>N/A</t>
        </is>
      </c>
      <c r="W15" s="320" t="inlineStr">
        <is>
          <t>1965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1965 vintage (3 yr diff), N/A units, 5.0 mi from subject. Shows market-rate rents vs. affordable housing discount.</t>
        </is>
      </c>
      <c r="AF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0.1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887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1658</v>
      </c>
      <c r="V16" s="320" t="inlineStr">
        <is>
          <t>N/A</t>
        </is>
      </c>
      <c r="W16" s="320" t="inlineStr">
        <is>
          <t>1970</t>
        </is>
      </c>
      <c r="X16" s="320" t="inlineStr">
        <is>
          <t>2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1970 vintage (2 yr diff), N/A units, 6.0 mi from subject. Shows market-rate rents vs. affordable housing discount.</t>
        </is>
      </c>
      <c r="AF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Harvey,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1175</v>
      </c>
      <c r="N18" s="329" t="n"/>
      <c r="O18" s="329" t="n"/>
      <c r="P18" s="329" t="n"/>
      <c r="Q18" s="398" t="n">
        <v>1506</v>
      </c>
      <c r="R18" s="329" t="n"/>
      <c r="S18" s="329" t="n"/>
      <c r="T18" s="329" t="n"/>
      <c r="U18" s="398" t="n">
        <v>1735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Rents'!D27</f>
        <v/>
      </c>
      <c r="C25" s="400" t="n">
        <v>1175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Rents'!E27</f>
        <v/>
      </c>
      <c r="C26" s="400" t="n">
        <v>1506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3BD</t>
        </is>
      </c>
      <c r="B27" s="399">
        <f>'Current Rents'!F27</f>
        <v/>
      </c>
      <c r="C27" s="400" t="n">
        <v>1735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RUBY DIAMOND  |  MARRERO, LA 70072</t>
        </is>
      </c>
      <c r="Z3" s="296" t="inlineStr">
        <is>
          <t>42 - Ruby  |  ? Units  |  Section 8 / HUD  |  2BD &amp; 3BD</t>
        </is>
      </c>
    </row>
    <row r="4" ht="18" customFormat="1" customHeight="1" s="273">
      <c r="A4" s="297" t="inlineStr">
        <is>
          <t>Marrero, Marrero, LA 70072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Ruby Diamond (SUBJECT)</t>
        </is>
      </c>
      <c r="E8" s="304" t="inlineStr">
        <is>
          <t>Marrero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Rents'!F28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Rents'!G28</f>
        <v/>
      </c>
      <c r="R8" s="305" t="inlineStr">
        <is>
          <t>73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73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First Emanuel Homes Of No</t>
        </is>
      </c>
      <c r="E9" s="311" t="inlineStr">
        <is>
          <t>912 Fourth Street</t>
        </is>
      </c>
      <c r="F9" s="308" t="inlineStr">
        <is>
          <t>New Orleans</t>
        </is>
      </c>
      <c r="G9" s="308" t="inlineStr">
        <is>
          <t>LA</t>
        </is>
      </c>
      <c r="H9" s="308" t="inlineStr">
        <is>
          <t>70130-0000</t>
        </is>
      </c>
      <c r="I9" s="308" t="inlineStr">
        <is>
          <t>2.4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89</t>
        </is>
      </c>
      <c r="S9" s="308" t="inlineStr">
        <is>
          <t>1999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1999 vintage (1 yr diff), 89 units, 2.4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Canal Street Sro</t>
        </is>
      </c>
      <c r="E10" s="311" t="inlineStr">
        <is>
          <t>1801 Canal Street</t>
        </is>
      </c>
      <c r="F10" s="308" t="inlineStr">
        <is>
          <t>New Orleans</t>
        </is>
      </c>
      <c r="G10" s="308" t="inlineStr">
        <is>
          <t>LA</t>
        </is>
      </c>
      <c r="H10" s="308" t="inlineStr">
        <is>
          <t>70119-0000</t>
        </is>
      </c>
      <c r="I10" s="308" t="inlineStr">
        <is>
          <t>4.6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70</t>
        </is>
      </c>
      <c r="S10" s="308" t="inlineStr">
        <is>
          <t>2002</t>
        </is>
      </c>
      <c r="T10" s="308" t="inlineStr">
        <is>
          <t>2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2002 vintage (2 yr diff), 70 units, 4.6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Cherry Blossom Apts</t>
        </is>
      </c>
      <c r="E11" s="311" t="inlineStr">
        <is>
          <t>205 Mlk Dr.</t>
        </is>
      </c>
      <c r="F11" s="308" t="inlineStr">
        <is>
          <t>Port Barre</t>
        </is>
      </c>
      <c r="G11" s="308" t="inlineStr">
        <is>
          <t>LA</t>
        </is>
      </c>
      <c r="H11" s="308" t="inlineStr">
        <is>
          <t>70577-0000</t>
        </is>
      </c>
      <c r="I11" s="308" t="inlineStr">
        <is>
          <t>N/A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$1,660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$1,709</t>
        </is>
      </c>
      <c r="R11" s="308" t="inlineStr">
        <is>
          <t>73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73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38</t>
        </is>
      </c>
      <c r="S12" s="308" t="inlineStr">
        <is>
          <t>1999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(1 yr diff), 38 units, 2.7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1995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1673</v>
      </c>
      <c r="R13" s="320" t="inlineStr">
        <is>
          <t>120</t>
        </is>
      </c>
      <c r="S13" s="320" t="inlineStr">
        <is>
          <t>2001</t>
        </is>
      </c>
      <c r="T13" s="320" t="inlineStr">
        <is>
          <t>1</t>
        </is>
      </c>
      <c r="U13" s="320" t="n">
        <v>2055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120 units, 1.8 mi from subject. Shows market-rate rents vs. affordable housing discount.</t>
        </is>
      </c>
      <c r="AB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2150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96</t>
        </is>
      </c>
      <c r="S14" s="320" t="inlineStr">
        <is>
          <t>1999</t>
        </is>
      </c>
      <c r="T14" s="320" t="inlineStr">
        <is>
          <t>1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96 units, 3.5 mi from subject. Shows market-rate rents vs. affordable housing discount.</t>
        </is>
      </c>
      <c r="AB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1700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80</t>
        </is>
      </c>
      <c r="S15" s="320" t="inlineStr">
        <is>
          <t>2002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80 units, 5.2 mi from subject. Shows market-rate rents vs. affordable housing discount.</t>
        </is>
      </c>
      <c r="AB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Calypso Bay Apartments</t>
        </is>
      </c>
      <c r="E16" s="319" t="inlineStr">
        <is>
          <t>3251 Wall Blvd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0.9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n">
        <v>1860</v>
      </c>
      <c r="R16" s="320" t="inlineStr">
        <is>
          <t>64</t>
        </is>
      </c>
      <c r="S16" s="320" t="inlineStr">
        <is>
          <t>2000</t>
        </is>
      </c>
      <c r="T16" s="320" t="inlineStr">
        <is>
          <t>0</t>
        </is>
      </c>
      <c r="U16" s="320" t="n">
        <v>2350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64 units, 4.2 mi from subject. Shows market-rate rents vs. affordable housing discount.</t>
        </is>
      </c>
      <c r="AB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Marrero,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1924</v>
      </c>
      <c r="N18" s="329" t="n"/>
      <c r="O18" s="329" t="n"/>
      <c r="P18" s="329" t="n"/>
      <c r="Q18" s="398" t="n">
        <v>1577</v>
      </c>
      <c r="R18" s="329" t="n"/>
      <c r="S18" s="329" t="n"/>
      <c r="T18" s="329" t="n"/>
      <c r="U18" s="329" t="n">
        <v>1900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Rents'!F28</f>
        <v/>
      </c>
      <c r="C25" s="400" t="n">
        <v>1924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Rents'!G28</f>
        <v/>
      </c>
      <c r="C26" s="400" t="n">
        <v>1577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1900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STAR HOMES  |  MARRERO, LA 70072</t>
        </is>
      </c>
      <c r="AD3" s="296" t="inlineStr">
        <is>
          <t>39 - Star  |  ? Units  |  Section 8 / HUD  |  2BD &amp; 3BD</t>
        </is>
      </c>
    </row>
    <row r="4" ht="18" customFormat="1" customHeight="1" s="273">
      <c r="A4" s="297" t="inlineStr">
        <is>
          <t>2020 Melba Place, Marrero, LA 70072  |  FY2026 FMR: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Star Homes (SUBJECT)</t>
        </is>
      </c>
      <c r="E8" s="304" t="inlineStr">
        <is>
          <t>2020 Melba Place</t>
        </is>
      </c>
      <c r="F8" s="305" t="inlineStr">
        <is>
          <t>Marrero</t>
        </is>
      </c>
      <c r="G8" s="305" t="inlineStr">
        <is>
          <t>LA</t>
        </is>
      </c>
      <c r="H8" s="305" t="inlineStr">
        <is>
          <t>70072</t>
        </is>
      </c>
      <c r="I8" s="305" t="inlineStr">
        <is>
          <t>0.0 mi</t>
        </is>
      </c>
      <c r="J8" s="305" t="inlineStr">
        <is>
          <t>$3,370</t>
        </is>
      </c>
      <c r="K8" s="305" t="inlineStr">
        <is>
          <t>$4,045</t>
        </is>
      </c>
      <c r="L8" s="305" t="inlineStr">
        <is>
          <t>$1,254</t>
        </is>
      </c>
      <c r="M8" s="396">
        <f>'Current Rents'!E29</f>
        <v/>
      </c>
      <c r="N8" s="305" t="inlineStr">
        <is>
          <t>$3,741</t>
        </is>
      </c>
      <c r="O8" s="305" t="inlineStr">
        <is>
          <t>$4,490</t>
        </is>
      </c>
      <c r="P8" s="305" t="inlineStr">
        <is>
          <t>$1,573</t>
        </is>
      </c>
      <c r="Q8" s="396">
        <f>'Current Rents'!F29</f>
        <v/>
      </c>
      <c r="R8" s="305" t="inlineStr">
        <is>
          <t>$4,041</t>
        </is>
      </c>
      <c r="S8" s="305" t="inlineStr">
        <is>
          <t>$4,850</t>
        </is>
      </c>
      <c r="T8" s="305" t="inlineStr">
        <is>
          <t>$1,818</t>
        </is>
      </c>
      <c r="U8" s="396">
        <f>'Current Rents'!G29</f>
        <v/>
      </c>
      <c r="V8" s="305" t="inlineStr">
        <is>
          <t>48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48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Star Affordable Homes</t>
        </is>
      </c>
      <c r="E9" s="311" t="inlineStr">
        <is>
          <t>2012 Melba Pl</t>
        </is>
      </c>
      <c r="F9" s="308" t="inlineStr">
        <is>
          <t>Marrero</t>
        </is>
      </c>
      <c r="G9" s="308" t="inlineStr">
        <is>
          <t>LA</t>
        </is>
      </c>
      <c r="H9" s="308" t="inlineStr">
        <is>
          <t>70072</t>
        </is>
      </c>
      <c r="I9" s="308" t="inlineStr">
        <is>
          <t>2.2 mi</t>
        </is>
      </c>
      <c r="J9" s="308" t="inlineStr">
        <is>
          <t>$3,370</t>
        </is>
      </c>
      <c r="K9" s="308" t="inlineStr">
        <is>
          <t>$4,045</t>
        </is>
      </c>
      <c r="L9" s="308" t="inlineStr">
        <is>
          <t>$1,254</t>
        </is>
      </c>
      <c r="M9" s="308" t="inlineStr">
        <is>
          <t>Not Listed</t>
        </is>
      </c>
      <c r="N9" s="308" t="inlineStr">
        <is>
          <t>$3,741</t>
        </is>
      </c>
      <c r="O9" s="308" t="inlineStr">
        <is>
          <t>$4,490</t>
        </is>
      </c>
      <c r="P9" s="308" t="inlineStr">
        <is>
          <t>$1,573</t>
        </is>
      </c>
      <c r="Q9" s="308" t="inlineStr">
        <is>
          <t>Not Listed</t>
        </is>
      </c>
      <c r="R9" s="308" t="inlineStr">
        <is>
          <t>$4,041</t>
        </is>
      </c>
      <c r="S9" s="308" t="inlineStr">
        <is>
          <t>$4,850</t>
        </is>
      </c>
      <c r="T9" s="308" t="inlineStr">
        <is>
          <t>$1,818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(2 yr diff), 48 units, 2.2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Star Homes</t>
        </is>
      </c>
      <c r="E10" s="311" t="inlineStr">
        <is>
          <t>2012 Melba Place</t>
        </is>
      </c>
      <c r="F10" s="308" t="inlineStr">
        <is>
          <t>Marrero</t>
        </is>
      </c>
      <c r="G10" s="308" t="inlineStr">
        <is>
          <t>LA</t>
        </is>
      </c>
      <c r="H10" s="308" t="inlineStr">
        <is>
          <t>70072-0000</t>
        </is>
      </c>
      <c r="I10" s="308" t="inlineStr">
        <is>
          <t>2.2 mi</t>
        </is>
      </c>
      <c r="J10" s="308" t="inlineStr">
        <is>
          <t>$3,370</t>
        </is>
      </c>
      <c r="K10" s="308" t="inlineStr">
        <is>
          <t>$4,045</t>
        </is>
      </c>
      <c r="L10" s="308" t="inlineStr">
        <is>
          <t>$1,254</t>
        </is>
      </c>
      <c r="M10" s="308" t="inlineStr">
        <is>
          <t>Not Listed</t>
        </is>
      </c>
      <c r="N10" s="308" t="inlineStr">
        <is>
          <t>$3,741</t>
        </is>
      </c>
      <c r="O10" s="308" t="inlineStr">
        <is>
          <t>$4,490</t>
        </is>
      </c>
      <c r="P10" s="308" t="inlineStr">
        <is>
          <t>$1,573</t>
        </is>
      </c>
      <c r="Q10" s="308" t="inlineStr">
        <is>
          <t>Not Listed</t>
        </is>
      </c>
      <c r="R10" s="308" t="inlineStr">
        <is>
          <t>$4,041</t>
        </is>
      </c>
      <c r="S10" s="308" t="inlineStr">
        <is>
          <t>$4,850</t>
        </is>
      </c>
      <c r="T10" s="308" t="inlineStr">
        <is>
          <t>$1,818</t>
        </is>
      </c>
      <c r="U10" s="308" t="inlineStr">
        <is>
          <t>Not Listed</t>
        </is>
      </c>
      <c r="V10" s="308" t="inlineStr">
        <is>
          <t>48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(2 yr diff), 48 units, 2.2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Ames Gardens Estates</t>
        </is>
      </c>
      <c r="E11" s="311" t="inlineStr">
        <is>
          <t>530 Ames Blvd.</t>
        </is>
      </c>
      <c r="F11" s="308" t="inlineStr">
        <is>
          <t>Marrero</t>
        </is>
      </c>
      <c r="G11" s="308" t="inlineStr">
        <is>
          <t>LA</t>
        </is>
      </c>
      <c r="H11" s="308" t="inlineStr">
        <is>
          <t>70072-0000</t>
        </is>
      </c>
      <c r="I11" s="308" t="inlineStr">
        <is>
          <t>0.4 mi</t>
        </is>
      </c>
      <c r="J11" s="308" t="inlineStr">
        <is>
          <t>$3,370</t>
        </is>
      </c>
      <c r="K11" s="308" t="inlineStr">
        <is>
          <t>$4,045</t>
        </is>
      </c>
      <c r="L11" s="308" t="inlineStr">
        <is>
          <t>$1,254</t>
        </is>
      </c>
      <c r="M11" s="308" t="inlineStr">
        <is>
          <t>Not Listed</t>
        </is>
      </c>
      <c r="N11" s="308" t="inlineStr">
        <is>
          <t>$3,741</t>
        </is>
      </c>
      <c r="O11" s="308" t="inlineStr">
        <is>
          <t>$4,490</t>
        </is>
      </c>
      <c r="P11" s="308" t="inlineStr">
        <is>
          <t>$1,573</t>
        </is>
      </c>
      <c r="Q11" s="308" t="inlineStr">
        <is>
          <t>Not Listed</t>
        </is>
      </c>
      <c r="R11" s="308" t="inlineStr">
        <is>
          <t>$4,041</t>
        </is>
      </c>
      <c r="S11" s="308" t="inlineStr">
        <is>
          <t>$4,850</t>
        </is>
      </c>
      <c r="T11" s="308" t="inlineStr">
        <is>
          <t>$1,818</t>
        </is>
      </c>
      <c r="U11" s="308" t="inlineStr">
        <is>
          <t>Not Listed</t>
        </is>
      </c>
      <c r="V11" s="308" t="inlineStr">
        <is>
          <t>48</t>
        </is>
      </c>
      <c r="W11" s="308" t="inlineStr">
        <is>
          <t>2002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2002 vintage (2 yr diff), 48 units, 0.4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Putnam Plaza Apts</t>
        </is>
      </c>
      <c r="E12" s="311" t="inlineStr">
        <is>
          <t>Scattered</t>
        </is>
      </c>
      <c r="F12" s="308" t="inlineStr">
        <is>
          <t>New Orleans</t>
        </is>
      </c>
      <c r="G12" s="308" t="inlineStr">
        <is>
          <t>LA</t>
        </is>
      </c>
      <c r="H12" s="308" t="inlineStr">
        <is>
          <t>70113-0000</t>
        </is>
      </c>
      <c r="I12" s="308" t="inlineStr">
        <is>
          <t>2.7 mi</t>
        </is>
      </c>
      <c r="J12" s="308" t="inlineStr">
        <is>
          <t>$3,370</t>
        </is>
      </c>
      <c r="K12" s="308" t="inlineStr">
        <is>
          <t>$4,045</t>
        </is>
      </c>
      <c r="L12" s="308" t="inlineStr">
        <is>
          <t>$1,254</t>
        </is>
      </c>
      <c r="M12" s="308" t="inlineStr">
        <is>
          <t>Not Listed</t>
        </is>
      </c>
      <c r="N12" s="308" t="inlineStr">
        <is>
          <t>$3,741</t>
        </is>
      </c>
      <c r="O12" s="308" t="inlineStr">
        <is>
          <t>$4,490</t>
        </is>
      </c>
      <c r="P12" s="308" t="inlineStr">
        <is>
          <t>$1,573</t>
        </is>
      </c>
      <c r="Q12" s="308" t="inlineStr">
        <is>
          <t>Not Listed</t>
        </is>
      </c>
      <c r="R12" s="308" t="inlineStr">
        <is>
          <t>$4,041</t>
        </is>
      </c>
      <c r="S12" s="308" t="inlineStr">
        <is>
          <t>$4,850</t>
        </is>
      </c>
      <c r="T12" s="308" t="inlineStr">
        <is>
          <t>$1,818</t>
        </is>
      </c>
      <c r="U12" s="308" t="inlineStr">
        <is>
          <t>Not Listed</t>
        </is>
      </c>
      <c r="V12" s="308" t="inlineStr">
        <is>
          <t>38</t>
        </is>
      </c>
      <c r="W12" s="308" t="inlineStr">
        <is>
          <t>1999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1999 vintage (1 yr diff), 38 units, 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The Waters at Promenade</t>
        </is>
      </c>
      <c r="D13" s="318" t="inlineStr">
        <is>
          <t>COMPETITION</t>
        </is>
      </c>
      <c r="E13" s="319" t="inlineStr">
        <is>
          <t>1600 Promenade Blvd</t>
        </is>
      </c>
      <c r="F13" s="320" t="inlineStr">
        <is>
          <t>Marrero</t>
        </is>
      </c>
      <c r="G13" s="320" t="inlineStr">
        <is>
          <t>LA</t>
        </is>
      </c>
      <c r="H13" s="320" t="inlineStr">
        <is>
          <t>70072</t>
        </is>
      </c>
      <c r="I13" s="320" t="inlineStr">
        <is>
          <t>0.8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1673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1673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$1,818</t>
        </is>
      </c>
      <c r="U13" s="322" t="n">
        <v>2055</v>
      </c>
      <c r="V13" s="320" t="inlineStr">
        <is>
          <t>120</t>
        </is>
      </c>
      <c r="W13" s="320" t="inlineStr">
        <is>
          <t>2001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2001 vintage (1 yr diff), 120 units, 1.2 mi from subject. Shows market-rate rents vs. affordable housing discount.</t>
        </is>
      </c>
      <c r="AF13" s="319" t="inlineStr">
        <is>
          <t>https://www.rentcafe.com/apartments-for-rent/us/la/marrero/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Windsor at Manhattan</t>
        </is>
      </c>
      <c r="E14" s="319" t="inlineStr">
        <is>
          <t>1499 Central Park Blvd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$1,254</t>
        </is>
      </c>
      <c r="M14" s="397" t="n">
        <v>1250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1905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$1,818</t>
        </is>
      </c>
      <c r="U14" s="322" t="n">
        <v>2195</v>
      </c>
      <c r="V14" s="320" t="inlineStr">
        <is>
          <t>96</t>
        </is>
      </c>
      <c r="W14" s="320" t="inlineStr">
        <is>
          <t>1999</t>
        </is>
      </c>
      <c r="X14" s="320" t="inlineStr">
        <is>
          <t>1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1999 vintage (1 yr diff), 96 units, 4.0 mi from subject. Shows market-rate rents vs. affordable housing discount.</t>
        </is>
      </c>
      <c r="AF14" s="319" t="inlineStr">
        <is>
          <t>https://www.rentcafe.com/apartments-for-rent/us/la/harvey/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Emerald Pointe Apartment Homes</t>
        </is>
      </c>
      <c r="E15" s="319" t="inlineStr">
        <is>
          <t>2700 Whitney Ave</t>
        </is>
      </c>
      <c r="F15" s="320" t="inlineStr">
        <is>
          <t>Harvey</t>
        </is>
      </c>
      <c r="G15" s="320" t="inlineStr">
        <is>
          <t>LA</t>
        </is>
      </c>
      <c r="H15" s="320" t="inlineStr">
        <is>
          <t>70058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$1,254</t>
        </is>
      </c>
      <c r="M15" s="397" t="n">
        <v>1300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1354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$1,818</t>
        </is>
      </c>
      <c r="U15" s="322" t="n">
        <v>1538</v>
      </c>
      <c r="V15" s="320" t="inlineStr">
        <is>
          <t>80</t>
        </is>
      </c>
      <c r="W15" s="320" t="inlineStr">
        <is>
          <t>2002</t>
        </is>
      </c>
      <c r="X15" s="320" t="inlineStr">
        <is>
          <t>2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2002 vintage (2 yr diff), 80 units, 6.0 mi from subject. Shows market-rate rents vs. affordable housing discount.</t>
        </is>
      </c>
      <c r="AF15" s="319" t="inlineStr">
        <is>
          <t>https://www.rentcafe.com/apartments-for-rent/us/la/gretna/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 Alley Apartments</t>
        </is>
      </c>
      <c r="E16" s="319" t="inlineStr">
        <is>
          <t>1645 Carol Sue Ave</t>
        </is>
      </c>
      <c r="F16" s="320" t="inlineStr">
        <is>
          <t>Gretna</t>
        </is>
      </c>
      <c r="G16" s="320" t="inlineStr">
        <is>
          <t>LA</t>
        </is>
      </c>
      <c r="H16" s="320" t="inlineStr">
        <is>
          <t>70056</t>
        </is>
      </c>
      <c r="I16" s="320" t="inlineStr">
        <is>
          <t>0.6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1050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$1,573</t>
        </is>
      </c>
      <c r="Q16" s="397" t="n">
        <v>1420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$1,818</t>
        </is>
      </c>
      <c r="U16" s="322" t="n">
        <v>1658</v>
      </c>
      <c r="V16" s="320" t="inlineStr">
        <is>
          <t>64</t>
        </is>
      </c>
      <c r="W16" s="320" t="inlineStr">
        <is>
          <t>2000</t>
        </is>
      </c>
      <c r="X16" s="320" t="inlineStr">
        <is>
          <t>0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2000 vintage (0 yr diff), 64 units, 5.5 mi from subject. Shows market-rate rents vs. affordable housing discount.</t>
        </is>
      </c>
      <c r="AF16" s="319" t="inlineStr">
        <is>
          <t>https://www.rentcafe.com/apartments-for-rent/us/la/gretna/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Marrero, LA</t>
        </is>
      </c>
      <c r="E17" s="325" t="inlineStr">
        <is>
          <t>N/A</t>
        </is>
      </c>
      <c r="F17" s="325" t="inlineStr">
        <is>
          <t>Marrero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$1,254</t>
        </is>
      </c>
      <c r="M17" s="325" t="inlineStr">
        <is>
          <t>$1,254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$1,573</t>
        </is>
      </c>
      <c r="Q17" s="325" t="inlineStr">
        <is>
          <t>$1,573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$1,818</t>
        </is>
      </c>
      <c r="U17" s="325" t="inlineStr">
        <is>
          <t>$1,818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Marrero,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Marrero, LA (Apartments.com, Jun 2026)</t>
        </is>
      </c>
      <c r="E18" s="329" t="inlineStr">
        <is>
          <t>N/A</t>
        </is>
      </c>
      <c r="F18" s="329" t="inlineStr">
        <is>
          <t>Marrero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1318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98" t="n">
        <v>1862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Rents'!E29</f>
        <v/>
      </c>
      <c r="C25" s="400" t="n">
        <v>1318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Rents'!F29</f>
        <v/>
      </c>
      <c r="C26" s="400" t="n">
        <v>1588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Rents'!G29</f>
        <v/>
      </c>
      <c r="C27" s="400" t="n">
        <v>1862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COLONIAL ESTATES  |  THIBODAUX, LA 70301</t>
        </is>
      </c>
      <c r="AD3" s="296" t="inlineStr">
        <is>
          <t>20 - Thibodaux  |  ? Units  |  Section 8 / HUD  |  2BD &amp; 3BD</t>
        </is>
      </c>
    </row>
    <row r="4" ht="18" customFormat="1" customHeight="1" s="273">
      <c r="A4" s="297" t="inlineStr">
        <is>
          <t>1300 Ridgefield Ave, Thibodaux, LA 70301  |  FY2026 FMR: 1BD $739 /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Colonial Estates (SUBJECT)</t>
        </is>
      </c>
      <c r="E8" s="304" t="inlineStr">
        <is>
          <t>1300 Ridgefield Ave</t>
        </is>
      </c>
      <c r="F8" s="305" t="inlineStr">
        <is>
          <t>Thibodaux</t>
        </is>
      </c>
      <c r="G8" s="305" t="inlineStr">
        <is>
          <t>LA</t>
        </is>
      </c>
      <c r="H8" s="305" t="inlineStr">
        <is>
          <t>70301</t>
        </is>
      </c>
      <c r="I8" s="305" t="inlineStr">
        <is>
          <t>0.0 mi</t>
        </is>
      </c>
      <c r="J8" s="305" t="inlineStr">
        <is>
          <t>$2,368</t>
        </is>
      </c>
      <c r="K8" s="305" t="inlineStr">
        <is>
          <t>$2,842</t>
        </is>
      </c>
      <c r="L8" s="305" t="inlineStr">
        <is>
          <t>$739</t>
        </is>
      </c>
      <c r="M8" s="396">
        <f>'Current Rents'!D30</f>
        <v/>
      </c>
      <c r="N8" s="305" t="inlineStr">
        <is>
          <t>$2,841</t>
        </is>
      </c>
      <c r="O8" s="305" t="inlineStr">
        <is>
          <t>$3,410</t>
        </is>
      </c>
      <c r="P8" s="305" t="inlineStr">
        <is>
          <t>$1,012</t>
        </is>
      </c>
      <c r="Q8" s="396">
        <f>'Current Rents'!E30</f>
        <v/>
      </c>
      <c r="R8" s="305" t="inlineStr">
        <is>
          <t>$3,154</t>
        </is>
      </c>
      <c r="S8" s="305" t="inlineStr">
        <is>
          <t>$3,785</t>
        </is>
      </c>
      <c r="T8" s="305" t="inlineStr">
        <is>
          <t>$1,264</t>
        </is>
      </c>
      <c r="U8" s="396">
        <f>'Current Rents'!F30</f>
        <v/>
      </c>
      <c r="V8" s="305" t="inlineStr">
        <is>
          <t>107</t>
        </is>
      </c>
      <c r="W8" s="305" t="inlineStr">
        <is>
          <t>1975</t>
        </is>
      </c>
      <c r="X8" s="305" t="n">
        <v>0</v>
      </c>
      <c r="Y8" s="305" t="inlineStr">
        <is>
          <t>Yes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Bayou Terrace Apartments</t>
        </is>
      </c>
      <c r="E9" s="311" t="inlineStr">
        <is>
          <t>600 Canal Blvd</t>
        </is>
      </c>
      <c r="F9" s="308" t="inlineStr">
        <is>
          <t>Thibodaux</t>
        </is>
      </c>
      <c r="G9" s="308" t="inlineStr">
        <is>
          <t>LA</t>
        </is>
      </c>
      <c r="H9" s="308" t="inlineStr">
        <is>
          <t>70301</t>
        </is>
      </c>
      <c r="I9" s="308" t="inlineStr">
        <is>
          <t>1.5 mi</t>
        </is>
      </c>
      <c r="J9" s="308" t="inlineStr">
        <is>
          <t>$2,368</t>
        </is>
      </c>
      <c r="K9" s="308" t="inlineStr">
        <is>
          <t>$2,842</t>
        </is>
      </c>
      <c r="L9" s="308" t="inlineStr">
        <is>
          <t>$739</t>
        </is>
      </c>
      <c r="M9" s="308" t="inlineStr">
        <is>
          <t>Not Listed</t>
        </is>
      </c>
      <c r="N9" s="308" t="inlineStr">
        <is>
          <t>$2,841</t>
        </is>
      </c>
      <c r="O9" s="308" t="inlineStr">
        <is>
          <t>$3,410</t>
        </is>
      </c>
      <c r="P9" s="308" t="inlineStr">
        <is>
          <t>$1,012</t>
        </is>
      </c>
      <c r="Q9" s="308" t="inlineStr">
        <is>
          <t>Not Listed</t>
        </is>
      </c>
      <c r="R9" s="308" t="inlineStr">
        <is>
          <t>$3,154</t>
        </is>
      </c>
      <c r="S9" s="308" t="inlineStr">
        <is>
          <t>$3,785</t>
        </is>
      </c>
      <c r="T9" s="308" t="inlineStr">
        <is>
          <t>$1,264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1976</t>
        </is>
      </c>
      <c r="X9" s="308" t="inlineStr">
        <is>
          <t>1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Houma Gardens</t>
        </is>
      </c>
      <c r="E10" s="311" t="inlineStr">
        <is>
          <t>1200 Grand Caillou Rd</t>
        </is>
      </c>
      <c r="F10" s="308" t="inlineStr">
        <is>
          <t>Houma</t>
        </is>
      </c>
      <c r="G10" s="308" t="inlineStr">
        <is>
          <t>LA</t>
        </is>
      </c>
      <c r="H10" s="308" t="inlineStr">
        <is>
          <t>70363</t>
        </is>
      </c>
      <c r="I10" s="308" t="inlineStr">
        <is>
          <t>18.0 mi</t>
        </is>
      </c>
      <c r="J10" s="308" t="inlineStr">
        <is>
          <t>$2,368</t>
        </is>
      </c>
      <c r="K10" s="308" t="inlineStr">
        <is>
          <t>$2,842</t>
        </is>
      </c>
      <c r="L10" s="308" t="inlineStr">
        <is>
          <t>$739</t>
        </is>
      </c>
      <c r="M10" s="308" t="inlineStr">
        <is>
          <t>Not Listed</t>
        </is>
      </c>
      <c r="N10" s="308" t="inlineStr">
        <is>
          <t>$2,841</t>
        </is>
      </c>
      <c r="O10" s="308" t="inlineStr">
        <is>
          <t>$3,410</t>
        </is>
      </c>
      <c r="P10" s="308" t="inlineStr">
        <is>
          <t>$1,012</t>
        </is>
      </c>
      <c r="Q10" s="308" t="inlineStr">
        <is>
          <t>Not Listed</t>
        </is>
      </c>
      <c r="R10" s="308" t="inlineStr">
        <is>
          <t>$3,154</t>
        </is>
      </c>
      <c r="S10" s="308" t="inlineStr">
        <is>
          <t>$3,785</t>
        </is>
      </c>
      <c r="T10" s="308" t="inlineStr">
        <is>
          <t>$1,264</t>
        </is>
      </c>
      <c r="U10" s="308" t="inlineStr">
        <is>
          <t>Not Listed</t>
        </is>
      </c>
      <c r="V10" s="308" t="inlineStr">
        <is>
          <t>120</t>
        </is>
      </c>
      <c r="W10" s="308" t="inlineStr">
        <is>
          <t>1975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Morgan City Manor</t>
        </is>
      </c>
      <c r="E11" s="311" t="inlineStr">
        <is>
          <t>700 Brashear Ave</t>
        </is>
      </c>
      <c r="F11" s="308" t="inlineStr">
        <is>
          <t>Morgan City</t>
        </is>
      </c>
      <c r="G11" s="308" t="inlineStr">
        <is>
          <t>LA</t>
        </is>
      </c>
      <c r="H11" s="308" t="inlineStr">
        <is>
          <t>70380</t>
        </is>
      </c>
      <c r="I11" s="308" t="inlineStr">
        <is>
          <t>42.0 mi</t>
        </is>
      </c>
      <c r="J11" s="308" t="inlineStr">
        <is>
          <t>$2,368</t>
        </is>
      </c>
      <c r="K11" s="308" t="inlineStr">
        <is>
          <t>$2,842</t>
        </is>
      </c>
      <c r="L11" s="308" t="inlineStr">
        <is>
          <t>$739</t>
        </is>
      </c>
      <c r="M11" s="308" t="inlineStr">
        <is>
          <t>$670</t>
        </is>
      </c>
      <c r="N11" s="308" t="inlineStr">
        <is>
          <t>$2,841</t>
        </is>
      </c>
      <c r="O11" s="308" t="inlineStr">
        <is>
          <t>$3,410</t>
        </is>
      </c>
      <c r="P11" s="308" t="inlineStr">
        <is>
          <t>$1,012</t>
        </is>
      </c>
      <c r="Q11" s="308" t="inlineStr">
        <is>
          <t>$924</t>
        </is>
      </c>
      <c r="R11" s="308" t="inlineStr">
        <is>
          <t>$3,154</t>
        </is>
      </c>
      <c r="S11" s="308" t="inlineStr">
        <is>
          <t>$3,785</t>
        </is>
      </c>
      <c r="T11" s="308" t="inlineStr">
        <is>
          <t>$1,264</t>
        </is>
      </c>
      <c r="U11" s="308" t="inlineStr">
        <is>
          <t>Not Listed</t>
        </is>
      </c>
      <c r="V11" s="308" t="inlineStr">
        <is>
          <t>96</t>
        </is>
      </c>
      <c r="W11" s="308" t="inlineStr">
        <is>
          <t>1977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Lafourche Parish Housing Authority - Lockport Homes</t>
        </is>
      </c>
      <c r="E12" s="311" t="inlineStr">
        <is>
          <t>200 Main St</t>
        </is>
      </c>
      <c r="F12" s="308" t="inlineStr">
        <is>
          <t>Lockport</t>
        </is>
      </c>
      <c r="G12" s="308" t="inlineStr">
        <is>
          <t>LA</t>
        </is>
      </c>
      <c r="H12" s="308" t="inlineStr">
        <is>
          <t>70374</t>
        </is>
      </c>
      <c r="I12" s="308" t="inlineStr">
        <is>
          <t>12.0 mi</t>
        </is>
      </c>
      <c r="J12" s="308" t="inlineStr">
        <is>
          <t>$2,368</t>
        </is>
      </c>
      <c r="K12" s="308" t="inlineStr">
        <is>
          <t>$2,842</t>
        </is>
      </c>
      <c r="L12" s="308" t="inlineStr">
        <is>
          <t>$739</t>
        </is>
      </c>
      <c r="M12" s="308" t="inlineStr">
        <is>
          <t>Not Listed</t>
        </is>
      </c>
      <c r="N12" s="308" t="inlineStr">
        <is>
          <t>$2,841</t>
        </is>
      </c>
      <c r="O12" s="308" t="inlineStr">
        <is>
          <t>$3,410</t>
        </is>
      </c>
      <c r="P12" s="308" t="inlineStr">
        <is>
          <t>$1,012</t>
        </is>
      </c>
      <c r="Q12" s="308" t="inlineStr">
        <is>
          <t>Not Listed</t>
        </is>
      </c>
      <c r="R12" s="308" t="inlineStr">
        <is>
          <t>$3,154</t>
        </is>
      </c>
      <c r="S12" s="308" t="inlineStr">
        <is>
          <t>$3,785</t>
        </is>
      </c>
      <c r="T12" s="308" t="inlineStr">
        <is>
          <t>$1,264</t>
        </is>
      </c>
      <c r="U12" s="308" t="inlineStr">
        <is>
          <t>Not Listed</t>
        </is>
      </c>
      <c r="V12" s="308" t="inlineStr">
        <is>
          <t>88</t>
        </is>
      </c>
      <c r="W12" s="308" t="inlineStr">
        <is>
          <t>1976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Chateau Audubon Apartments</t>
        </is>
      </c>
      <c r="D13" s="318" t="inlineStr">
        <is>
          <t>COMPETITION</t>
        </is>
      </c>
      <c r="E13" s="319" t="inlineStr">
        <is>
          <t>106 Beham Ct</t>
        </is>
      </c>
      <c r="F13" s="320" t="inlineStr">
        <is>
          <t>Thibodaux</t>
        </is>
      </c>
      <c r="G13" s="320" t="inlineStr">
        <is>
          <t>LA</t>
        </is>
      </c>
      <c r="H13" s="320" t="inlineStr">
        <is>
          <t>70301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$739</t>
        </is>
      </c>
      <c r="M13" s="397" t="n">
        <v>929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$1,012</t>
        </is>
      </c>
      <c r="Q13" s="397" t="n">
        <v>1119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inlineStr">
        <is>
          <t>Phone Verify</t>
        </is>
      </c>
      <c r="V13" s="320" t="inlineStr">
        <is>
          <t>N/A</t>
        </is>
      </c>
      <c r="W13" s="320" t="inlineStr">
        <is>
          <t>1975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Bayou Reserve</t>
        </is>
      </c>
      <c r="E14" s="319" t="inlineStr">
        <is>
          <t>2464 Talbot Ave</t>
        </is>
      </c>
      <c r="F14" s="320" t="inlineStr">
        <is>
          <t>Thibodaux</t>
        </is>
      </c>
      <c r="G14" s="320" t="inlineStr">
        <is>
          <t>LA</t>
        </is>
      </c>
      <c r="H14" s="320" t="inlineStr">
        <is>
          <t>70301</t>
        </is>
      </c>
      <c r="I14" s="320" t="inlineStr">
        <is>
          <t>1.2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800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900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$1,264</t>
        </is>
      </c>
      <c r="U14" s="397" t="n">
        <v>1000</v>
      </c>
      <c r="V14" s="320" t="inlineStr">
        <is>
          <t>N/A</t>
        </is>
      </c>
      <c r="W14" s="320" t="inlineStr">
        <is>
          <t>1978</t>
        </is>
      </c>
      <c r="X14" s="320" t="inlineStr">
        <is>
          <t>3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n"/>
      <c r="AE14" s="324" t="n"/>
      <c r="AF14" s="319" t="n"/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Colonial Estates</t>
        </is>
      </c>
      <c r="E15" s="319" t="inlineStr">
        <is>
          <t>1300 Ridgefield Ave</t>
        </is>
      </c>
      <c r="F15" s="320" t="inlineStr">
        <is>
          <t>Thibodaux</t>
        </is>
      </c>
      <c r="G15" s="320" t="inlineStr">
        <is>
          <t>LA</t>
        </is>
      </c>
      <c r="H15" s="320" t="inlineStr">
        <is>
          <t>70301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900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1000</v>
      </c>
      <c r="V15" s="320" t="inlineStr">
        <is>
          <t>N/A</t>
        </is>
      </c>
      <c r="W15" s="320" t="inlineStr">
        <is>
          <t>1972</t>
        </is>
      </c>
      <c r="X15" s="320" t="inlineStr">
        <is>
          <t>3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n"/>
      <c r="AE15" s="324" t="n"/>
      <c r="AF15" s="319" t="n"/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Turnberry Townhomes</t>
        </is>
      </c>
      <c r="E16" s="319" t="inlineStr">
        <is>
          <t>130 Leighton Dr</t>
        </is>
      </c>
      <c r="F16" s="320" t="inlineStr">
        <is>
          <t>Thibodaux</t>
        </is>
      </c>
      <c r="G16" s="320" t="inlineStr">
        <is>
          <t>LA</t>
        </is>
      </c>
      <c r="H16" s="320" t="inlineStr">
        <is>
          <t>70301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$739</t>
        </is>
      </c>
      <c r="M16" s="397" t="n">
        <v>850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$1,264</t>
        </is>
      </c>
      <c r="U16" s="397" t="n">
        <v>1300</v>
      </c>
      <c r="V16" s="320" t="inlineStr">
        <is>
          <t>N/A</t>
        </is>
      </c>
      <c r="W16" s="320" t="inlineStr">
        <is>
          <t>1978</t>
        </is>
      </c>
      <c r="X16" s="320" t="inlineStr">
        <is>
          <t>3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n"/>
      <c r="AE16" s="324" t="n"/>
      <c r="AF16" s="319" t="n"/>
    </row>
    <row r="17" ht="24.75" customFormat="1" customHeight="1" s="273">
      <c r="A17" s="315" t="inlineStr">
        <is>
          <t>5</t>
        </is>
      </c>
      <c r="B17" s="316" t="inlineStr">
        <is>
          <t>MARKET RATE</t>
        </is>
      </c>
      <c r="C17" s="317" t="inlineStr">
        <is>
          <t>Acadia Villas Apartment Homes</t>
        </is>
      </c>
      <c r="E17" s="319" t="inlineStr">
        <is>
          <t>624 Percy Rd</t>
        </is>
      </c>
      <c r="F17" s="320" t="inlineStr">
        <is>
          <t>Thibodaux</t>
        </is>
      </c>
      <c r="G17" s="320" t="inlineStr">
        <is>
          <t>LA</t>
        </is>
      </c>
      <c r="H17" s="320" t="inlineStr">
        <is>
          <t>70301</t>
        </is>
      </c>
      <c r="I17" s="320" t="inlineStr">
        <is>
          <t>1.1 mi</t>
        </is>
      </c>
      <c r="J17" s="320" t="inlineStr">
        <is>
          <t>N/A (Market Rate)</t>
        </is>
      </c>
      <c r="K17" s="320" t="inlineStr">
        <is>
          <t>N/A (Market Rate)</t>
        </is>
      </c>
      <c r="L17" s="320" t="inlineStr">
        <is>
          <t>N/A (Market Rate)</t>
        </is>
      </c>
      <c r="M17" s="397" t="n">
        <v>1570</v>
      </c>
      <c r="N17" s="320" t="inlineStr">
        <is>
          <t>N/A (Market Rate)</t>
        </is>
      </c>
      <c r="O17" s="320" t="inlineStr">
        <is>
          <t>N/A (Market Rate)</t>
        </is>
      </c>
      <c r="P17" s="320" t="inlineStr">
        <is>
          <t>N/A (Market Rate)</t>
        </is>
      </c>
      <c r="Q17" s="397" t="n">
        <v>1662</v>
      </c>
      <c r="R17" s="320" t="inlineStr">
        <is>
          <t>N/A (Market Rate)</t>
        </is>
      </c>
      <c r="S17" s="320" t="inlineStr">
        <is>
          <t>N/A (Market Rate)</t>
        </is>
      </c>
      <c r="T17" s="320" t="inlineStr">
        <is>
          <t>N/A (Market Rate)</t>
        </is>
      </c>
      <c r="U17" s="397" t="n">
        <v>1735</v>
      </c>
      <c r="V17" s="320" t="inlineStr">
        <is>
          <t>N/A</t>
        </is>
      </c>
      <c r="W17" s="320" t="inlineStr">
        <is>
          <t>N/A</t>
        </is>
      </c>
      <c r="X17" s="320" t="inlineStr">
        <is>
          <t>N/A</t>
        </is>
      </c>
      <c r="Y17" s="320" t="inlineStr">
        <is>
          <t>N/A</t>
        </is>
      </c>
      <c r="Z17" s="320" t="inlineStr">
        <is>
          <t>N/A</t>
        </is>
      </c>
      <c r="AA17" s="320" t="inlineStr">
        <is>
          <t>N/A</t>
        </is>
      </c>
      <c r="AB17" s="320" t="inlineStr">
        <is>
          <t>N/A</t>
        </is>
      </c>
      <c r="AC17" s="320" t="inlineStr">
        <is>
          <t>N/A</t>
        </is>
      </c>
      <c r="AD17" s="323" t="n"/>
      <c r="AE17" s="324" t="n"/>
      <c r="AF17" s="319" t="n"/>
    </row>
    <row r="18" ht="24.75" customFormat="1" customHeight="1" s="273">
      <c r="A18" s="315" t="inlineStr">
        <is>
          <t>6</t>
        </is>
      </c>
      <c r="B18" s="316" t="inlineStr">
        <is>
          <t>MARKET RATE</t>
        </is>
      </c>
      <c r="C18" s="317" t="inlineStr">
        <is>
          <t>Maple Grove Cottages</t>
        </is>
      </c>
      <c r="E18" s="319" t="inlineStr">
        <is>
          <t>319 Robert St</t>
        </is>
      </c>
      <c r="F18" s="320" t="inlineStr">
        <is>
          <t>Thibodaux</t>
        </is>
      </c>
      <c r="G18" s="320" t="inlineStr">
        <is>
          <t>LA</t>
        </is>
      </c>
      <c r="H18" s="320" t="inlineStr">
        <is>
          <t>70301</t>
        </is>
      </c>
      <c r="I18" s="320" t="inlineStr">
        <is>
          <t>2.0 mi</t>
        </is>
      </c>
      <c r="J18" s="320" t="inlineStr">
        <is>
          <t>$812</t>
        </is>
      </c>
      <c r="K18" s="320" t="inlineStr">
        <is>
          <t>$812</t>
        </is>
      </c>
      <c r="L18" s="320" t="inlineStr">
        <is>
          <t>$812</t>
        </is>
      </c>
      <c r="M18" s="322" t="inlineStr">
        <is>
          <t>Phone Verify</t>
        </is>
      </c>
      <c r="N18" s="320" t="inlineStr">
        <is>
          <t>N/A (Market Rate)</t>
        </is>
      </c>
      <c r="O18" s="320" t="inlineStr">
        <is>
          <t>N/A (Market Rate)</t>
        </is>
      </c>
      <c r="P18" s="320" t="inlineStr">
        <is>
          <t>N/A (Market Rate)</t>
        </is>
      </c>
      <c r="Q18" s="397" t="n">
        <v>1680</v>
      </c>
      <c r="R18" s="320" t="inlineStr">
        <is>
          <t>$1,390</t>
        </is>
      </c>
      <c r="S18" s="320" t="inlineStr">
        <is>
          <t>$1,390</t>
        </is>
      </c>
      <c r="T18" s="320" t="inlineStr">
        <is>
          <t>$1,390</t>
        </is>
      </c>
      <c r="U18" s="322" t="n">
        <v>1875</v>
      </c>
      <c r="V18" s="320" t="inlineStr">
        <is>
          <t>N/A</t>
        </is>
      </c>
      <c r="W18" s="320" t="inlineStr">
        <is>
          <t>N/A</t>
        </is>
      </c>
      <c r="X18" s="320" t="inlineStr">
        <is>
          <t>N/A</t>
        </is>
      </c>
      <c r="Y18" s="320" t="inlineStr">
        <is>
          <t>N/A</t>
        </is>
      </c>
      <c r="Z18" s="320" t="inlineStr">
        <is>
          <t>N/A</t>
        </is>
      </c>
      <c r="AA18" s="320" t="inlineStr">
        <is>
          <t>N/A</t>
        </is>
      </c>
      <c r="AB18" s="320" t="inlineStr">
        <is>
          <t>N/A</t>
        </is>
      </c>
      <c r="AC18" s="320" t="inlineStr">
        <is>
          <t>N/A</t>
        </is>
      </c>
      <c r="AD18" s="323" t="n"/>
      <c r="AE18" s="324" t="n"/>
      <c r="AF18" s="319" t="n"/>
    </row>
    <row r="19" ht="28.5" customFormat="1" customHeight="1" s="273">
      <c r="A19" s="325" t="inlineStr">
        <is>
          <t>—</t>
        </is>
      </c>
      <c r="B19" s="326" t="inlineStr">
        <is>
          <t>BENCHMARK</t>
        </is>
      </c>
      <c r="C19" s="327" t="inlineStr">
        <is>
          <t>FY2026 FMR — Thibodaux, LA</t>
        </is>
      </c>
      <c r="E19" s="325" t="inlineStr">
        <is>
          <t>N/A</t>
        </is>
      </c>
      <c r="F19" s="325" t="inlineStr">
        <is>
          <t>Thibodaux</t>
        </is>
      </c>
      <c r="G19" s="325" t="inlineStr">
        <is>
          <t>LA</t>
        </is>
      </c>
      <c r="H19" s="325" t="n"/>
      <c r="I19" s="325" t="n"/>
      <c r="J19" s="325" t="inlineStr">
        <is>
          <t>N/A</t>
        </is>
      </c>
      <c r="K19" s="325" t="inlineStr">
        <is>
          <t>N/A</t>
        </is>
      </c>
      <c r="L19" s="325" t="inlineStr">
        <is>
          <t>$739</t>
        </is>
      </c>
      <c r="M19" s="325" t="inlineStr">
        <is>
          <t>$739</t>
        </is>
      </c>
      <c r="N19" s="325" t="inlineStr">
        <is>
          <t>N/A</t>
        </is>
      </c>
      <c r="O19" s="325" t="inlineStr">
        <is>
          <t>N/A</t>
        </is>
      </c>
      <c r="P19" s="325" t="inlineStr">
        <is>
          <t>$1,012</t>
        </is>
      </c>
      <c r="Q19" s="325" t="inlineStr">
        <is>
          <t>$1,012</t>
        </is>
      </c>
      <c r="R19" s="325" t="inlineStr">
        <is>
          <t>N/A</t>
        </is>
      </c>
      <c r="S19" s="325" t="inlineStr">
        <is>
          <t>N/A</t>
        </is>
      </c>
      <c r="T19" s="325" t="inlineStr">
        <is>
          <t>$1,264</t>
        </is>
      </c>
      <c r="U19" s="325" t="inlineStr">
        <is>
          <t>$1,264</t>
        </is>
      </c>
      <c r="V19" s="325" t="n"/>
      <c r="W19" s="325" t="n"/>
      <c r="X19" s="325" t="n"/>
      <c r="Y19" s="325" t="n"/>
      <c r="Z19" s="325" t="n"/>
      <c r="AA19" s="325" t="n"/>
      <c r="AB19" s="325" t="n"/>
      <c r="AC19" s="325" t="n"/>
      <c r="AD19" s="316" t="inlineStr">
        <is>
          <t>BENCHMARK</t>
        </is>
      </c>
      <c r="AE19" s="328" t="inlineStr">
        <is>
          <t>HUD Fair Market Rent for Thibodaux, LA metro area, FY2026.</t>
        </is>
      </c>
      <c r="AF19" s="328" t="inlineStr">
        <is>
          <t>HUD FMR Database (huduser.gov)</t>
        </is>
      </c>
    </row>
    <row r="20" ht="34.5" customFormat="1" customHeight="1" s="273">
      <c r="A20" s="329" t="inlineStr">
        <is>
          <t>—</t>
        </is>
      </c>
      <c r="B20" s="326" t="inlineStr">
        <is>
          <t>BENCHMARK</t>
        </is>
      </c>
      <c r="C20" s="330" t="inlineStr">
        <is>
          <t>Metro Market Avg — Thibodaux, LA (Apartments.com, Jun 2026)</t>
        </is>
      </c>
      <c r="E20" s="329" t="inlineStr">
        <is>
          <t>N/A</t>
        </is>
      </c>
      <c r="F20" s="329" t="inlineStr">
        <is>
          <t>Thibodaux</t>
        </is>
      </c>
      <c r="G20" s="329" t="inlineStr">
        <is>
          <t>LA</t>
        </is>
      </c>
      <c r="H20" s="329" t="n"/>
      <c r="I20" s="329" t="n"/>
      <c r="J20" s="329" t="n"/>
      <c r="K20" s="329" t="n"/>
      <c r="L20" s="329" t="n"/>
      <c r="M20" s="398" t="n">
        <v>990</v>
      </c>
      <c r="N20" s="329" t="n"/>
      <c r="O20" s="329" t="n"/>
      <c r="P20" s="329" t="n"/>
      <c r="Q20" s="398" t="n">
        <v>1256</v>
      </c>
      <c r="R20" s="329" t="n"/>
      <c r="S20" s="329" t="n"/>
      <c r="T20" s="329" t="n"/>
      <c r="U20" s="398" t="n">
        <v>1382</v>
      </c>
      <c r="V20" s="329" t="n"/>
      <c r="W20" s="329" t="n"/>
      <c r="X20" s="329" t="n"/>
      <c r="Y20" s="329" t="n"/>
      <c r="Z20" s="329" t="n"/>
      <c r="AA20" s="329" t="n"/>
      <c r="AB20" s="329" t="n"/>
      <c r="AC20" s="329" t="n"/>
      <c r="AD20" s="316" t="inlineStr">
        <is>
          <t>BENCHMARK</t>
        </is>
      </c>
      <c r="AE20" s="332" t="inlineStr">
        <is>
          <t>Average of 6 market-rate comps. Apartments.com verified, Jun 2026.</t>
        </is>
      </c>
      <c r="AF20" s="332" t="inlineStr">
        <is>
          <t>Apartments.com + Market Estimate</t>
        </is>
      </c>
    </row>
    <row r="22" ht="14.25" customFormat="1" customHeight="1" s="273">
      <c r="A22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4" ht="18" customFormat="1" customHeight="1" s="273">
      <c r="A24" s="334" t="inlineStr">
        <is>
          <t>CURRENT RENT vs. MARKET AVERAGE</t>
        </is>
      </c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15.75" customFormat="1" customHeight="1" s="273">
      <c r="A25" s="335" t="inlineStr">
        <is>
          <t>Market Average = Avg of Actual Advertised Rents from 6 Market-Rate Comps (Apartments.com verified)</t>
        </is>
      </c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15.75" customFormat="1" customHeight="1" s="273">
      <c r="A26" s="273" t="n"/>
      <c r="B26" s="336" t="inlineStr">
        <is>
          <t>Current Rents</t>
        </is>
      </c>
      <c r="C26" s="336" t="inlineStr">
        <is>
          <t>Market Avg</t>
        </is>
      </c>
      <c r="E26" s="336" t="inlineStr">
        <is>
          <t>Difference</t>
        </is>
      </c>
      <c r="F26" s="273" t="n"/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1BD</t>
        </is>
      </c>
      <c r="B27" s="399">
        <f>'Current Rents'!D30</f>
        <v/>
      </c>
      <c r="C27" s="400" t="n">
        <v>990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  <row r="28" ht="20.25" customFormat="1" customHeight="1" s="273">
      <c r="A28" s="337" t="inlineStr">
        <is>
          <t>2BD</t>
        </is>
      </c>
      <c r="B28" s="399">
        <f>'Current Rents'!E30</f>
        <v/>
      </c>
      <c r="C28" s="400" t="n">
        <v>1256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</row>
    <row r="29" ht="20.25" customFormat="1" customHeight="1" s="273">
      <c r="A29" s="337" t="inlineStr">
        <is>
          <t>3BD</t>
        </is>
      </c>
      <c r="B29" s="399">
        <f>'Current Rents'!F30</f>
        <v/>
      </c>
      <c r="C29" s="400" t="n">
        <v>1382</v>
      </c>
      <c r="D29" s="273" t="n"/>
      <c r="E29" s="401">
        <f>B29-C29</f>
        <v/>
      </c>
      <c r="F29" s="161">
        <f>IF(E29&lt;-75,"LOOK INTO INCREASING THE RENT!","")</f>
        <v/>
      </c>
      <c r="G29" s="273" t="n"/>
      <c r="H29" s="273" t="n"/>
      <c r="I29" s="273" t="n"/>
      <c r="J29" s="273" t="n"/>
      <c r="K29" s="273" t="n"/>
      <c r="L29" s="273" t="n"/>
      <c r="M29" s="273" t="n"/>
      <c r="N29" s="273" t="n"/>
      <c r="O29" s="273" t="n"/>
      <c r="P29" s="273" t="n"/>
      <c r="Q29" s="273" t="n"/>
      <c r="R29" s="273" t="n"/>
      <c r="S29" s="273" t="n"/>
      <c r="T29" s="273" t="n"/>
      <c r="U29" s="273" t="n"/>
      <c r="V29" s="273" t="n"/>
      <c r="W29" s="273" t="n"/>
      <c r="X29" s="273" t="n"/>
      <c r="Y29" s="273" t="n"/>
      <c r="Z29" s="273" t="n"/>
      <c r="AA29" s="273" t="n"/>
      <c r="AB29" s="273" t="n"/>
      <c r="AC29" s="273" t="n"/>
      <c r="AD29" s="273" t="n"/>
      <c r="AE29" s="273" t="n"/>
      <c r="AF29" s="273" t="n"/>
    </row>
  </sheetData>
  <mergeCells count="18">
    <mergeCell ref="C20:D20"/>
    <mergeCell ref="C12:D12"/>
    <mergeCell ref="C10:D10"/>
    <mergeCell ref="C7:D7"/>
    <mergeCell ref="D13:D18"/>
    <mergeCell ref="A5:AF5"/>
    <mergeCell ref="A24:H24"/>
    <mergeCell ref="C11:D11"/>
    <mergeCell ref="A25:H25"/>
    <mergeCell ref="C19:D19"/>
    <mergeCell ref="A6:AF6"/>
    <mergeCell ref="A22:AF22"/>
    <mergeCell ref="A3:AC3"/>
    <mergeCell ref="AD3:AF3"/>
    <mergeCell ref="A4:AF4"/>
    <mergeCell ref="C9:D9"/>
    <mergeCell ref="C26:D26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MARRERO 3  |  HARVEY, LA 70058</t>
        </is>
      </c>
      <c r="Z3" s="296" t="inlineStr">
        <is>
          <t>40 - Marrero  |  ? Units  |  Section 8 / HUD  |  2BD &amp; 3BD</t>
        </is>
      </c>
    </row>
    <row r="4" ht="18" customFormat="1" customHeight="1" s="273">
      <c r="A4" s="297" t="inlineStr">
        <is>
          <t>1050 Manhattan Blvd, Harvey, LA 70058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Marrero 3 (SUBJECT)</t>
        </is>
      </c>
      <c r="E8" s="304" t="inlineStr">
        <is>
          <t>1050 Manhattan Blvd</t>
        </is>
      </c>
      <c r="F8" s="305" t="inlineStr">
        <is>
          <t>Harvey</t>
        </is>
      </c>
      <c r="G8" s="305" t="inlineStr">
        <is>
          <t>LA</t>
        </is>
      </c>
      <c r="H8" s="305" t="inlineStr">
        <is>
          <t>70058</t>
        </is>
      </c>
      <c r="I8" s="305" t="inlineStr">
        <is>
          <t>0.0 mi</t>
        </is>
      </c>
      <c r="J8" s="305" t="inlineStr">
        <is>
          <t>$3,741</t>
        </is>
      </c>
      <c r="K8" s="305" t="inlineStr">
        <is>
          <t>$4,490</t>
        </is>
      </c>
      <c r="L8" s="305" t="inlineStr">
        <is>
          <t>$1,573</t>
        </is>
      </c>
      <c r="M8" s="396">
        <f>'Current Rents'!F31</f>
        <v/>
      </c>
      <c r="N8" s="305" t="inlineStr">
        <is>
          <t>$4,041</t>
        </is>
      </c>
      <c r="O8" s="305" t="inlineStr">
        <is>
          <t>$4,850</t>
        </is>
      </c>
      <c r="P8" s="305" t="inlineStr">
        <is>
          <t>$1,818</t>
        </is>
      </c>
      <c r="Q8" s="396">
        <f>'Current Rents'!G31</f>
        <v/>
      </c>
      <c r="R8" s="305" t="inlineStr">
        <is>
          <t>173</t>
        </is>
      </c>
      <c r="S8" s="305" t="inlineStr">
        <is>
          <t>1968</t>
        </is>
      </c>
      <c r="T8" s="305" t="n">
        <v>0</v>
      </c>
      <c r="U8" s="305" t="inlineStr">
        <is>
          <t>Yes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173 units | Section 8/HUD property. Year built: 1968.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Westchase Apartments</t>
        </is>
      </c>
      <c r="E9" s="311" t="inlineStr">
        <is>
          <t>1013 Manhattan Blvd</t>
        </is>
      </c>
      <c r="F9" s="308" t="inlineStr">
        <is>
          <t>Harvey</t>
        </is>
      </c>
      <c r="G9" s="308" t="inlineStr">
        <is>
          <t>LA</t>
        </is>
      </c>
      <c r="H9" s="308" t="inlineStr">
        <is>
          <t>70058</t>
        </is>
      </c>
      <c r="I9" s="308" t="inlineStr">
        <is>
          <t>0.3 mi</t>
        </is>
      </c>
      <c r="J9" s="308" t="inlineStr">
        <is>
          <t>$3,741</t>
        </is>
      </c>
      <c r="K9" s="308" t="inlineStr">
        <is>
          <t>$4,490</t>
        </is>
      </c>
      <c r="L9" s="308" t="inlineStr">
        <is>
          <t>$1,573</t>
        </is>
      </c>
      <c r="M9" s="308" t="inlineStr">
        <is>
          <t>Not Listed</t>
        </is>
      </c>
      <c r="N9" s="308" t="inlineStr">
        <is>
          <t>$4,041</t>
        </is>
      </c>
      <c r="O9" s="308" t="inlineStr">
        <is>
          <t>$4,850</t>
        </is>
      </c>
      <c r="P9" s="308" t="inlineStr">
        <is>
          <t>$1,818</t>
        </is>
      </c>
      <c r="Q9" s="308" t="inlineStr">
        <is>
          <t>Not Listed</t>
        </is>
      </c>
      <c r="R9" s="308" t="inlineStr">
        <is>
          <t>200</t>
        </is>
      </c>
      <c r="S9" s="308" t="inlineStr">
        <is>
          <t>1970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Section 8/HUD property, 1970 vintage (2 yr diff), 200 units, 0.3 mi from subject. Same income-eligible renter pool.</t>
        </is>
      </c>
      <c r="AB9" s="311" t="inlineStr">
        <is>
          <t>AffordableHousingOnline.com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Gretna Manor Apartments</t>
        </is>
      </c>
      <c r="E10" s="311" t="inlineStr">
        <is>
          <t>400 Huey P Long Ave</t>
        </is>
      </c>
      <c r="F10" s="308" t="inlineStr">
        <is>
          <t>Gretna</t>
        </is>
      </c>
      <c r="G10" s="308" t="inlineStr">
        <is>
          <t>LA</t>
        </is>
      </c>
      <c r="H10" s="308" t="inlineStr">
        <is>
          <t>70053</t>
        </is>
      </c>
      <c r="I10" s="308" t="inlineStr">
        <is>
          <t>3.5 mi</t>
        </is>
      </c>
      <c r="J10" s="308" t="inlineStr">
        <is>
          <t>$3,741</t>
        </is>
      </c>
      <c r="K10" s="308" t="inlineStr">
        <is>
          <t>$4,490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$4,041</t>
        </is>
      </c>
      <c r="O10" s="308" t="inlineStr">
        <is>
          <t>$4,850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180</t>
        </is>
      </c>
      <c r="S10" s="308" t="inlineStr">
        <is>
          <t>1972</t>
        </is>
      </c>
      <c r="T10" s="308" t="inlineStr">
        <is>
          <t>4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Section 8/HUD property, 1972 vintage (4 yr diff), 180 units, 3.5 mi from subject. Same income-eligible renter pool.</t>
        </is>
      </c>
      <c r="AB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Orleans East Apartments</t>
        </is>
      </c>
      <c r="E11" s="311" t="inlineStr">
        <is>
          <t>6000 Read Blvd</t>
        </is>
      </c>
      <c r="F11" s="308" t="inlineStr">
        <is>
          <t>New Orleans</t>
        </is>
      </c>
      <c r="G11" s="308" t="inlineStr">
        <is>
          <t>LA</t>
        </is>
      </c>
      <c r="H11" s="308" t="inlineStr">
        <is>
          <t>70127</t>
        </is>
      </c>
      <c r="I11" s="308" t="inlineStr">
        <is>
          <t>12.0 mi</t>
        </is>
      </c>
      <c r="J11" s="308" t="inlineStr">
        <is>
          <t>$3,741</t>
        </is>
      </c>
      <c r="K11" s="308" t="inlineStr">
        <is>
          <t>$4,490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$4,041</t>
        </is>
      </c>
      <c r="O11" s="308" t="inlineStr">
        <is>
          <t>$4,850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160</t>
        </is>
      </c>
      <c r="S11" s="308" t="inlineStr">
        <is>
          <t>1970</t>
        </is>
      </c>
      <c r="T11" s="308" t="inlineStr">
        <is>
          <t>2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Section 8/HUD property, 1970 vintage (2 yr diff), 160 units, 12.0 mi from subject. Same income-eligible renter pool.</t>
        </is>
      </c>
      <c r="AB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Jefferson Parish Housing Authority - Woodmere Homes</t>
        </is>
      </c>
      <c r="E12" s="311" t="inlineStr">
        <is>
          <t>1200 Woodmere Blvd</t>
        </is>
      </c>
      <c r="F12" s="308" t="inlineStr">
        <is>
          <t>Harvey</t>
        </is>
      </c>
      <c r="G12" s="308" t="inlineStr">
        <is>
          <t>LA</t>
        </is>
      </c>
      <c r="H12" s="308" t="inlineStr">
        <is>
          <t>70058</t>
        </is>
      </c>
      <c r="I12" s="308" t="inlineStr">
        <is>
          <t>2.1 mi</t>
        </is>
      </c>
      <c r="J12" s="308" t="inlineStr">
        <is>
          <t>$3,741</t>
        </is>
      </c>
      <c r="K12" s="308" t="inlineStr">
        <is>
          <t>$4,490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$4,041</t>
        </is>
      </c>
      <c r="O12" s="308" t="inlineStr">
        <is>
          <t>$4,850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180</t>
        </is>
      </c>
      <c r="S12" s="308" t="inlineStr">
        <is>
          <t>1969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Public Housing/HUD property, 1969 vintage (1 yr diff), 180 units, 2.1 mi from subject. Same income-eligible renter pool.</t>
        </is>
      </c>
      <c r="AB12" s="311" t="inlineStr">
        <is>
          <t>Jefferson Parish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Windsor at Manhattan</t>
        </is>
      </c>
      <c r="D13" s="318" t="inlineStr">
        <is>
          <t>COMPETITION</t>
        </is>
      </c>
      <c r="E13" s="319" t="inlineStr">
        <is>
          <t>1499 Central Park Blvd</t>
        </is>
      </c>
      <c r="F13" s="320" t="inlineStr">
        <is>
          <t>Harvey</t>
        </is>
      </c>
      <c r="G13" s="320" t="inlineStr">
        <is>
          <t>LA</t>
        </is>
      </c>
      <c r="H13" s="320" t="inlineStr">
        <is>
          <t>70058</t>
        </is>
      </c>
      <c r="I13" s="320" t="inlineStr">
        <is>
          <t>0.4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2100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n">
        <v>1905</v>
      </c>
      <c r="R13" s="320" t="inlineStr">
        <is>
          <t>N/A</t>
        </is>
      </c>
      <c r="S13" s="320" t="inlineStr">
        <is>
          <t>1968</t>
        </is>
      </c>
      <c r="T13" s="320" t="inlineStr">
        <is>
          <t>0</t>
        </is>
      </c>
      <c r="U13" s="320" t="n">
        <v>2195</v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1968 vintage (0 yr diff), N/A units, N/A from subject. Shows market-rate rents vs. affordable housing discount.</t>
        </is>
      </c>
      <c r="AB13" s="319" t="inlineStr">
        <is>
          <t>HUD FY2026 FMR - Jefferson Parish, LA (limited market rate listings for 1958-1978 vintage)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Emerald Pointe Apartment Homes</t>
        </is>
      </c>
      <c r="E14" s="319" t="inlineStr">
        <is>
          <t>2700 Whitney Ave</t>
        </is>
      </c>
      <c r="F14" s="320" t="inlineStr">
        <is>
          <t>Harvey</t>
        </is>
      </c>
      <c r="G14" s="320" t="inlineStr">
        <is>
          <t>LA</t>
        </is>
      </c>
      <c r="H14" s="320" t="inlineStr">
        <is>
          <t>70058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2000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n">
        <v>1354</v>
      </c>
      <c r="R14" s="320" t="inlineStr">
        <is>
          <t>N/A</t>
        </is>
      </c>
      <c r="S14" s="320" t="inlineStr">
        <is>
          <t>1965</t>
        </is>
      </c>
      <c r="T14" s="320" t="inlineStr">
        <is>
          <t>3</t>
        </is>
      </c>
      <c r="U14" s="320" t="n">
        <v>1538</v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1965 vintage (3 yr diff), N/A units, 3.0 mi from subject. Shows market-rate rents vs. affordable housing discount.</t>
        </is>
      </c>
      <c r="AB14" s="319" t="inlineStr">
        <is>
          <t>HUD FY2026 FMR - Jefferson Parish, LA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Oak Alley Apartments</t>
        </is>
      </c>
      <c r="E15" s="319" t="inlineStr">
        <is>
          <t>1645 Carol Sue Ave</t>
        </is>
      </c>
      <c r="F15" s="320" t="inlineStr">
        <is>
          <t>Gretna</t>
        </is>
      </c>
      <c r="G15" s="320" t="inlineStr">
        <is>
          <t>LA</t>
        </is>
      </c>
      <c r="H15" s="320" t="inlineStr">
        <is>
          <t>70056</t>
        </is>
      </c>
      <c r="I15" s="320" t="inlineStr">
        <is>
          <t>1.2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1800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n">
        <v>1420</v>
      </c>
      <c r="R15" s="320" t="inlineStr">
        <is>
          <t>N/A</t>
        </is>
      </c>
      <c r="S15" s="320" t="inlineStr">
        <is>
          <t>1970</t>
        </is>
      </c>
      <c r="T15" s="320" t="inlineStr">
        <is>
          <t>2</t>
        </is>
      </c>
      <c r="U15" s="320" t="n">
        <v>1658</v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1970 vintage (2 yr diff), N/A units, 5.0 mi from subject. Shows market-rate rents vs. affordable housing discount.</t>
        </is>
      </c>
      <c r="AB15" s="319" t="inlineStr">
        <is>
          <t>HUD FY2026 FMR - Jefferson Parish, LA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Waters at Promenade</t>
        </is>
      </c>
      <c r="E16" s="319" t="inlineStr">
        <is>
          <t>1600 Promenade Blvd</t>
        </is>
      </c>
      <c r="F16" s="320" t="inlineStr">
        <is>
          <t>Marrero</t>
        </is>
      </c>
      <c r="G16" s="320" t="inlineStr">
        <is>
          <t>LA</t>
        </is>
      </c>
      <c r="H16" s="320" t="inlineStr">
        <is>
          <t>70072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1550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1673</v>
      </c>
      <c r="R16" s="320" t="inlineStr">
        <is>
          <t>N/A</t>
        </is>
      </c>
      <c r="S16" s="320" t="inlineStr">
        <is>
          <t>1966</t>
        </is>
      </c>
      <c r="T16" s="320" t="inlineStr">
        <is>
          <t>2</t>
        </is>
      </c>
      <c r="U16" s="320" t="n">
        <v>2055</v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1966 vintage (2 yr diff), N/A units, 7.0 mi from subject. Shows market-rate rents vs. affordable housing discount.</t>
        </is>
      </c>
      <c r="AB16" s="319" t="inlineStr">
        <is>
          <t>HUD FY2026 FMR - Jefferson Parish, LA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Harvey, LA</t>
        </is>
      </c>
      <c r="E17" s="325" t="inlineStr">
        <is>
          <t>N/A</t>
        </is>
      </c>
      <c r="F17" s="325" t="inlineStr">
        <is>
          <t>Harvey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Harvey,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Harvey, LA (Apartments.com, Jun 2026)</t>
        </is>
      </c>
      <c r="E18" s="329" t="inlineStr">
        <is>
          <t>N/A</t>
        </is>
      </c>
      <c r="F18" s="329" t="inlineStr">
        <is>
          <t>Harvey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1862</v>
      </c>
      <c r="N18" s="329" t="n"/>
      <c r="O18" s="329" t="n"/>
      <c r="P18" s="329" t="n"/>
      <c r="Q18" s="398" t="n">
        <v>1588</v>
      </c>
      <c r="R18" s="329" t="n"/>
      <c r="S18" s="329" t="n"/>
      <c r="T18" s="329" t="n"/>
      <c r="U18" s="329" t="n">
        <v>1862</v>
      </c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Rents'!F31</f>
        <v/>
      </c>
      <c r="C25" s="400" t="n">
        <v>1588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Rents'!G31</f>
        <v/>
      </c>
      <c r="C26" s="400" t="n">
        <v>1862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ARBOR CREST  |  QUINCY, FL 32351</t>
        </is>
      </c>
      <c r="AD3" s="296" t="inlineStr">
        <is>
          <t>37 - Arbor Crest  |  ? Units  |  Section 8 / HUD  |  2BD &amp; 3BD</t>
        </is>
      </c>
    </row>
    <row r="4" ht="18" customFormat="1" customHeight="1" s="273">
      <c r="A4" s="297" t="inlineStr">
        <is>
          <t>64 N Cleveland Street, Quincy, FL 32351  |  FY2026 FMR: 1BD $800 / 2BD $1,095 / 3BD $1,372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Arbor Crest (SUBJECT)</t>
        </is>
      </c>
      <c r="E8" s="304" t="inlineStr">
        <is>
          <t>64 N Cleveland Street</t>
        </is>
      </c>
      <c r="F8" s="305" t="inlineStr">
        <is>
          <t>Quincy</t>
        </is>
      </c>
      <c r="G8" s="305" t="inlineStr">
        <is>
          <t>FL</t>
        </is>
      </c>
      <c r="H8" s="305" t="inlineStr">
        <is>
          <t>32351</t>
        </is>
      </c>
      <c r="I8" s="305" t="inlineStr">
        <is>
          <t>0.0 mi</t>
        </is>
      </c>
      <c r="J8" s="305" t="inlineStr">
        <is>
          <t>$2,887</t>
        </is>
      </c>
      <c r="K8" s="305" t="inlineStr">
        <is>
          <t>$3,465</t>
        </is>
      </c>
      <c r="L8" s="305" t="inlineStr">
        <is>
          <t>$800</t>
        </is>
      </c>
      <c r="M8" s="396">
        <f>'Current Rents'!D32</f>
        <v/>
      </c>
      <c r="N8" s="305" t="inlineStr">
        <is>
          <t>$3,462</t>
        </is>
      </c>
      <c r="O8" s="305" t="inlineStr">
        <is>
          <t>$4,155</t>
        </is>
      </c>
      <c r="P8" s="305" t="inlineStr">
        <is>
          <t>$1,095</t>
        </is>
      </c>
      <c r="Q8" s="396">
        <f>'Current Rents'!E32</f>
        <v/>
      </c>
      <c r="R8" s="305" t="inlineStr">
        <is>
          <t>$3,845</t>
        </is>
      </c>
      <c r="S8" s="305" t="inlineStr">
        <is>
          <t>$4,615</t>
        </is>
      </c>
      <c r="T8" s="305" t="inlineStr">
        <is>
          <t>$1,372</t>
        </is>
      </c>
      <c r="U8" s="396">
        <f>'Current Rents'!F32</f>
        <v/>
      </c>
      <c r="V8" s="305" t="inlineStr">
        <is>
          <t>120</t>
        </is>
      </c>
      <c r="W8" s="305" t="inlineStr">
        <is>
          <t>1995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120 units | LIHTC property. Year built: 1995.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Springwood - Tallahassee</t>
        </is>
      </c>
      <c r="E9" s="311" t="inlineStr">
        <is>
          <t>2660 Old Bainbridge Rd</t>
        </is>
      </c>
      <c r="F9" s="308" t="inlineStr">
        <is>
          <t>Tallahassee</t>
        </is>
      </c>
      <c r="G9" s="308" t="inlineStr">
        <is>
          <t>FL</t>
        </is>
      </c>
      <c r="H9" s="308" t="inlineStr">
        <is>
          <t>32303</t>
        </is>
      </c>
      <c r="I9" s="308" t="inlineStr">
        <is>
          <t>17.4 mi</t>
        </is>
      </c>
      <c r="J9" s="308" t="inlineStr">
        <is>
          <t>$2,887</t>
        </is>
      </c>
      <c r="K9" s="308" t="inlineStr">
        <is>
          <t>$3,465</t>
        </is>
      </c>
      <c r="L9" s="308" t="inlineStr">
        <is>
          <t>$800</t>
        </is>
      </c>
      <c r="M9" s="308" t="inlineStr">
        <is>
          <t>Not Listed</t>
        </is>
      </c>
      <c r="N9" s="308" t="inlineStr">
        <is>
          <t>$3,462</t>
        </is>
      </c>
      <c r="O9" s="308" t="inlineStr">
        <is>
          <t>$4,155</t>
        </is>
      </c>
      <c r="P9" s="308" t="inlineStr">
        <is>
          <t>$1,095</t>
        </is>
      </c>
      <c r="Q9" s="308" t="inlineStr">
        <is>
          <t>Not Listed</t>
        </is>
      </c>
      <c r="R9" s="308" t="inlineStr">
        <is>
          <t>$3,845</t>
        </is>
      </c>
      <c r="S9" s="308" t="inlineStr">
        <is>
          <t>$4,615</t>
        </is>
      </c>
      <c r="T9" s="308" t="inlineStr">
        <is>
          <t>$1,372</t>
        </is>
      </c>
      <c r="U9" s="308" t="inlineStr">
        <is>
          <t>$1,325</t>
        </is>
      </c>
      <c r="V9" s="308" t="inlineStr">
        <is>
          <t>113</t>
        </is>
      </c>
      <c r="W9" s="308" t="inlineStr">
        <is>
          <t>1995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4" t="inlineStr">
        <is>
          <t>MODERATE-HIGH</t>
        </is>
      </c>
      <c r="AE9" s="313" t="inlineStr">
        <is>
          <t>Affordable Comp #1: LIHTC property, 1995 vintage (0 yr diff), 113 units, 17.4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Savannah Sound</t>
        </is>
      </c>
      <c r="E10" s="311" t="inlineStr">
        <is>
          <t>1950 N Point Blvd</t>
        </is>
      </c>
      <c r="F10" s="308" t="inlineStr">
        <is>
          <t>Tallahassee</t>
        </is>
      </c>
      <c r="G10" s="308" t="inlineStr">
        <is>
          <t>FL</t>
        </is>
      </c>
      <c r="H10" s="308" t="inlineStr">
        <is>
          <t>32308</t>
        </is>
      </c>
      <c r="I10" s="308" t="inlineStr">
        <is>
          <t>21.5 mi</t>
        </is>
      </c>
      <c r="J10" s="308" t="inlineStr">
        <is>
          <t>$2,887</t>
        </is>
      </c>
      <c r="K10" s="308" t="inlineStr">
        <is>
          <t>$3,465</t>
        </is>
      </c>
      <c r="L10" s="308" t="inlineStr">
        <is>
          <t>$800</t>
        </is>
      </c>
      <c r="M10" s="308" t="inlineStr">
        <is>
          <t>Not Listed</t>
        </is>
      </c>
      <c r="N10" s="308" t="inlineStr">
        <is>
          <t>$3,462</t>
        </is>
      </c>
      <c r="O10" s="308" t="inlineStr">
        <is>
          <t>$4,155</t>
        </is>
      </c>
      <c r="P10" s="308" t="inlineStr">
        <is>
          <t>$1,095</t>
        </is>
      </c>
      <c r="Q10" s="308" t="inlineStr">
        <is>
          <t>Not Listed</t>
        </is>
      </c>
      <c r="R10" s="308" t="inlineStr">
        <is>
          <t>$3,845</t>
        </is>
      </c>
      <c r="S10" s="308" t="inlineStr">
        <is>
          <t>$4,615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160</t>
        </is>
      </c>
      <c r="W10" s="308" t="inlineStr">
        <is>
          <t>1995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4" t="inlineStr">
        <is>
          <t>MODERATE-HIGH</t>
        </is>
      </c>
      <c r="AE10" s="313" t="inlineStr">
        <is>
          <t>Affordable Comp #2: LIHTC property, 1995 vintage (0 yr diff), 160 units, 21.5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Oak Pointe</t>
        </is>
      </c>
      <c r="E11" s="311" t="inlineStr">
        <is>
          <t>1747 Capital Cir Ne</t>
        </is>
      </c>
      <c r="F11" s="308" t="inlineStr">
        <is>
          <t>Tallahassee</t>
        </is>
      </c>
      <c r="G11" s="308" t="inlineStr">
        <is>
          <t>FL</t>
        </is>
      </c>
      <c r="H11" s="308" t="inlineStr">
        <is>
          <t>32308</t>
        </is>
      </c>
      <c r="I11" s="308" t="inlineStr">
        <is>
          <t>22.8 mi</t>
        </is>
      </c>
      <c r="J11" s="308" t="inlineStr">
        <is>
          <t>$2,887</t>
        </is>
      </c>
      <c r="K11" s="308" t="inlineStr">
        <is>
          <t>$3,465</t>
        </is>
      </c>
      <c r="L11" s="308" t="inlineStr">
        <is>
          <t>$800</t>
        </is>
      </c>
      <c r="M11" s="308" t="inlineStr">
        <is>
          <t>Not Listed</t>
        </is>
      </c>
      <c r="N11" s="308" t="inlineStr">
        <is>
          <t>$3,462</t>
        </is>
      </c>
      <c r="O11" s="308" t="inlineStr">
        <is>
          <t>$4,155</t>
        </is>
      </c>
      <c r="P11" s="308" t="inlineStr">
        <is>
          <t>$1,095</t>
        </is>
      </c>
      <c r="Q11" s="308" t="inlineStr">
        <is>
          <t>Not Listed</t>
        </is>
      </c>
      <c r="R11" s="308" t="inlineStr">
        <is>
          <t>$3,845</t>
        </is>
      </c>
      <c r="S11" s="308" t="inlineStr">
        <is>
          <t>$4,615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184</t>
        </is>
      </c>
      <c r="W11" s="308" t="inlineStr">
        <is>
          <t>1993</t>
        </is>
      </c>
      <c r="X11" s="308" t="inlineStr">
        <is>
          <t>2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4" t="inlineStr">
        <is>
          <t>MODERATE-HIGH</t>
        </is>
      </c>
      <c r="AE11" s="313" t="inlineStr">
        <is>
          <t>Affordable Comp #4: LIHTC property, 1993 vintage (2 yr diff), 184 units, 22.8 mi from subject. Same income-eligible renter pool.</t>
        </is>
      </c>
      <c r="AF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Arbours at Quincy</t>
        </is>
      </c>
      <c r="D12" s="318" t="inlineStr">
        <is>
          <t>COMPETITION</t>
        </is>
      </c>
      <c r="E12" s="319" t="inlineStr">
        <is>
          <t>1880 Pat Thomas Pky</t>
        </is>
      </c>
      <c r="F12" s="320" t="inlineStr">
        <is>
          <t>Quincy</t>
        </is>
      </c>
      <c r="G12" s="320" t="inlineStr">
        <is>
          <t>FL</t>
        </is>
      </c>
      <c r="H12" s="320" t="inlineStr">
        <is>
          <t>32351</t>
        </is>
      </c>
      <c r="I12" s="320" t="inlineStr">
        <is>
          <t>1.5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N/A (Market Rate)</t>
        </is>
      </c>
      <c r="M12" s="397" t="n">
        <v>880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$1,095</t>
        </is>
      </c>
      <c r="Q12" s="397" t="n">
        <v>1295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$1,372</t>
        </is>
      </c>
      <c r="U12" s="397" t="n">
        <v>1625</v>
      </c>
      <c r="V12" s="320" t="inlineStr">
        <is>
          <t>N/A</t>
        </is>
      </c>
      <c r="W12" s="320" t="inlineStr">
        <is>
          <t>1995</t>
        </is>
      </c>
      <c r="X12" s="320" t="inlineStr">
        <is>
          <t>0</t>
        </is>
      </c>
      <c r="Y12" s="320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3" t="inlineStr">
        <is>
          <t>HIGH</t>
        </is>
      </c>
      <c r="AE12" s="324" t="inlineStr">
        <is>
          <t>Market Rate Comp #1: No income restrictions, 1995 vintage (0 yr diff), N/A units, N/A from subject. Shows market-rate rents vs. affordable housing discount.</t>
        </is>
      </c>
      <c r="AF12" s="319" t="inlineStr">
        <is>
          <t>HUD FY2026 FMR - Gadsden County, FL (limited market rate listings in Quincy)</t>
        </is>
      </c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Signature at Southfield Apartments</t>
        </is>
      </c>
      <c r="E13" s="319" t="inlineStr">
        <is>
          <t>109 Southfield Rd</t>
        </is>
      </c>
      <c r="F13" s="320" t="inlineStr">
        <is>
          <t>Shreveport</t>
        </is>
      </c>
      <c r="G13" s="320" t="inlineStr">
        <is>
          <t>LA</t>
        </is>
      </c>
      <c r="H13" s="320" t="inlineStr">
        <is>
          <t>71105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845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N/A (Market Rate)</t>
        </is>
      </c>
      <c r="Q13" s="397" t="n">
        <v>925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N/A (Market Rate)</t>
        </is>
      </c>
      <c r="U13" s="397" t="n">
        <v>1310</v>
      </c>
      <c r="V13" s="320" t="inlineStr">
        <is>
          <t>N/A</t>
        </is>
      </c>
      <c r="W13" s="320" t="inlineStr">
        <is>
          <t>1998</t>
        </is>
      </c>
      <c r="X13" s="320" t="inlineStr">
        <is>
          <t>3</t>
        </is>
      </c>
      <c r="Y13" s="320" t="inlineStr">
        <is>
          <t>No</t>
        </is>
      </c>
      <c r="Z13" s="320" t="inlineStr">
        <is>
          <t>Yes</t>
        </is>
      </c>
      <c r="AA13" s="320" t="inlineStr">
        <is>
          <t>Yes</t>
        </is>
      </c>
      <c r="AB13" s="320" t="inlineStr">
        <is>
          <t>Yes</t>
        </is>
      </c>
      <c r="AC13" s="320" t="inlineStr">
        <is>
          <t>Yes</t>
        </is>
      </c>
      <c r="AD13" s="323" t="inlineStr">
        <is>
          <t>HIGH</t>
        </is>
      </c>
      <c r="AE13" s="324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3" s="319" t="inlineStr">
        <is>
          <t>https://www.apartments.com/ochlockonee-pointe-apartments-midway-fl/</t>
        </is>
      </c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Aspen Apartments</t>
        </is>
      </c>
      <c r="E14" s="319" t="inlineStr">
        <is>
          <t>9730 Baird Rd</t>
        </is>
      </c>
      <c r="F14" s="320" t="inlineStr">
        <is>
          <t>Shreveport</t>
        </is>
      </c>
      <c r="G14" s="320" t="inlineStr">
        <is>
          <t>LA</t>
        </is>
      </c>
      <c r="H14" s="320" t="inlineStr">
        <is>
          <t>71118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$800</t>
        </is>
      </c>
      <c r="M14" s="397" t="n">
        <v>896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$1,372</t>
        </is>
      </c>
      <c r="U14" s="322" t="n">
        <v>1400</v>
      </c>
      <c r="V14" s="320" t="inlineStr">
        <is>
          <t>48</t>
        </is>
      </c>
      <c r="W14" s="320" t="inlineStr">
        <is>
          <t>1997</t>
        </is>
      </c>
      <c r="X14" s="320" t="inlineStr">
        <is>
          <t>2</t>
        </is>
      </c>
      <c r="Y14" s="320" t="inlineStr">
        <is>
          <t>No</t>
        </is>
      </c>
      <c r="Z14" s="320" t="inlineStr">
        <is>
          <t>Yes</t>
        </is>
      </c>
      <c r="AA14" s="320" t="inlineStr">
        <is>
          <t>Yes</t>
        </is>
      </c>
      <c r="AB14" s="320" t="inlineStr">
        <is>
          <t>No</t>
        </is>
      </c>
      <c r="AC14" s="320" t="inlineStr">
        <is>
          <t>Yes</t>
        </is>
      </c>
      <c r="AD14" s="323" t="inlineStr">
        <is>
          <t>HIGH</t>
        </is>
      </c>
      <c r="AE14" s="324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4" s="319" t="inlineStr">
        <is>
          <t>https://www.apartments.com/omega-villas-quincy-fl/d7w38lk/</t>
        </is>
      </c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Seasons Apartments</t>
        </is>
      </c>
      <c r="E15" s="319" t="inlineStr">
        <is>
          <t>9100 Walker Rd</t>
        </is>
      </c>
      <c r="F15" s="320" t="inlineStr">
        <is>
          <t>Shreveport</t>
        </is>
      </c>
      <c r="G15" s="320" t="inlineStr">
        <is>
          <t>LA</t>
        </is>
      </c>
      <c r="H15" s="320" t="inlineStr">
        <is>
          <t>71118</t>
        </is>
      </c>
      <c r="I15" s="320" t="inlineStr">
        <is>
          <t>0.6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$800</t>
        </is>
      </c>
      <c r="M15" s="397" t="n">
        <v>926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1199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$1,372</t>
        </is>
      </c>
      <c r="U15" s="322" t="n">
        <v>1465</v>
      </c>
      <c r="V15" s="320" t="inlineStr">
        <is>
          <t>81</t>
        </is>
      </c>
      <c r="W15" s="320" t="inlineStr">
        <is>
          <t>1993</t>
        </is>
      </c>
      <c r="X15" s="320" t="inlineStr">
        <is>
          <t>2</t>
        </is>
      </c>
      <c r="Y15" s="320" t="inlineStr">
        <is>
          <t>No</t>
        </is>
      </c>
      <c r="Z15" s="320" t="inlineStr">
        <is>
          <t>Yes</t>
        </is>
      </c>
      <c r="AA15" s="320" t="inlineStr">
        <is>
          <t>Yes</t>
        </is>
      </c>
      <c r="AB15" s="320" t="inlineStr">
        <is>
          <t>No</t>
        </is>
      </c>
      <c r="AC15" s="320" t="inlineStr">
        <is>
          <t>Yes</t>
        </is>
      </c>
      <c r="AD15" s="323" t="inlineStr">
        <is>
          <t>HIGH</t>
        </is>
      </c>
      <c r="AE15" s="324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5" s="319" t="inlineStr">
        <is>
          <t>https://www.apartments.com/triple-oaks-apartments-quincy-fl/3ey417e/</t>
        </is>
      </c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Riverscape Apartment Homes</t>
        </is>
      </c>
      <c r="E16" s="325" t="inlineStr">
        <is>
          <t>1535 River Parkway Blvd</t>
        </is>
      </c>
      <c r="F16" s="325" t="inlineStr">
        <is>
          <t>Shreveport</t>
        </is>
      </c>
      <c r="G16" s="325" t="inlineStr">
        <is>
          <t>LA</t>
        </is>
      </c>
      <c r="H16" s="325" t="inlineStr">
        <is>
          <t>71104</t>
        </is>
      </c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$800</t>
        </is>
      </c>
      <c r="M16" s="325" t="n">
        <v>1188</v>
      </c>
      <c r="N16" s="325" t="inlineStr">
        <is>
          <t>N/A</t>
        </is>
      </c>
      <c r="O16" s="325" t="inlineStr">
        <is>
          <t>N/A</t>
        </is>
      </c>
      <c r="P16" s="325" t="inlineStr">
        <is>
          <t>$1,095</t>
        </is>
      </c>
      <c r="Q16" s="325" t="n">
        <v>1337</v>
      </c>
      <c r="R16" s="325" t="inlineStr">
        <is>
          <t>N/A</t>
        </is>
      </c>
      <c r="S16" s="325" t="inlineStr">
        <is>
          <t>N/A</t>
        </is>
      </c>
      <c r="T16" s="325" t="inlineStr">
        <is>
          <t>$1,372</t>
        </is>
      </c>
      <c r="U16" s="325" t="n">
        <v>1691</v>
      </c>
      <c r="V16" s="325" t="n"/>
      <c r="W16" s="325" t="n"/>
      <c r="X16" s="325" t="n"/>
      <c r="Y16" s="325" t="n"/>
      <c r="Z16" s="325" t="n"/>
      <c r="AA16" s="325" t="n"/>
      <c r="AB16" s="325" t="n"/>
      <c r="AC16" s="325" t="n"/>
      <c r="AD16" s="316" t="inlineStr">
        <is>
          <t>BENCHMARK</t>
        </is>
      </c>
      <c r="AE16" s="328" t="inlineStr">
        <is>
          <t>HUD Fair Market Rent for Quincy, FL metro area, FY2026.</t>
        </is>
      </c>
      <c r="AF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Quincy, FL (Apartments.com, Jun 2026)</t>
        </is>
      </c>
      <c r="E17" s="329" t="inlineStr">
        <is>
          <t>N/A</t>
        </is>
      </c>
      <c r="F17" s="329" t="inlineStr">
        <is>
          <t>Quincy</t>
        </is>
      </c>
      <c r="G17" s="329" t="inlineStr">
        <is>
          <t>FL</t>
        </is>
      </c>
      <c r="H17" s="329" t="n"/>
      <c r="I17" s="329" t="n"/>
      <c r="J17" s="329" t="n"/>
      <c r="K17" s="329" t="n"/>
      <c r="L17" s="329" t="n"/>
      <c r="M17" s="398" t="n">
        <v>691</v>
      </c>
      <c r="N17" s="329" t="n"/>
      <c r="O17" s="329" t="n"/>
      <c r="P17" s="329" t="n"/>
      <c r="Q17" s="398" t="n">
        <v>1134</v>
      </c>
      <c r="R17" s="329" t="n"/>
      <c r="S17" s="329" t="n"/>
      <c r="T17" s="329" t="n"/>
      <c r="U17" s="398" t="n">
        <v>1388</v>
      </c>
      <c r="V17" s="329" t="n"/>
      <c r="W17" s="329" t="n"/>
      <c r="X17" s="329" t="n"/>
      <c r="Y17" s="329" t="n"/>
      <c r="Z17" s="329" t="n"/>
      <c r="AA17" s="329" t="n"/>
      <c r="AB17" s="329" t="n"/>
      <c r="AC17" s="329" t="n"/>
      <c r="AD17" s="316" t="inlineStr">
        <is>
          <t>BENCHMARK</t>
        </is>
      </c>
      <c r="AE17" s="332" t="inlineStr">
        <is>
          <t>Average of 4 market-rate comps. Apartments.com verified, Jun 2026.</t>
        </is>
      </c>
      <c r="AF17" s="332" t="inlineStr">
        <is>
          <t>Apartments.com + Market Estimate</t>
        </is>
      </c>
    </row>
    <row r="18">
      <c r="M18" s="273" t="n">
        <v>964</v>
      </c>
      <c r="Q18" s="273" t="n">
        <v>1138</v>
      </c>
      <c r="U18" s="273" t="n">
        <v>1466</v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1BD</t>
        </is>
      </c>
      <c r="B24" s="399">
        <f>'Current Rents'!D32</f>
        <v/>
      </c>
      <c r="C24" s="400" t="n">
        <v>691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Rents'!E32</f>
        <v/>
      </c>
      <c r="C25" s="400" t="n">
        <v>1134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Rents'!F32</f>
        <v/>
      </c>
      <c r="C26" s="400" t="n">
        <v>1388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>
      <c r="C27" s="273" t="n">
        <v>964</v>
      </c>
    </row>
    <row r="28">
      <c r="C28" s="273" t="n">
        <v>1138</v>
      </c>
    </row>
    <row r="29">
      <c r="C29" s="273" t="n">
        <v>1466</v>
      </c>
    </row>
  </sheetData>
  <mergeCells count="17">
    <mergeCell ref="A21:H21"/>
    <mergeCell ref="A19:AF19"/>
    <mergeCell ref="C7:D7"/>
    <mergeCell ref="C10:D10"/>
    <mergeCell ref="C16:D16"/>
    <mergeCell ref="A5:AF5"/>
    <mergeCell ref="C11:D11"/>
    <mergeCell ref="D12:D15"/>
    <mergeCell ref="A6:AF6"/>
    <mergeCell ref="A3:AC3"/>
    <mergeCell ref="AD3:AF3"/>
    <mergeCell ref="A4:AF4"/>
    <mergeCell ref="C23:D23"/>
    <mergeCell ref="C9:D9"/>
    <mergeCell ref="C17:D17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WINDSOR/YORKSHIRE  |  SHREVEPORT, LA 71107</t>
        </is>
      </c>
      <c r="AD3" s="296" t="inlineStr">
        <is>
          <t>33 - Windsor-Yorkshire  |  ? Units  |  Section 8 / HUD  |  2BD &amp; 3BD</t>
        </is>
      </c>
    </row>
    <row r="4" ht="18" customFormat="1" customHeight="1" s="273">
      <c r="A4" s="297" t="inlineStr">
        <is>
          <t>2020 N. Hearne Avenue, Shreveport, LA 71107  |  FY2026 FMR: 1BD $736 / 2BD $1,008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Windsor/Yorkshire (SUBJECT)</t>
        </is>
      </c>
      <c r="E8" s="304" t="inlineStr">
        <is>
          <t>2020 N. Hearne Avenue</t>
        </is>
      </c>
      <c r="F8" s="305" t="inlineStr">
        <is>
          <t>Shreveport</t>
        </is>
      </c>
      <c r="G8" s="305" t="inlineStr">
        <is>
          <t>LA</t>
        </is>
      </c>
      <c r="H8" s="305" t="inlineStr">
        <is>
          <t>71107</t>
        </is>
      </c>
      <c r="I8" s="305" t="inlineStr">
        <is>
          <t>0.0 mi</t>
        </is>
      </c>
      <c r="J8" s="305" t="inlineStr">
        <is>
          <t>$2,554</t>
        </is>
      </c>
      <c r="K8" s="305" t="inlineStr">
        <is>
          <t>$3,065</t>
        </is>
      </c>
      <c r="L8" s="305" t="inlineStr">
        <is>
          <t>$736</t>
        </is>
      </c>
      <c r="M8" s="396">
        <f>'Current Rents'!D33</f>
        <v/>
      </c>
      <c r="N8" s="305" t="inlineStr">
        <is>
          <t>$3,066</t>
        </is>
      </c>
      <c r="O8" s="305" t="inlineStr">
        <is>
          <t>$3,680</t>
        </is>
      </c>
      <c r="P8" s="305" t="inlineStr">
        <is>
          <t>$1,008</t>
        </is>
      </c>
      <c r="Q8" s="396">
        <f>'Current Rents'!E33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Rents'!G33</f>
        <v/>
      </c>
      <c r="V8" s="305" t="inlineStr">
        <is>
          <t>134</t>
        </is>
      </c>
      <c r="W8" s="305" t="inlineStr">
        <is>
          <t>1998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Yes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134 units | LIHTC property. Year built: 1998.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Southwood Gardens</t>
        </is>
      </c>
      <c r="E9" s="311" t="inlineStr">
        <is>
          <t>3550 Cedar Creek, Budg. 1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71118-0000</t>
        </is>
      </c>
      <c r="I9" s="308" t="inlineStr">
        <is>
          <t>9.4 mi</t>
        </is>
      </c>
      <c r="J9" s="308" t="inlineStr">
        <is>
          <t>$2,554</t>
        </is>
      </c>
      <c r="K9" s="308" t="inlineStr">
        <is>
          <t>$3,065</t>
        </is>
      </c>
      <c r="L9" s="308" t="inlineStr">
        <is>
          <t>$736</t>
        </is>
      </c>
      <c r="M9" s="308" t="inlineStr">
        <is>
          <t>Not Listed</t>
        </is>
      </c>
      <c r="N9" s="308" t="inlineStr">
        <is>
          <t>$3,066</t>
        </is>
      </c>
      <c r="O9" s="308" t="inlineStr">
        <is>
          <t>$3,680</t>
        </is>
      </c>
      <c r="P9" s="308" t="inlineStr">
        <is>
          <t>$1,008</t>
        </is>
      </c>
      <c r="Q9" s="308" t="inlineStr">
        <is>
          <t>Not Listed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96</t>
        </is>
      </c>
      <c r="W9" s="308" t="inlineStr">
        <is>
          <t>1998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1998 vintage (0 yr diff), 96 units, 9.4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Bentley Apts</t>
        </is>
      </c>
      <c r="E10" s="311" t="inlineStr">
        <is>
          <t>6760 Rasberry Ln</t>
        </is>
      </c>
      <c r="F10" s="308" t="inlineStr">
        <is>
          <t>Shreveport</t>
        </is>
      </c>
      <c r="G10" s="308" t="inlineStr">
        <is>
          <t>LA</t>
        </is>
      </c>
      <c r="H10" s="308" t="inlineStr">
        <is>
          <t>71129</t>
        </is>
      </c>
      <c r="I10" s="308" t="inlineStr">
        <is>
          <t>8.2 mi</t>
        </is>
      </c>
      <c r="J10" s="308" t="inlineStr">
        <is>
          <t>$2,554</t>
        </is>
      </c>
      <c r="K10" s="308" t="inlineStr">
        <is>
          <t>$3,065</t>
        </is>
      </c>
      <c r="L10" s="308" t="inlineStr">
        <is>
          <t>$736</t>
        </is>
      </c>
      <c r="M10" s="308" t="inlineStr">
        <is>
          <t>Not Listed</t>
        </is>
      </c>
      <c r="N10" s="308" t="inlineStr">
        <is>
          <t>$3,066</t>
        </is>
      </c>
      <c r="O10" s="308" t="inlineStr">
        <is>
          <t>$3,680</t>
        </is>
      </c>
      <c r="P10" s="308" t="inlineStr">
        <is>
          <t>$1,008</t>
        </is>
      </c>
      <c r="Q10" s="308" t="inlineStr">
        <is>
          <t>$620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Not Listed</t>
        </is>
      </c>
      <c r="V10" s="308" t="inlineStr">
        <is>
          <t>84</t>
        </is>
      </c>
      <c r="W10" s="308" t="inlineStr">
        <is>
          <t>1998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1998 vintage (0 yr diff), 84 units, 8.2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New Zion Apartments</t>
        </is>
      </c>
      <c r="E11" s="311" t="inlineStr">
        <is>
          <t>4345 Illinois Ave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71109-0000</t>
        </is>
      </c>
      <c r="I11" s="308" t="inlineStr">
        <is>
          <t>5.8 mi</t>
        </is>
      </c>
      <c r="J11" s="308" t="inlineStr">
        <is>
          <t>$2,554</t>
        </is>
      </c>
      <c r="K11" s="308" t="inlineStr">
        <is>
          <t>$3,065</t>
        </is>
      </c>
      <c r="L11" s="308" t="inlineStr">
        <is>
          <t>$736</t>
        </is>
      </c>
      <c r="M11" s="308" t="inlineStr">
        <is>
          <t>Not Listed</t>
        </is>
      </c>
      <c r="N11" s="308" t="inlineStr">
        <is>
          <t>$3,066</t>
        </is>
      </c>
      <c r="O11" s="308" t="inlineStr">
        <is>
          <t>$3,680</t>
        </is>
      </c>
      <c r="P11" s="308" t="inlineStr">
        <is>
          <t>$1,008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100</t>
        </is>
      </c>
      <c r="W11" s="308" t="inlineStr">
        <is>
          <t>1997</t>
        </is>
      </c>
      <c r="X11" s="308" t="inlineStr">
        <is>
          <t>1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1997 vintage (1 yr diff), 100 units, 5.8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Macadoo Sro</t>
        </is>
      </c>
      <c r="E12" s="311" t="inlineStr">
        <is>
          <t>1002 Texas Ave</t>
        </is>
      </c>
      <c r="F12" s="308" t="inlineStr">
        <is>
          <t>Shreveport</t>
        </is>
      </c>
      <c r="G12" s="308" t="inlineStr">
        <is>
          <t>LA</t>
        </is>
      </c>
      <c r="H12" s="308" t="inlineStr">
        <is>
          <t>71101-0000</t>
        </is>
      </c>
      <c r="I12" s="308" t="inlineStr">
        <is>
          <t>1.4 mi</t>
        </is>
      </c>
      <c r="J12" s="308" t="inlineStr">
        <is>
          <t>$2,554</t>
        </is>
      </c>
      <c r="K12" s="308" t="inlineStr">
        <is>
          <t>$3,065</t>
        </is>
      </c>
      <c r="L12" s="308" t="inlineStr">
        <is>
          <t>$736</t>
        </is>
      </c>
      <c r="M12" s="308" t="inlineStr">
        <is>
          <t>Not Listed</t>
        </is>
      </c>
      <c r="N12" s="308" t="inlineStr">
        <is>
          <t>$3,066</t>
        </is>
      </c>
      <c r="O12" s="308" t="inlineStr">
        <is>
          <t>$3,680</t>
        </is>
      </c>
      <c r="P12" s="308" t="inlineStr">
        <is>
          <t>$1,008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45</t>
        </is>
      </c>
      <c r="W12" s="308" t="inlineStr">
        <is>
          <t>1998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1998 vintage (0 yr diff), 45 units, 1.4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Preston Place</t>
        </is>
      </c>
      <c r="D13" s="318" t="inlineStr">
        <is>
          <t>COMPETITION</t>
        </is>
      </c>
      <c r="E13" s="319" t="inlineStr">
        <is>
          <t>400 Preston Blvd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900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$1,008</t>
        </is>
      </c>
      <c r="Q13" s="397" t="n">
        <v>985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4.5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Greenacres Village</t>
        </is>
      </c>
      <c r="E14" s="319" t="inlineStr">
        <is>
          <t>2579 Airline Dr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$736</t>
        </is>
      </c>
      <c r="M14" s="322" t="n">
        <v>1000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1090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2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(2 yr diff), 160 units, 6.2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Lexington Place Apartments</t>
        </is>
      </c>
      <c r="E15" s="319" t="inlineStr">
        <is>
          <t>1301 Williamsburg Dr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71112</t>
        </is>
      </c>
      <c r="I15" s="320" t="inlineStr">
        <is>
          <t>0.3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1183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1305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N/A (Market Rate)</t>
        </is>
      </c>
      <c r="U15" s="397" t="n">
        <v>1054</v>
      </c>
      <c r="V15" s="320" t="inlineStr">
        <is>
          <t>120</t>
        </is>
      </c>
      <c r="W15" s="320" t="inlineStr">
        <is>
          <t>1997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1997 vintage (1 yr diff), 120 units, 8.0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Stockwell Landing Apartment Homes</t>
        </is>
      </c>
      <c r="E16" s="319" t="inlineStr">
        <is>
          <t>2175 Stockwell Rd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0.8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$736</t>
        </is>
      </c>
      <c r="M16" s="322" t="n">
        <v>1199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1369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96</t>
        </is>
      </c>
      <c r="W16" s="320" t="inlineStr">
        <is>
          <t>1997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1997 vintage (1 yr diff), 96 units, 5.8 mi from subject. Shows market-rate rents vs. affordable housing discount.</t>
        </is>
      </c>
      <c r="AF16" s="319" t="inlineStr">
        <is>
          <t>https://www.rentcafe.com/apartments-for-rent/us/la/shreveport/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Shreveport, LA</t>
        </is>
      </c>
      <c r="E17" s="325" t="inlineStr">
        <is>
          <t>N/A</t>
        </is>
      </c>
      <c r="F17" s="325" t="inlineStr">
        <is>
          <t>Shreveport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$736</t>
        </is>
      </c>
      <c r="M17" s="325" t="inlineStr">
        <is>
          <t>$736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$1,008</t>
        </is>
      </c>
      <c r="Q17" s="325" t="inlineStr">
        <is>
          <t>$1,008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Shreveport,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Shreveport, LA (Apartments.com, Jun 2026)</t>
        </is>
      </c>
      <c r="E18" s="329" t="inlineStr">
        <is>
          <t>N/A</t>
        </is>
      </c>
      <c r="F18" s="329" t="inlineStr">
        <is>
          <t>Shreveport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1070</v>
      </c>
      <c r="N18" s="329" t="n"/>
      <c r="O18" s="329" t="n"/>
      <c r="P18" s="329" t="n"/>
      <c r="Q18" s="398" t="n">
        <v>1187</v>
      </c>
      <c r="R18" s="329" t="n"/>
      <c r="S18" s="329" t="n"/>
      <c r="T18" s="329" t="n"/>
      <c r="U18" s="398" t="n">
        <v>1054</v>
      </c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1BD</t>
        </is>
      </c>
      <c r="B25" s="399">
        <f>'Current Rents'!D33</f>
        <v/>
      </c>
      <c r="C25" s="400" t="n">
        <v>941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2BD</t>
        </is>
      </c>
      <c r="B26" s="399">
        <f>'Current Rents'!E33</f>
        <v/>
      </c>
      <c r="C26" s="400" t="n">
        <v>1070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Rents'!G33</f>
        <v/>
      </c>
      <c r="C27" s="400" t="n">
        <v>1187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NORTH POINTE  |  BOSSIER CITY, LA 71111</t>
        </is>
      </c>
      <c r="AD3" s="296" t="inlineStr">
        <is>
          <t>50 - North Pointe  |  ? Units  |  Section 8 / HUD  |  2BD &amp; 3BD</t>
        </is>
      </c>
    </row>
    <row r="4" ht="18" customFormat="1" customHeight="1" s="273">
      <c r="A4" s="297" t="inlineStr">
        <is>
          <t>Bossier City, Bossier City, LA 71111  |  FY2026 FMR: 2BD $1,008 / 3BD $1,261 / 4BD $1,457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North Pointe (SUBJECT)</t>
        </is>
      </c>
      <c r="E8" s="304" t="inlineStr">
        <is>
          <t>Bossier City</t>
        </is>
      </c>
      <c r="F8" s="305" t="inlineStr">
        <is>
          <t>Bossier City</t>
        </is>
      </c>
      <c r="G8" s="305" t="inlineStr">
        <is>
          <t>LA</t>
        </is>
      </c>
      <c r="H8" s="305" t="inlineStr">
        <is>
          <t>71111</t>
        </is>
      </c>
      <c r="I8" s="305" t="inlineStr">
        <is>
          <t>0.0 mi</t>
        </is>
      </c>
      <c r="J8" s="305" t="inlineStr">
        <is>
          <t>$3,066</t>
        </is>
      </c>
      <c r="K8" s="305" t="inlineStr">
        <is>
          <t>$3,680</t>
        </is>
      </c>
      <c r="L8" s="305" t="inlineStr">
        <is>
          <t>$1,008</t>
        </is>
      </c>
      <c r="M8" s="396">
        <f>'Current Rents'!E34</f>
        <v/>
      </c>
      <c r="N8" s="305" t="inlineStr">
        <is>
          <t>$3,404</t>
        </is>
      </c>
      <c r="O8" s="305" t="inlineStr">
        <is>
          <t>$4,085</t>
        </is>
      </c>
      <c r="P8" s="305" t="inlineStr">
        <is>
          <t>$1,261</t>
        </is>
      </c>
      <c r="Q8" s="396">
        <f>'Current Rents'!F34</f>
        <v/>
      </c>
      <c r="R8" s="305" t="inlineStr">
        <is>
          <t>$3,679</t>
        </is>
      </c>
      <c r="S8" s="305" t="inlineStr">
        <is>
          <t>$4,415</t>
        </is>
      </c>
      <c r="T8" s="305" t="inlineStr">
        <is>
          <t>$1,457</t>
        </is>
      </c>
      <c r="U8" s="396">
        <f>'Current Rents'!G34</f>
        <v/>
      </c>
      <c r="V8" s="305" t="inlineStr">
        <is>
          <t>27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inlineStr">
        <is>
          <t>27 units | LIHTC property. Year built: 2000. Subject property for market context.</t>
        </is>
      </c>
      <c r="AF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Windsor Village Apartments</t>
        </is>
      </c>
      <c r="E9" s="311" t="inlineStr">
        <is>
          <t>1920 North Hearne Avenue</t>
        </is>
      </c>
      <c r="F9" s="308" t="inlineStr">
        <is>
          <t>Shreveport</t>
        </is>
      </c>
      <c r="G9" s="308" t="inlineStr">
        <is>
          <t>LA</t>
        </is>
      </c>
      <c r="H9" s="308" t="inlineStr">
        <is>
          <t>71107-0000</t>
        </is>
      </c>
      <c r="I9" s="308" t="inlineStr">
        <is>
          <t>2.8 mi</t>
        </is>
      </c>
      <c r="J9" s="308" t="inlineStr">
        <is>
          <t>$3,066</t>
        </is>
      </c>
      <c r="K9" s="308" t="inlineStr">
        <is>
          <t>$3,680</t>
        </is>
      </c>
      <c r="L9" s="308" t="inlineStr">
        <is>
          <t>$1,008</t>
        </is>
      </c>
      <c r="M9" s="308" t="inlineStr">
        <is>
          <t>$825</t>
        </is>
      </c>
      <c r="N9" s="308" t="inlineStr">
        <is>
          <t>$3,404</t>
        </is>
      </c>
      <c r="O9" s="308" t="inlineStr">
        <is>
          <t>$4,085</t>
        </is>
      </c>
      <c r="P9" s="308" t="inlineStr">
        <is>
          <t>$1,261</t>
        </is>
      </c>
      <c r="Q9" s="308" t="inlineStr">
        <is>
          <t>$975</t>
        </is>
      </c>
      <c r="R9" s="308" t="inlineStr">
        <is>
          <t>$3,679</t>
        </is>
      </c>
      <c r="S9" s="308" t="inlineStr">
        <is>
          <t>$4,415</t>
        </is>
      </c>
      <c r="T9" s="308" t="inlineStr">
        <is>
          <t>$1,457</t>
        </is>
      </c>
      <c r="U9" s="308" t="inlineStr">
        <is>
          <t>Not Listed</t>
        </is>
      </c>
      <c r="V9" s="308" t="inlineStr">
        <is>
          <t>48</t>
        </is>
      </c>
      <c r="W9" s="308" t="inlineStr">
        <is>
          <t>2000</t>
        </is>
      </c>
      <c r="X9" s="308" t="inlineStr">
        <is>
          <t>0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inlineStr">
        <is>
          <t>HIGH</t>
        </is>
      </c>
      <c r="AE9" s="313" t="inlineStr">
        <is>
          <t>Affordable Comp #1: LIHTC property, 2000 vintage (0 yr diff), 48 units, 2.8 mi from subject. Same income-eligible renter pool.</t>
        </is>
      </c>
      <c r="AF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Chateau Apts.</t>
        </is>
      </c>
      <c r="E10" s="311" t="inlineStr">
        <is>
          <t>4806 Shed Road</t>
        </is>
      </c>
      <c r="F10" s="308" t="inlineStr">
        <is>
          <t>Bossier City</t>
        </is>
      </c>
      <c r="G10" s="308" t="inlineStr">
        <is>
          <t>LA</t>
        </is>
      </c>
      <c r="H10" s="308" t="inlineStr">
        <is>
          <t>71067-0000</t>
        </is>
      </c>
      <c r="I10" s="308" t="inlineStr">
        <is>
          <t>4.2 mi</t>
        </is>
      </c>
      <c r="J10" s="308" t="inlineStr">
        <is>
          <t>$3,066</t>
        </is>
      </c>
      <c r="K10" s="308" t="inlineStr">
        <is>
          <t>$3,680</t>
        </is>
      </c>
      <c r="L10" s="308" t="inlineStr">
        <is>
          <t>$1,008</t>
        </is>
      </c>
      <c r="M10" s="308" t="inlineStr">
        <is>
          <t>$775</t>
        </is>
      </c>
      <c r="N10" s="308" t="inlineStr">
        <is>
          <t>$3,404</t>
        </is>
      </c>
      <c r="O10" s="308" t="inlineStr">
        <is>
          <t>$4,085</t>
        </is>
      </c>
      <c r="P10" s="308" t="inlineStr">
        <is>
          <t>$1,261</t>
        </is>
      </c>
      <c r="Q10" s="308" t="inlineStr">
        <is>
          <t>$870</t>
        </is>
      </c>
      <c r="R10" s="308" t="inlineStr">
        <is>
          <t>$3,679</t>
        </is>
      </c>
      <c r="S10" s="308" t="inlineStr">
        <is>
          <t>$4,415</t>
        </is>
      </c>
      <c r="T10" s="308" t="inlineStr">
        <is>
          <t>$1,457</t>
        </is>
      </c>
      <c r="U10" s="308" t="inlineStr">
        <is>
          <t>$950</t>
        </is>
      </c>
      <c r="V10" s="308" t="inlineStr">
        <is>
          <t>56</t>
        </is>
      </c>
      <c r="W10" s="308" t="inlineStr">
        <is>
          <t>2000</t>
        </is>
      </c>
      <c r="X10" s="308" t="inlineStr">
        <is>
          <t>0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inlineStr">
        <is>
          <t>HIGH</t>
        </is>
      </c>
      <c r="AE10" s="313" t="inlineStr">
        <is>
          <t>Affordable Comp #2: LIHTC property, 2000 vintage (0 yr diff), 56 units, 4.2 mi from subject. Same income-eligible renter pool.</t>
        </is>
      </c>
      <c r="AF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Greenwood Village I</t>
        </is>
      </c>
      <c r="E11" s="311" t="inlineStr">
        <is>
          <t>4440 Danny R Wimberly Dr</t>
        </is>
      </c>
      <c r="F11" s="308" t="inlineStr">
        <is>
          <t>Shreveport</t>
        </is>
      </c>
      <c r="G11" s="308" t="inlineStr">
        <is>
          <t>LA</t>
        </is>
      </c>
      <c r="H11" s="308" t="inlineStr">
        <is>
          <t>71119</t>
        </is>
      </c>
      <c r="I11" s="308" t="inlineStr">
        <is>
          <t>8.6 mi</t>
        </is>
      </c>
      <c r="J11" s="308" t="inlineStr">
        <is>
          <t>$3,066</t>
        </is>
      </c>
      <c r="K11" s="308" t="inlineStr">
        <is>
          <t>$3,680</t>
        </is>
      </c>
      <c r="L11" s="308" t="inlineStr">
        <is>
          <t>$1,008</t>
        </is>
      </c>
      <c r="M11" s="308" t="inlineStr">
        <is>
          <t>Not Listed</t>
        </is>
      </c>
      <c r="N11" s="308" t="inlineStr">
        <is>
          <t>$3,404</t>
        </is>
      </c>
      <c r="O11" s="308" t="inlineStr">
        <is>
          <t>$4,085</t>
        </is>
      </c>
      <c r="P11" s="308" t="inlineStr">
        <is>
          <t>$1,261</t>
        </is>
      </c>
      <c r="Q11" s="308" t="inlineStr">
        <is>
          <t>Not Listed</t>
        </is>
      </c>
      <c r="R11" s="308" t="inlineStr">
        <is>
          <t>$3,679</t>
        </is>
      </c>
      <c r="S11" s="308" t="inlineStr">
        <is>
          <t>$4,415</t>
        </is>
      </c>
      <c r="T11" s="308" t="inlineStr">
        <is>
          <t>$1,457</t>
        </is>
      </c>
      <c r="U11" s="308" t="inlineStr">
        <is>
          <t>Not Listed</t>
        </is>
      </c>
      <c r="V11" s="308" t="inlineStr">
        <is>
          <t>40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inlineStr">
        <is>
          <t>HIGH</t>
        </is>
      </c>
      <c r="AE11" s="313" t="inlineStr">
        <is>
          <t>Affordable Comp #3: LIHTC property, 2000 vintage (0 yr diff), 40 units, 8.6 mi from subject. Same income-eligible renter pool.</t>
        </is>
      </c>
      <c r="AF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Benton Place Apts Ii</t>
        </is>
      </c>
      <c r="E12" s="311" t="inlineStr">
        <is>
          <t>114 Sibley St</t>
        </is>
      </c>
      <c r="F12" s="308" t="inlineStr">
        <is>
          <t>Bossier City</t>
        </is>
      </c>
      <c r="G12" s="308" t="inlineStr">
        <is>
          <t>LA</t>
        </is>
      </c>
      <c r="H12" s="308" t="inlineStr">
        <is>
          <t>71006</t>
        </is>
      </c>
      <c r="I12" s="308" t="inlineStr">
        <is>
          <t>12.7 mi</t>
        </is>
      </c>
      <c r="J12" s="308" t="inlineStr">
        <is>
          <t>$3,066</t>
        </is>
      </c>
      <c r="K12" s="308" t="inlineStr">
        <is>
          <t>$3,680</t>
        </is>
      </c>
      <c r="L12" s="308" t="inlineStr">
        <is>
          <t>$1,008</t>
        </is>
      </c>
      <c r="M12" s="308" t="inlineStr">
        <is>
          <t>Not Listed</t>
        </is>
      </c>
      <c r="N12" s="308" t="inlineStr">
        <is>
          <t>$3,404</t>
        </is>
      </c>
      <c r="O12" s="308" t="inlineStr">
        <is>
          <t>$4,085</t>
        </is>
      </c>
      <c r="P12" s="308" t="inlineStr">
        <is>
          <t>$1,261</t>
        </is>
      </c>
      <c r="Q12" s="308" t="inlineStr">
        <is>
          <t>Not Listed</t>
        </is>
      </c>
      <c r="R12" s="308" t="inlineStr">
        <is>
          <t>$3,679</t>
        </is>
      </c>
      <c r="S12" s="308" t="inlineStr">
        <is>
          <t>$4,415</t>
        </is>
      </c>
      <c r="T12" s="308" t="inlineStr">
        <is>
          <t>$1,457</t>
        </is>
      </c>
      <c r="U12" s="308" t="inlineStr">
        <is>
          <t>Not Listed</t>
        </is>
      </c>
      <c r="V12" s="308" t="inlineStr">
        <is>
          <t>32</t>
        </is>
      </c>
      <c r="W12" s="308" t="inlineStr">
        <is>
          <t>2001</t>
        </is>
      </c>
      <c r="X12" s="308" t="inlineStr">
        <is>
          <t>1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inlineStr">
        <is>
          <t>HIGH</t>
        </is>
      </c>
      <c r="AE12" s="313" t="inlineStr">
        <is>
          <t>Affordable Comp #4: LIHTC property, 2001 vintage (1 yr diff), 32 units, 12.7 mi from subject. Same income-eligible renter pool.</t>
        </is>
      </c>
      <c r="AF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Tallow Wood Apartments</t>
        </is>
      </c>
      <c r="D13" s="318" t="inlineStr">
        <is>
          <t>COMPETITION</t>
        </is>
      </c>
      <c r="E13" s="319" t="inlineStr">
        <is>
          <t>2601 Airline Dr</t>
        </is>
      </c>
      <c r="F13" s="320" t="inlineStr">
        <is>
          <t>Bossier City</t>
        </is>
      </c>
      <c r="G13" s="320" t="inlineStr">
        <is>
          <t>LA</t>
        </is>
      </c>
      <c r="H13" s="320" t="inlineStr">
        <is>
          <t>71111</t>
        </is>
      </c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N/A (Market Rate)</t>
        </is>
      </c>
      <c r="M13" s="397" t="n">
        <v>955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$1,261</t>
        </is>
      </c>
      <c r="Q13" s="397" t="n">
        <v>1470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$1,457</t>
        </is>
      </c>
      <c r="U13" s="322" t="inlineStr">
        <is>
          <t>Not Listed</t>
        </is>
      </c>
      <c r="V13" s="320" t="inlineStr">
        <is>
          <t>200</t>
        </is>
      </c>
      <c r="W13" s="320" t="inlineStr">
        <is>
          <t>1999</t>
        </is>
      </c>
      <c r="X13" s="320" t="inlineStr">
        <is>
          <t>1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inlineStr">
        <is>
          <t>HIGH</t>
        </is>
      </c>
      <c r="AE13" s="324" t="inlineStr">
        <is>
          <t>Market Rate Comp #1: No income restrictions, 1999 vintage (1 yr diff), 200 units, 7.5 mi from subject. Shows market-rate rents vs. affordable housing discount.</t>
        </is>
      </c>
      <c r="AF13" s="319" t="inlineStr">
        <is>
          <t>https://www.rentcafe.com/apartments-for-rent/us/la/shreveport/the-arbors-at-shreveport/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Reserve of Bossier City Apartment Homes</t>
        </is>
      </c>
      <c r="E14" s="319" t="inlineStr">
        <is>
          <t>4855 Airline Dr</t>
        </is>
      </c>
      <c r="F14" s="320" t="inlineStr">
        <is>
          <t>Bossier City</t>
        </is>
      </c>
      <c r="G14" s="320" t="inlineStr">
        <is>
          <t>LA</t>
        </is>
      </c>
      <c r="H14" s="320" t="inlineStr">
        <is>
          <t>71111</t>
        </is>
      </c>
      <c r="I14" s="320" t="inlineStr">
        <is>
          <t>2.0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N/A (Market Rate)</t>
        </is>
      </c>
      <c r="M14" s="397" t="n">
        <v>1350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N/A (Market Rate)</t>
        </is>
      </c>
      <c r="Q14" s="397" t="n">
        <v>1550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$1,457</t>
        </is>
      </c>
      <c r="U14" s="322" t="inlineStr">
        <is>
          <t>Not Listed</t>
        </is>
      </c>
      <c r="V14" s="320" t="inlineStr">
        <is>
          <t>160</t>
        </is>
      </c>
      <c r="W14" s="320" t="inlineStr">
        <is>
          <t>2000</t>
        </is>
      </c>
      <c r="X14" s="320" t="inlineStr">
        <is>
          <t>0</t>
        </is>
      </c>
      <c r="Y14" s="320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3" t="inlineStr">
        <is>
          <t>HIGH</t>
        </is>
      </c>
      <c r="AE14" s="324" t="inlineStr">
        <is>
          <t>Market Rate Comp #2: No income restrictions, 2000 vintage (0 yr diff), 160 units, 9.0 mi from subject. Shows market-rate rents vs. affordable housing discount.</t>
        </is>
      </c>
      <c r="AF14" s="319" t="inlineStr">
        <is>
          <t>https://www.rentcafe.com/apartments-for-rent/us/la/shreveport/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Chaparral Apartments</t>
        </is>
      </c>
      <c r="E15" s="319" t="inlineStr">
        <is>
          <t>2704 Shed Rd</t>
        </is>
      </c>
      <c r="F15" s="320" t="inlineStr">
        <is>
          <t>Bossier City</t>
        </is>
      </c>
      <c r="G15" s="320" t="inlineStr">
        <is>
          <t>LA</t>
        </is>
      </c>
      <c r="H15" s="320" t="inlineStr">
        <is>
          <t>71111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N/A (Market Rate)</t>
        </is>
      </c>
      <c r="M15" s="397" t="n">
        <v>820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N/A (Market Rate)</t>
        </is>
      </c>
      <c r="Q15" s="397" t="n">
        <v>1125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$1,457</t>
        </is>
      </c>
      <c r="U15" s="322" t="inlineStr">
        <is>
          <t>Not Listed</t>
        </is>
      </c>
      <c r="V15" s="320" t="inlineStr">
        <is>
          <t>96</t>
        </is>
      </c>
      <c r="W15" s="320" t="inlineStr">
        <is>
          <t>2001</t>
        </is>
      </c>
      <c r="X15" s="320" t="inlineStr">
        <is>
          <t>1</t>
        </is>
      </c>
      <c r="Y15" s="320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3" t="inlineStr">
        <is>
          <t>HIGH</t>
        </is>
      </c>
      <c r="AE15" s="324" t="inlineStr">
        <is>
          <t>Market Rate Comp #3: No income restrictions, 2001 vintage (1 yr diff), 96 units, 3.2 mi from subject. Shows market-rate rents vs. affordable housing discount.</t>
        </is>
      </c>
      <c r="AF15" s="319" t="inlineStr">
        <is>
          <t>https://www.rentcafe.com/apartments-for-rent/us/la/bossier-city/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Villaggio Apartments</t>
        </is>
      </c>
      <c r="E16" s="319" t="inlineStr">
        <is>
          <t>5200 E Texas St</t>
        </is>
      </c>
      <c r="F16" s="320" t="inlineStr">
        <is>
          <t>Bossier City</t>
        </is>
      </c>
      <c r="G16" s="320" t="inlineStr">
        <is>
          <t>LA</t>
        </is>
      </c>
      <c r="H16" s="320" t="inlineStr">
        <is>
          <t>71111</t>
        </is>
      </c>
      <c r="I16" s="320" t="inlineStr">
        <is>
          <t>3.0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N/A (Market Rate)</t>
        </is>
      </c>
      <c r="M16" s="397" t="n">
        <v>1202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N/A (Market Rate)</t>
        </is>
      </c>
      <c r="Q16" s="397" t="n">
        <v>1273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$1,457</t>
        </is>
      </c>
      <c r="U16" s="322" t="inlineStr">
        <is>
          <t>Not Listed</t>
        </is>
      </c>
      <c r="V16" s="320" t="inlineStr">
        <is>
          <t>80</t>
        </is>
      </c>
      <c r="W16" s="320" t="inlineStr">
        <is>
          <t>1999</t>
        </is>
      </c>
      <c r="X16" s="320" t="inlineStr">
        <is>
          <t>1</t>
        </is>
      </c>
      <c r="Y16" s="320" t="inlineStr">
        <is>
          <t>Varies</t>
        </is>
      </c>
      <c r="Z16" s="320" t="inlineStr">
        <is>
          <t>Varies</t>
        </is>
      </c>
      <c r="AA16" s="320" t="inlineStr">
        <is>
          <t>Varies</t>
        </is>
      </c>
      <c r="AB16" s="320" t="inlineStr">
        <is>
          <t>Varies</t>
        </is>
      </c>
      <c r="AC16" s="320" t="inlineStr">
        <is>
          <t>Varies</t>
        </is>
      </c>
      <c r="AD16" s="323" t="inlineStr">
        <is>
          <t>HIGH</t>
        </is>
      </c>
      <c r="AE16" s="324" t="inlineStr">
        <is>
          <t>Market Rate Comp #4: No income restrictions, 1999 vintage (1 yr diff), 80 units, 4.5 mi from subject. Shows market-rate rents vs. affordable housing discount.</t>
        </is>
      </c>
      <c r="AF16" s="319" t="inlineStr">
        <is>
          <t>https://www.rentcafe.com/apartments-for-rent/us/la/bossier-city/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Bossier City, LA</t>
        </is>
      </c>
      <c r="E17" s="325" t="inlineStr">
        <is>
          <t>N/A</t>
        </is>
      </c>
      <c r="F17" s="325" t="inlineStr">
        <is>
          <t>Bossier City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$1,008</t>
        </is>
      </c>
      <c r="M17" s="325" t="inlineStr">
        <is>
          <t>$1,008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$1,261</t>
        </is>
      </c>
      <c r="Q17" s="325" t="inlineStr">
        <is>
          <t>$1,261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$1,457</t>
        </is>
      </c>
      <c r="U17" s="325" t="inlineStr">
        <is>
          <t>$1,457</t>
        </is>
      </c>
      <c r="V17" s="325" t="n"/>
      <c r="W17" s="325" t="n"/>
      <c r="X17" s="325" t="n"/>
      <c r="Y17" s="325" t="n"/>
      <c r="Z17" s="325" t="n"/>
      <c r="AA17" s="325" t="n"/>
      <c r="AB17" s="325" t="n"/>
      <c r="AC17" s="325" t="n"/>
      <c r="AD17" s="316" t="inlineStr">
        <is>
          <t>BENCHMARK</t>
        </is>
      </c>
      <c r="AE17" s="328" t="inlineStr">
        <is>
          <t>HUD Fair Market Rent for Bossier City, LA metro area, FY2026.</t>
        </is>
      </c>
      <c r="AF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Bossier City, LA (Apartments.com, Jun 2026)</t>
        </is>
      </c>
      <c r="E18" s="329" t="inlineStr">
        <is>
          <t>N/A</t>
        </is>
      </c>
      <c r="F18" s="329" t="inlineStr">
        <is>
          <t>Bossier City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1082</v>
      </c>
      <c r="N18" s="329" t="n"/>
      <c r="O18" s="329" t="n"/>
      <c r="P18" s="329" t="n"/>
      <c r="Q18" s="398" t="n">
        <v>1354</v>
      </c>
      <c r="R18" s="329" t="n"/>
      <c r="S18" s="329" t="n"/>
      <c r="T18" s="329" t="n"/>
      <c r="U18" s="398" t="n"/>
      <c r="V18" s="329" t="n"/>
      <c r="W18" s="329" t="n"/>
      <c r="X18" s="329" t="n"/>
      <c r="Y18" s="329" t="n"/>
      <c r="Z18" s="329" t="n"/>
      <c r="AA18" s="329" t="n"/>
      <c r="AB18" s="329" t="n"/>
      <c r="AC18" s="329" t="n"/>
      <c r="AD18" s="316" t="inlineStr">
        <is>
          <t>BENCHMARK</t>
        </is>
      </c>
      <c r="AE18" s="332" t="inlineStr">
        <is>
          <t>Average of 4 market-rate comps. Apartments.com verified, Jun 2026.</t>
        </is>
      </c>
      <c r="AF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5" ht="20.25" customFormat="1" customHeight="1" s="273">
      <c r="A25" s="337" t="inlineStr">
        <is>
          <t>2BD</t>
        </is>
      </c>
      <c r="B25" s="399">
        <f>'Current Rents'!E34</f>
        <v/>
      </c>
      <c r="C25" s="400" t="n">
        <v>1374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</row>
    <row r="26" ht="20.25" customFormat="1" customHeight="1" s="273">
      <c r="A26" s="337" t="inlineStr">
        <is>
          <t>3BD</t>
        </is>
      </c>
      <c r="B26" s="399">
        <f>'Current Rents'!F34</f>
        <v/>
      </c>
      <c r="C26" s="400" t="n">
        <v>1082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</row>
    <row r="27" ht="20.25" customFormat="1" customHeight="1" s="273">
      <c r="A27" s="337" t="inlineStr">
        <is>
          <t>4BD</t>
        </is>
      </c>
      <c r="B27" s="399">
        <f>'Current Rents'!G34</f>
        <v/>
      </c>
      <c r="C27" s="400" t="n">
        <v>1354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</row>
  </sheetData>
  <mergeCells count="18">
    <mergeCell ref="C12:D12"/>
    <mergeCell ref="D13:D16"/>
    <mergeCell ref="C10:D10"/>
    <mergeCell ref="C7:D7"/>
    <mergeCell ref="C24:D24"/>
    <mergeCell ref="A5:AF5"/>
    <mergeCell ref="C11:D11"/>
    <mergeCell ref="A6:AF6"/>
    <mergeCell ref="A3:AC3"/>
    <mergeCell ref="AD3:AF3"/>
    <mergeCell ref="A4:AF4"/>
    <mergeCell ref="A20:AF20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BAYOU  |  BATON ROUGE, LA 70806</t>
        </is>
      </c>
      <c r="Z3" s="296" t="inlineStr">
        <is>
          <t>53 - Bayou Pointe  |  ? Units  |  Section 8 / HUD  |  2BD &amp; 3BD</t>
        </is>
      </c>
    </row>
    <row r="4" ht="18" customFormat="1" customHeight="1" s="273">
      <c r="A4" s="297" t="inlineStr">
        <is>
          <t>Baton Rouge, Baton Rouge, LA 70806  |  FY2026 FMR: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3BD
50% AMI</t>
        </is>
      </c>
      <c r="K7" s="300" t="inlineStr">
        <is>
          <t>3BD
60% AMI</t>
        </is>
      </c>
      <c r="L7" s="300" t="inlineStr">
        <is>
          <t>3BD
FMR</t>
        </is>
      </c>
      <c r="M7" s="301" t="inlineStr">
        <is>
          <t>3BD -
Actual</t>
        </is>
      </c>
      <c r="N7" s="300" t="inlineStr">
        <is>
          <t>4BD
50% AMI</t>
        </is>
      </c>
      <c r="O7" s="300" t="inlineStr">
        <is>
          <t>4BD
60% AMI</t>
        </is>
      </c>
      <c r="P7" s="300" t="inlineStr">
        <is>
          <t>4BD
FMR</t>
        </is>
      </c>
      <c r="Q7" s="301" t="inlineStr">
        <is>
          <t>4BD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Bayou (SUBJECT)</t>
        </is>
      </c>
      <c r="E8" s="304" t="inlineStr">
        <is>
          <t>Baton Rouge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$3,820</t>
        </is>
      </c>
      <c r="K8" s="305" t="inlineStr">
        <is>
          <t>$4,585</t>
        </is>
      </c>
      <c r="L8" s="305" t="inlineStr">
        <is>
          <t>$1,573</t>
        </is>
      </c>
      <c r="M8" s="396">
        <f>'Current Rents'!F35</f>
        <v/>
      </c>
      <c r="N8" s="305" t="inlineStr">
        <is>
          <t>$4,129</t>
        </is>
      </c>
      <c r="O8" s="305" t="inlineStr">
        <is>
          <t>$4,955</t>
        </is>
      </c>
      <c r="P8" s="305" t="inlineStr">
        <is>
          <t>$1,818</t>
        </is>
      </c>
      <c r="Q8" s="396">
        <f>'Current Rents'!G35</f>
        <v/>
      </c>
      <c r="R8" s="305" t="inlineStr">
        <is>
          <t>60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60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$3,820</t>
        </is>
      </c>
      <c r="K9" s="308" t="inlineStr">
        <is>
          <t>$4,585</t>
        </is>
      </c>
      <c r="L9" s="308" t="inlineStr">
        <is>
          <t>$1,573</t>
        </is>
      </c>
      <c r="M9" s="308" t="inlineStr">
        <is>
          <t>$1,247</t>
        </is>
      </c>
      <c r="N9" s="308" t="inlineStr">
        <is>
          <t>$4,129</t>
        </is>
      </c>
      <c r="O9" s="308" t="inlineStr">
        <is>
          <t>$4,955</t>
        </is>
      </c>
      <c r="P9" s="308" t="inlineStr">
        <is>
          <t>$1,818</t>
        </is>
      </c>
      <c r="Q9" s="308" t="inlineStr">
        <is>
          <t>$1,447</t>
        </is>
      </c>
      <c r="R9" s="308" t="inlineStr">
        <is>
          <t>52</t>
        </is>
      </c>
      <c r="S9" s="308" t="inlineStr">
        <is>
          <t>2000</t>
        </is>
      </c>
      <c r="T9" s="308" t="inlineStr">
        <is>
          <t>0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2000 vintage (0 yr diff), 52 units, 4.1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$3,820</t>
        </is>
      </c>
      <c r="K10" s="308" t="inlineStr">
        <is>
          <t>$4,585</t>
        </is>
      </c>
      <c r="L10" s="308" t="inlineStr">
        <is>
          <t>$1,573</t>
        </is>
      </c>
      <c r="M10" s="308" t="inlineStr">
        <is>
          <t>Not Listed</t>
        </is>
      </c>
      <c r="N10" s="308" t="inlineStr">
        <is>
          <t>$4,129</t>
        </is>
      </c>
      <c r="O10" s="308" t="inlineStr">
        <is>
          <t>$4,955</t>
        </is>
      </c>
      <c r="P10" s="308" t="inlineStr">
        <is>
          <t>$1,818</t>
        </is>
      </c>
      <c r="Q10" s="308" t="inlineStr">
        <is>
          <t>Not Listed</t>
        </is>
      </c>
      <c r="R10" s="308" t="inlineStr">
        <is>
          <t>94</t>
        </is>
      </c>
      <c r="S10" s="308" t="inlineStr">
        <is>
          <t>2000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(0 yr diff), 94 units, 8.6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Bougainvilla Apts</t>
        </is>
      </c>
      <c r="E11" s="311" t="inlineStr">
        <is>
          <t>1293 North River Road</t>
        </is>
      </c>
      <c r="F11" s="308" t="inlineStr">
        <is>
          <t>Denham Springs</t>
        </is>
      </c>
      <c r="G11" s="308" t="inlineStr">
        <is>
          <t>LA</t>
        </is>
      </c>
      <c r="H11" s="308" t="inlineStr">
        <is>
          <t>70726-0000</t>
        </is>
      </c>
      <c r="I11" s="308" t="inlineStr">
        <is>
          <t>14.0 mi</t>
        </is>
      </c>
      <c r="J11" s="308" t="inlineStr">
        <is>
          <t>$3,820</t>
        </is>
      </c>
      <c r="K11" s="308" t="inlineStr">
        <is>
          <t>$4,585</t>
        </is>
      </c>
      <c r="L11" s="308" t="inlineStr">
        <is>
          <t>$1,573</t>
        </is>
      </c>
      <c r="M11" s="308" t="inlineStr">
        <is>
          <t>Not Listed</t>
        </is>
      </c>
      <c r="N11" s="308" t="inlineStr">
        <is>
          <t>$4,129</t>
        </is>
      </c>
      <c r="O11" s="308" t="inlineStr">
        <is>
          <t>$4,955</t>
        </is>
      </c>
      <c r="P11" s="308" t="inlineStr">
        <is>
          <t>$1,818</t>
        </is>
      </c>
      <c r="Q11" s="308" t="inlineStr">
        <is>
          <t>Not Listed</t>
        </is>
      </c>
      <c r="R11" s="308" t="inlineStr">
        <is>
          <t>48</t>
        </is>
      </c>
      <c r="S11" s="308" t="inlineStr">
        <is>
          <t>1999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2" t="inlineStr">
        <is>
          <t>HIGH</t>
        </is>
      </c>
      <c r="AA11" s="313" t="inlineStr">
        <is>
          <t>Affordable Comp #3: LIHTC property, 1999 vintage (1 yr diff), 48 units, 14.0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High Point Apartments</t>
        </is>
      </c>
      <c r="E12" s="311" t="inlineStr">
        <is>
          <t>13823 Achord Lane</t>
        </is>
      </c>
      <c r="F12" s="308" t="inlineStr">
        <is>
          <t>Walker</t>
        </is>
      </c>
      <c r="G12" s="308" t="inlineStr">
        <is>
          <t>LA</t>
        </is>
      </c>
      <c r="H12" s="308" t="inlineStr">
        <is>
          <t>70785-0000</t>
        </is>
      </c>
      <c r="I12" s="308" t="inlineStr">
        <is>
          <t>19.8 mi</t>
        </is>
      </c>
      <c r="J12" s="308" t="inlineStr">
        <is>
          <t>$3,820</t>
        </is>
      </c>
      <c r="K12" s="308" t="inlineStr">
        <is>
          <t>$4,585</t>
        </is>
      </c>
      <c r="L12" s="308" t="inlineStr">
        <is>
          <t>$1,573</t>
        </is>
      </c>
      <c r="M12" s="308" t="inlineStr">
        <is>
          <t>Not Listed</t>
        </is>
      </c>
      <c r="N12" s="308" t="inlineStr">
        <is>
          <t>$4,129</t>
        </is>
      </c>
      <c r="O12" s="308" t="inlineStr">
        <is>
          <t>$4,955</t>
        </is>
      </c>
      <c r="P12" s="308" t="inlineStr">
        <is>
          <t>$1,818</t>
        </is>
      </c>
      <c r="Q12" s="308" t="inlineStr">
        <is>
          <t>Not Listed</t>
        </is>
      </c>
      <c r="R12" s="308" t="inlineStr">
        <is>
          <t>48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2000 vintage (0 yr diff), 48 units, 19.8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Sienna Lake Apartments</t>
        </is>
      </c>
      <c r="D13" s="318" t="inlineStr">
        <is>
          <t>COMPETITION</t>
        </is>
      </c>
      <c r="E13" s="319" t="inlineStr">
        <is>
          <t>5555 Sienna Lakes Dr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70820</t>
        </is>
      </c>
      <c r="I13" s="320" t="inlineStr">
        <is>
          <t>4.2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$1,573</t>
        </is>
      </c>
      <c r="M13" s="397" t="n">
        <v>1195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$1,818</t>
        </is>
      </c>
      <c r="Q13" s="322" t="inlineStr">
        <is>
          <t>N/A</t>
        </is>
      </c>
      <c r="R13" s="320" t="inlineStr">
        <is>
          <t>240</t>
        </is>
      </c>
      <c r="S13" s="320" t="inlineStr">
        <is>
          <t>2001</t>
        </is>
      </c>
      <c r="T13" s="320" t="inlineStr">
        <is>
          <t>1</t>
        </is>
      </c>
      <c r="U13" s="320" t="n"/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2001 vintage (1 yr diff), 240 units, 4.2 mi from subject. Shows market-rate rents vs. affordable housing discount.</t>
        </is>
      </c>
      <c r="AB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Willow Creek Apartments</t>
        </is>
      </c>
      <c r="E14" s="319" t="inlineStr">
        <is>
          <t>9800 Airline Hwy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70816</t>
        </is>
      </c>
      <c r="I14" s="320" t="inlineStr">
        <is>
          <t>6.8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$1,573</t>
        </is>
      </c>
      <c r="M14" s="397" t="n">
        <v>899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$1,818</t>
        </is>
      </c>
      <c r="Q14" s="322" t="inlineStr">
        <is>
          <t>N/A</t>
        </is>
      </c>
      <c r="R14" s="320" t="inlineStr">
        <is>
          <t>180</t>
        </is>
      </c>
      <c r="S14" s="320" t="inlineStr">
        <is>
          <t>1999</t>
        </is>
      </c>
      <c r="T14" s="320" t="inlineStr">
        <is>
          <t>1</t>
        </is>
      </c>
      <c r="U14" s="320" t="n"/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1999 vintage (1 yr diff), 180 units, 6.8 mi from subject. Shows market-rate rents vs. affordable housing discount.</t>
        </is>
      </c>
      <c r="AB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The Preserve at Harveston</t>
        </is>
      </c>
      <c r="E15" s="319" t="inlineStr">
        <is>
          <t>18000 Harveston Dr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70816</t>
        </is>
      </c>
      <c r="I15" s="320" t="inlineStr">
        <is>
          <t>8.5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$1,573</t>
        </is>
      </c>
      <c r="M15" s="397" t="n">
        <v>1290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$1,818</t>
        </is>
      </c>
      <c r="Q15" s="322" t="inlineStr">
        <is>
          <t>N/A</t>
        </is>
      </c>
      <c r="R15" s="320" t="inlineStr">
        <is>
          <t>200</t>
        </is>
      </c>
      <c r="S15" s="320" t="inlineStr">
        <is>
          <t>2002</t>
        </is>
      </c>
      <c r="T15" s="320" t="inlineStr">
        <is>
          <t>2</t>
        </is>
      </c>
      <c r="U15" s="320" t="n"/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2002 vintage (2 yr diff), 200 units, 8.5 mi from subject. Shows market-rate rents vs. affordable housing discount.</t>
        </is>
      </c>
      <c r="AB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Copper Mill Apartments</t>
        </is>
      </c>
      <c r="E16" s="319" t="inlineStr">
        <is>
          <t>10000 Copper Mill Dr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70818</t>
        </is>
      </c>
      <c r="I16" s="320" t="inlineStr">
        <is>
          <t>9.2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$1,573</t>
        </is>
      </c>
      <c r="M16" s="397" t="n">
        <v>1072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$1,818</t>
        </is>
      </c>
      <c r="Q16" s="322" t="inlineStr">
        <is>
          <t>N/A</t>
        </is>
      </c>
      <c r="R16" s="320" t="inlineStr">
        <is>
          <t>160</t>
        </is>
      </c>
      <c r="S16" s="320" t="inlineStr">
        <is>
          <t>2000</t>
        </is>
      </c>
      <c r="T16" s="320" t="inlineStr">
        <is>
          <t>0</t>
        </is>
      </c>
      <c r="U16" s="320" t="n"/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2000 vintage (0 yr diff), 160 units, 9.2 mi from subject. Shows market-rate rents vs. affordable housing discount.</t>
        </is>
      </c>
      <c r="AB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$1,573</t>
        </is>
      </c>
      <c r="M17" s="325" t="inlineStr">
        <is>
          <t>$1,573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$1,818</t>
        </is>
      </c>
      <c r="Q17" s="325" t="inlineStr">
        <is>
          <t>$1,818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Baton Rouge,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1114</v>
      </c>
      <c r="N18" s="329" t="n"/>
      <c r="O18" s="329" t="n"/>
      <c r="P18" s="329" t="n"/>
      <c r="Q18" s="398" t="n"/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3BD</t>
        </is>
      </c>
      <c r="B25" s="399">
        <f>'Current Rents'!F35</f>
        <v/>
      </c>
      <c r="C25" s="400" t="n">
        <v>1438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4BD</t>
        </is>
      </c>
      <c r="B26" s="399">
        <f>'Current Rents'!G35</f>
        <v/>
      </c>
      <c r="C26" s="400" t="n">
        <v>1114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ST. CHARLES PLACE  |  LAKE CHARLES, LA 70601</t>
        </is>
      </c>
      <c r="Z3" s="296" t="inlineStr">
        <is>
          <t>41 - St. Charles  |  ? Units  |  Section 8 / HUD  |  2BD &amp; 3BD</t>
        </is>
      </c>
    </row>
    <row r="4" ht="18" customFormat="1" customHeight="1" s="273">
      <c r="A4" s="297" t="inlineStr">
        <is>
          <t>1011 18th Street, Lake Charles, LA 70601  |  FY2026 FMR: 2BD $1,012 / 3BD $1,264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St. Charles Place (SUBJECT)</t>
        </is>
      </c>
      <c r="E8" s="304" t="inlineStr">
        <is>
          <t>1011 18th Street</t>
        </is>
      </c>
      <c r="F8" s="305" t="inlineStr">
        <is>
          <t>Lake Charles</t>
        </is>
      </c>
      <c r="G8" s="305" t="inlineStr">
        <is>
          <t>LA</t>
        </is>
      </c>
      <c r="H8" s="305" t="inlineStr">
        <is>
          <t>70601</t>
        </is>
      </c>
      <c r="I8" s="305" t="inlineStr">
        <is>
          <t>0.0 mi</t>
        </is>
      </c>
      <c r="J8" s="305" t="inlineStr">
        <is>
          <t>$3,233</t>
        </is>
      </c>
      <c r="K8" s="305" t="inlineStr">
        <is>
          <t>$3,880</t>
        </is>
      </c>
      <c r="L8" s="305" t="inlineStr">
        <is>
          <t>$1,012</t>
        </is>
      </c>
      <c r="M8" s="396">
        <f>'Current Rents'!E36</f>
        <v/>
      </c>
      <c r="N8" s="305" t="inlineStr">
        <is>
          <t>$3,591</t>
        </is>
      </c>
      <c r="O8" s="305" t="inlineStr">
        <is>
          <t>$4,310</t>
        </is>
      </c>
      <c r="P8" s="305" t="inlineStr">
        <is>
          <t>$1,264</t>
        </is>
      </c>
      <c r="Q8" s="396">
        <f>'Current Rents'!F36</f>
        <v/>
      </c>
      <c r="R8" s="305" t="inlineStr">
        <is>
          <t>121</t>
        </is>
      </c>
      <c r="S8" s="305" t="n">
        <v>2023</v>
      </c>
      <c r="T8" s="305" t="n">
        <v>0</v>
      </c>
      <c r="U8" s="305" t="inlineStr">
        <is>
          <t>Partial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121 units | Layered HUD/LIHTC property. Year built: 1995.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Valleyview Apts.</t>
        </is>
      </c>
      <c r="E9" s="311" t="inlineStr">
        <is>
          <t>4401 5Th Avenue South, 101</t>
        </is>
      </c>
      <c r="F9" s="308" t="inlineStr">
        <is>
          <t>Lake Charles</t>
        </is>
      </c>
      <c r="G9" s="308" t="inlineStr">
        <is>
          <t>LA</t>
        </is>
      </c>
      <c r="H9" s="308" t="inlineStr">
        <is>
          <t>70629-0000</t>
        </is>
      </c>
      <c r="I9" s="308" t="inlineStr">
        <is>
          <t>3.8 mi</t>
        </is>
      </c>
      <c r="J9" s="308" t="inlineStr">
        <is>
          <t>$3,233</t>
        </is>
      </c>
      <c r="K9" s="308" t="inlineStr">
        <is>
          <t>$3,880</t>
        </is>
      </c>
      <c r="L9" s="308" t="inlineStr">
        <is>
          <t>$1,012</t>
        </is>
      </c>
      <c r="M9" s="308" t="inlineStr">
        <is>
          <t>$875</t>
        </is>
      </c>
      <c r="N9" s="308" t="inlineStr">
        <is>
          <t>$3,591</t>
        </is>
      </c>
      <c r="O9" s="308" t="inlineStr">
        <is>
          <t>$4,310</t>
        </is>
      </c>
      <c r="P9" s="308" t="inlineStr">
        <is>
          <t>$1,264</t>
        </is>
      </c>
      <c r="Q9" s="308" t="inlineStr">
        <is>
          <t>$995</t>
        </is>
      </c>
      <c r="R9" s="308" t="inlineStr">
        <is>
          <t>100</t>
        </is>
      </c>
      <c r="S9" s="308" t="inlineStr">
        <is>
          <t>1998</t>
        </is>
      </c>
      <c r="T9" s="308" t="inlineStr">
        <is>
          <t>3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(3 yr diff), 100 units, 3.8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St Charles Place</t>
        </is>
      </c>
      <c r="E10" s="311" t="inlineStr">
        <is>
          <t>1011 West 18Th Street</t>
        </is>
      </c>
      <c r="F10" s="308" t="inlineStr">
        <is>
          <t>Lake Charles</t>
        </is>
      </c>
      <c r="G10" s="308" t="inlineStr">
        <is>
          <t>LA</t>
        </is>
      </c>
      <c r="H10" s="308" t="inlineStr">
        <is>
          <t>70601-0000</t>
        </is>
      </c>
      <c r="I10" s="308" t="inlineStr">
        <is>
          <t>1.8 mi</t>
        </is>
      </c>
      <c r="J10" s="308" t="inlineStr">
        <is>
          <t>$3,233</t>
        </is>
      </c>
      <c r="K10" s="308" t="inlineStr">
        <is>
          <t>$3,880</t>
        </is>
      </c>
      <c r="L10" s="308" t="inlineStr">
        <is>
          <t>$1,012</t>
        </is>
      </c>
      <c r="M10" s="308" t="inlineStr">
        <is>
          <t>$750</t>
        </is>
      </c>
      <c r="N10" s="308" t="inlineStr">
        <is>
          <t>$3,591</t>
        </is>
      </c>
      <c r="O10" s="308" t="inlineStr">
        <is>
          <t>$4,310</t>
        </is>
      </c>
      <c r="P10" s="308" t="inlineStr">
        <is>
          <t>$1,264</t>
        </is>
      </c>
      <c r="Q10" s="308" t="inlineStr">
        <is>
          <t>Not Listed</t>
        </is>
      </c>
      <c r="R10" s="308" t="inlineStr">
        <is>
          <t>121</t>
        </is>
      </c>
      <c r="S10" s="308" t="inlineStr">
        <is>
          <t>2000</t>
        </is>
      </c>
      <c r="T10" s="308" t="inlineStr">
        <is>
          <t>5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2000 vintage (5 yr diff), 121 units, 1.8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Woodcrest Apts</t>
        </is>
      </c>
      <c r="E11" s="311" t="inlineStr">
        <is>
          <t>100 Village Manor Blvd</t>
        </is>
      </c>
      <c r="F11" s="308" t="inlineStr">
        <is>
          <t>Shreveport</t>
        </is>
      </c>
      <c r="G11" s="308" t="inlineStr">
        <is>
          <t>LA</t>
        </is>
      </c>
      <c r="H11" s="308" t="n"/>
      <c r="I11" s="308" t="inlineStr">
        <is>
          <t>N/A</t>
        </is>
      </c>
      <c r="J11" s="308" t="inlineStr">
        <is>
          <t>$3,233</t>
        </is>
      </c>
      <c r="K11" s="308" t="inlineStr">
        <is>
          <t>$3,880</t>
        </is>
      </c>
      <c r="L11" s="308" t="inlineStr">
        <is>
          <t>$1,012</t>
        </is>
      </c>
      <c r="M11" s="308" t="inlineStr">
        <is>
          <t>Not Listed</t>
        </is>
      </c>
      <c r="N11" s="308" t="inlineStr">
        <is>
          <t>$3,591</t>
        </is>
      </c>
      <c r="O11" s="308" t="inlineStr">
        <is>
          <t>$4,310</t>
        </is>
      </c>
      <c r="P11" s="308" t="inlineStr">
        <is>
          <t>$1,264</t>
        </is>
      </c>
      <c r="Q11" s="308" t="inlineStr">
        <is>
          <t>Not Listed</t>
        </is>
      </c>
      <c r="R11" s="308" t="inlineStr">
        <is>
          <t>84</t>
        </is>
      </c>
      <c r="S11" s="308" t="inlineStr">
        <is>
          <t>1994</t>
        </is>
      </c>
      <c r="T11" s="308" t="inlineStr">
        <is>
          <t>1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1994 vintage (1 yr diff), 84 units, N/A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Fifth Avenue Apts</t>
        </is>
      </c>
      <c r="E12" s="311" t="inlineStr">
        <is>
          <t>4247 Fifth Avenue</t>
        </is>
      </c>
      <c r="F12" s="308" t="inlineStr">
        <is>
          <t>Lake Charles</t>
        </is>
      </c>
      <c r="G12" s="308" t="inlineStr">
        <is>
          <t>LA</t>
        </is>
      </c>
      <c r="H12" s="308" t="inlineStr">
        <is>
          <t>70607-0000</t>
        </is>
      </c>
      <c r="I12" s="308" t="inlineStr">
        <is>
          <t>3.5 mi</t>
        </is>
      </c>
      <c r="J12" s="308" t="inlineStr">
        <is>
          <t>$3,233</t>
        </is>
      </c>
      <c r="K12" s="308" t="inlineStr">
        <is>
          <t>$3,880</t>
        </is>
      </c>
      <c r="L12" s="308" t="inlineStr">
        <is>
          <t>$1,012</t>
        </is>
      </c>
      <c r="M12" s="308" t="inlineStr">
        <is>
          <t>Not Listed</t>
        </is>
      </c>
      <c r="N12" s="308" t="inlineStr">
        <is>
          <t>$3,591</t>
        </is>
      </c>
      <c r="O12" s="308" t="inlineStr">
        <is>
          <t>$4,310</t>
        </is>
      </c>
      <c r="P12" s="308" t="inlineStr">
        <is>
          <t>$1,264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1999</t>
        </is>
      </c>
      <c r="T12" s="308" t="inlineStr">
        <is>
          <t>4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2" t="inlineStr">
        <is>
          <t>HIGH</t>
        </is>
      </c>
      <c r="AA12" s="313" t="inlineStr">
        <is>
          <t>Affordable Comp #4: LIHTC property, 1999 vintage (4 yr diff), 80 units, 3.5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Country Club Pointe Apartment Homes</t>
        </is>
      </c>
      <c r="D13" s="318" t="inlineStr">
        <is>
          <t>COMPETITION</t>
        </is>
      </c>
      <c r="E13" s="319" t="inlineStr">
        <is>
          <t>2845 Country Club Rd</t>
        </is>
      </c>
      <c r="F13" s="320" t="inlineStr">
        <is>
          <t>Lake Charles</t>
        </is>
      </c>
      <c r="G13" s="320" t="inlineStr">
        <is>
          <t>LA</t>
        </is>
      </c>
      <c r="H13" s="320" t="inlineStr">
        <is>
          <t>70605</t>
        </is>
      </c>
      <c r="I13" s="320" t="inlineStr">
        <is>
          <t>3.5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$1,012</t>
        </is>
      </c>
      <c r="M13" s="397" t="n">
        <v>1455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$1,264</t>
        </is>
      </c>
      <c r="Q13" s="397" t="n">
        <v>1588</v>
      </c>
      <c r="R13" s="320" t="inlineStr">
        <is>
          <t>144</t>
        </is>
      </c>
      <c r="S13" s="320" t="inlineStr">
        <is>
          <t>1997</t>
        </is>
      </c>
      <c r="T13" s="320" t="inlineStr">
        <is>
          <t>2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1997 vintage (2 yr diff), 144 units, 3.5 mi from subject. Shows market-rate rents vs. affordable housing discount.</t>
        </is>
      </c>
      <c r="AB13" s="319" t="inlineStr">
        <is>
          <t>https://www.rentcafe.com/apartments-for-rent/us/la/lake-charles/valleyview/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Crescent at Country Club</t>
        </is>
      </c>
      <c r="E14" s="319" t="inlineStr">
        <is>
          <t>1531 Country Club Rd</t>
        </is>
      </c>
      <c r="F14" s="320" t="inlineStr">
        <is>
          <t>Lake Charles</t>
        </is>
      </c>
      <c r="G14" s="320" t="inlineStr">
        <is>
          <t>LA</t>
        </is>
      </c>
      <c r="H14" s="320" t="inlineStr">
        <is>
          <t>70605</t>
        </is>
      </c>
      <c r="I14" s="320" t="inlineStr">
        <is>
          <t>4.8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$1,012</t>
        </is>
      </c>
      <c r="M14" s="397" t="n">
        <v>1245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$1,264</t>
        </is>
      </c>
      <c r="Q14" s="397" t="n">
        <v>1370</v>
      </c>
      <c r="R14" s="320" t="inlineStr">
        <is>
          <t>120</t>
        </is>
      </c>
      <c r="S14" s="320" t="inlineStr">
        <is>
          <t>1993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1993 vintage (2 yr diff), 120 units, 4.8 mi from subject. Shows market-rate rents vs. affordable housing discount.</t>
        </is>
      </c>
      <c r="AB14" s="319" t="inlineStr">
        <is>
          <t>https://www.rentcafe.com/apartments-for-rent/us/la/lake-charles/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Evergreen at River Oaks</t>
        </is>
      </c>
      <c r="E15" s="319" t="inlineStr">
        <is>
          <t>4650 Nelson Rd</t>
        </is>
      </c>
      <c r="F15" s="320" t="inlineStr">
        <is>
          <t>Lake Charles</t>
        </is>
      </c>
      <c r="G15" s="320" t="inlineStr">
        <is>
          <t>LA</t>
        </is>
      </c>
      <c r="H15" s="320" t="inlineStr">
        <is>
          <t>70605</t>
        </is>
      </c>
      <c r="I15" s="320" t="inlineStr">
        <is>
          <t>7.2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$1,012</t>
        </is>
      </c>
      <c r="M15" s="397" t="n">
        <v>1330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$1,264</t>
        </is>
      </c>
      <c r="Q15" s="397" t="n">
        <v>1450</v>
      </c>
      <c r="R15" s="320" t="inlineStr">
        <is>
          <t>96</t>
        </is>
      </c>
      <c r="S15" s="320" t="inlineStr">
        <is>
          <t>1998</t>
        </is>
      </c>
      <c r="T15" s="320" t="inlineStr">
        <is>
          <t>3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1998 vintage (3 yr diff), 96 units, 7.2 mi from subject. Shows market-rate rents vs. affordable housing discount.</t>
        </is>
      </c>
      <c r="AB15" s="319" t="inlineStr">
        <is>
          <t>https://www.rentcafe.com/apartments-for-rent/us/la/lake-charles/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The Reserve at Power Place</t>
        </is>
      </c>
      <c r="E16" s="319" t="inlineStr">
        <is>
          <t>2301 Power Centre Pky</t>
        </is>
      </c>
      <c r="F16" s="320" t="inlineStr">
        <is>
          <t>Lake Charles</t>
        </is>
      </c>
      <c r="G16" s="320" t="inlineStr">
        <is>
          <t>LA</t>
        </is>
      </c>
      <c r="H16" s="320" t="inlineStr">
        <is>
          <t>70607</t>
        </is>
      </c>
      <c r="I16" s="320" t="inlineStr">
        <is>
          <t>8.0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$1,012</t>
        </is>
      </c>
      <c r="M16" s="397" t="n">
        <v>812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$1,264</t>
        </is>
      </c>
      <c r="Q16" s="397" t="n">
        <v>971</v>
      </c>
      <c r="R16" s="320" t="inlineStr">
        <is>
          <t>72</t>
        </is>
      </c>
      <c r="S16" s="320" t="inlineStr">
        <is>
          <t>1993</t>
        </is>
      </c>
      <c r="T16" s="320" t="inlineStr">
        <is>
          <t>2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1993 vintage (2 yr diff), 72 units, 8.0 mi from subject. Shows market-rate rents vs. affordable housing discount.</t>
        </is>
      </c>
      <c r="AB16" s="319" t="inlineStr">
        <is>
          <t>https://www.rentcafe.com/apartments-for-rent/us/la/lake-charles/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Lake Charles, LA</t>
        </is>
      </c>
      <c r="E17" s="325" t="inlineStr">
        <is>
          <t>N/A</t>
        </is>
      </c>
      <c r="F17" s="325" t="inlineStr">
        <is>
          <t>Lake Charles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$1,012</t>
        </is>
      </c>
      <c r="M17" s="325" t="inlineStr">
        <is>
          <t>$1,012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$1,264</t>
        </is>
      </c>
      <c r="Q17" s="325" t="inlineStr">
        <is>
          <t>$1,264</t>
        </is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Lake Charles, LA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Lake Charles, LA (Apartments.com, Jun 2026)</t>
        </is>
      </c>
      <c r="E18" s="329" t="inlineStr">
        <is>
          <t>N/A</t>
        </is>
      </c>
      <c r="F18" s="329" t="inlineStr">
        <is>
          <t>Lake Charles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1210</v>
      </c>
      <c r="N18" s="329" t="n"/>
      <c r="O18" s="329" t="n"/>
      <c r="P18" s="329" t="n"/>
      <c r="Q18" s="398" t="n">
        <v>1345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2BD</t>
        </is>
      </c>
      <c r="B25" s="399">
        <f>'Current Rents'!E36</f>
        <v/>
      </c>
      <c r="C25" s="400" t="n">
        <v>875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3BD</t>
        </is>
      </c>
      <c r="B26" s="399">
        <f>'Current Rents'!F36</f>
        <v/>
      </c>
      <c r="C26" s="400" t="n">
        <v>1210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s="273" t="n">
        <v>1345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PELICAN BAY  |  BATON ROUGE, LA 70806</t>
        </is>
      </c>
      <c r="AH3" s="296" t="inlineStr">
        <is>
          <t>55 - Pelican Bay  |  ? Units  |  Section 8 / HUD  |  2BD &amp; 3BD</t>
        </is>
      </c>
    </row>
    <row r="4" ht="18" customFormat="1" customHeight="1" s="273">
      <c r="A4" s="297" t="inlineStr">
        <is>
          <t>2121 N Lobdell Blvd, Baton Rouge, LA 70806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Pelican Bay (SUBJECT)</t>
        </is>
      </c>
      <c r="E8" s="304" t="inlineStr">
        <is>
          <t>2121 N Lobdell Blvd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70806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Rents'!D37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Rents'!E37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Rents'!F37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Rents'!G37</f>
        <v/>
      </c>
      <c r="Z8" s="305" t="inlineStr">
        <is>
          <t>152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Yes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152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Bon Carre' Court (Melrose)</t>
        </is>
      </c>
      <c r="E9" s="311" t="inlineStr">
        <is>
          <t>6645 Harry Dr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</t>
        </is>
      </c>
      <c r="I9" s="308" t="inlineStr">
        <is>
          <t>3.9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$965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$1,185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$1,450</t>
        </is>
      </c>
      <c r="Z9" s="308" t="inlineStr">
        <is>
          <t>172</t>
        </is>
      </c>
      <c r="AA9" s="308" t="inlineStr">
        <is>
          <t>2003</t>
        </is>
      </c>
      <c r="AB9" s="308" t="inlineStr">
        <is>
          <t>2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2003 vintage (2 yr diff), 172 units, 3.9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Newport Villa</t>
        </is>
      </c>
      <c r="E10" s="311" t="inlineStr">
        <is>
          <t>1737 La Annie Dr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70815</t>
        </is>
      </c>
      <c r="I10" s="308" t="inlineStr">
        <is>
          <t>8.6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94</t>
        </is>
      </c>
      <c r="AA10" s="308" t="inlineStr">
        <is>
          <t>2000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2000 vintage (1 yr diff), 94 units, 8.6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Mt. Zion Homess</t>
        </is>
      </c>
      <c r="E11" s="311" t="inlineStr">
        <is>
          <t>802 N. 22Nd St., Gracie St, N. 29Th St.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70802-0000</t>
        </is>
      </c>
      <c r="I11" s="308" t="inlineStr">
        <is>
          <t>1.3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31</t>
        </is>
      </c>
      <c r="AA11" s="308" t="inlineStr">
        <is>
          <t>2001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2001 vintage (0 yr diff), 31 units, 1.3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Howell Place</t>
        </is>
      </c>
      <c r="E12" s="311" t="inlineStr">
        <is>
          <t>4150 72Nd St.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70811-0000</t>
        </is>
      </c>
      <c r="I12" s="308" t="inlineStr">
        <is>
          <t>5.0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48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48 units, 5.0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5.5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5.5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7.2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9.0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9.0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10.5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10.5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Rents'!D37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Rents'!E37</f>
        <v/>
      </c>
      <c r="C26" s="400" t="n">
        <v>834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Rents'!F37</f>
        <v/>
      </c>
      <c r="C27" s="400" t="n">
        <v>939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Rents'!G37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HOWELL PLACE  |  BATON ROUGE, LA 70811</t>
        </is>
      </c>
      <c r="AH3" s="296" t="inlineStr">
        <is>
          <t>56 - Howell Place  |  ? Units  |  Section 8 / HUD  |  2BD &amp; 3BD</t>
        </is>
      </c>
    </row>
    <row r="4" ht="18" customFormat="1" customHeight="1" s="273">
      <c r="A4" s="297" t="inlineStr">
        <is>
          <t>4150 72nd Avenue,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Howell Place (SUBJECT)</t>
        </is>
      </c>
      <c r="E8" s="304" t="inlineStr">
        <is>
          <t>4150 72nd Avenue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Rents'!D38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Rents'!E38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Rents'!F38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Rents'!G38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4.8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4.8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6.5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6.5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8.2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8.2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9.8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9.8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Rents'!D38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Rents'!E38</f>
        <v/>
      </c>
      <c r="C26" s="400" t="n">
        <v>834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Rents'!F38</f>
        <v/>
      </c>
      <c r="C27" s="400" t="n">
        <v>939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Rents'!G38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PIRATES BEND  |  BATON ROUGE, LA 70811</t>
        </is>
      </c>
      <c r="AH3" s="296" t="inlineStr">
        <is>
          <t>57 - Pirates Bend  |  ? Units  |  Section 8 / HUD  |  2BD &amp; 3BD</t>
        </is>
      </c>
    </row>
    <row r="4" ht="18" customFormat="1" customHeight="1" s="273">
      <c r="A4" s="297" t="inlineStr">
        <is>
          <t>8165 Plank Road, Baton Rouge, LA 70811  |  FY2026 FMR: 1BD $916 / 2BD $1,254 / 3BD $1,573 / 4BD $1,818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Pirates Bend (SUBJECT)</t>
        </is>
      </c>
      <c r="E8" s="304" t="inlineStr">
        <is>
          <t>8165 Plank Road</t>
        </is>
      </c>
      <c r="F8" s="305" t="inlineStr">
        <is>
          <t>Baton Rouge</t>
        </is>
      </c>
      <c r="G8" s="305" t="inlineStr">
        <is>
          <t>LA</t>
        </is>
      </c>
      <c r="H8" s="305" t="inlineStr">
        <is>
          <t>70811</t>
        </is>
      </c>
      <c r="I8" s="305" t="inlineStr">
        <is>
          <t>0.0 mi</t>
        </is>
      </c>
      <c r="J8" s="305" t="inlineStr">
        <is>
          <t>$2,866</t>
        </is>
      </c>
      <c r="K8" s="305" t="inlineStr">
        <is>
          <t>$3,440</t>
        </is>
      </c>
      <c r="L8" s="305" t="inlineStr">
        <is>
          <t>$916</t>
        </is>
      </c>
      <c r="M8" s="396">
        <f>'Current Rents'!D39</f>
        <v/>
      </c>
      <c r="N8" s="305" t="inlineStr">
        <is>
          <t>$3,441</t>
        </is>
      </c>
      <c r="O8" s="305" t="inlineStr">
        <is>
          <t>$4,130</t>
        </is>
      </c>
      <c r="P8" s="305" t="inlineStr">
        <is>
          <t>$1,254</t>
        </is>
      </c>
      <c r="Q8" s="396">
        <f>'Current Rents'!E39</f>
        <v/>
      </c>
      <c r="R8" s="305" t="inlineStr">
        <is>
          <t>$3,820</t>
        </is>
      </c>
      <c r="S8" s="305" t="inlineStr">
        <is>
          <t>$4,585</t>
        </is>
      </c>
      <c r="T8" s="305" t="inlineStr">
        <is>
          <t>$1,573</t>
        </is>
      </c>
      <c r="U8" s="396">
        <f>'Current Rents'!F39</f>
        <v/>
      </c>
      <c r="V8" s="305" t="inlineStr">
        <is>
          <t>$4,129</t>
        </is>
      </c>
      <c r="W8" s="305" t="inlineStr">
        <is>
          <t>$4,955</t>
        </is>
      </c>
      <c r="X8" s="305" t="inlineStr">
        <is>
          <t>$1,818</t>
        </is>
      </c>
      <c r="Y8" s="396">
        <f>'Current Rents'!G39</f>
        <v/>
      </c>
      <c r="Z8" s="305" t="inlineStr">
        <is>
          <t>48</t>
        </is>
      </c>
      <c r="AA8" s="305" t="inlineStr">
        <is>
          <t>2001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48 units | Section 8/HUD property. Year built: 2001.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Pelican Bay Iii</t>
        </is>
      </c>
      <c r="E9" s="311" t="inlineStr">
        <is>
          <t>2121 N. Lobdell Blvd.</t>
        </is>
      </c>
      <c r="F9" s="308" t="inlineStr">
        <is>
          <t>Baton Rouge</t>
        </is>
      </c>
      <c r="G9" s="308" t="inlineStr">
        <is>
          <t>LA</t>
        </is>
      </c>
      <c r="H9" s="308" t="inlineStr">
        <is>
          <t>70806-0000</t>
        </is>
      </c>
      <c r="I9" s="308" t="inlineStr">
        <is>
          <t>4.1 mi</t>
        </is>
      </c>
      <c r="J9" s="308" t="inlineStr">
        <is>
          <t>$2,866</t>
        </is>
      </c>
      <c r="K9" s="308" t="inlineStr">
        <is>
          <t>$3,440</t>
        </is>
      </c>
      <c r="L9" s="308" t="inlineStr">
        <is>
          <t>$916</t>
        </is>
      </c>
      <c r="M9" s="308" t="inlineStr">
        <is>
          <t>Not Listed</t>
        </is>
      </c>
      <c r="N9" s="308" t="inlineStr">
        <is>
          <t>$3,441</t>
        </is>
      </c>
      <c r="O9" s="308" t="inlineStr">
        <is>
          <t>$4,130</t>
        </is>
      </c>
      <c r="P9" s="308" t="inlineStr">
        <is>
          <t>$1,254</t>
        </is>
      </c>
      <c r="Q9" s="308" t="inlineStr">
        <is>
          <t>Not Listed</t>
        </is>
      </c>
      <c r="R9" s="308" t="inlineStr">
        <is>
          <t>$3,820</t>
        </is>
      </c>
      <c r="S9" s="308" t="inlineStr">
        <is>
          <t>$4,585</t>
        </is>
      </c>
      <c r="T9" s="308" t="inlineStr">
        <is>
          <t>$1,573</t>
        </is>
      </c>
      <c r="U9" s="308" t="inlineStr">
        <is>
          <t>Not Listed</t>
        </is>
      </c>
      <c r="V9" s="308" t="inlineStr">
        <is>
          <t>$4,129</t>
        </is>
      </c>
      <c r="W9" s="308" t="inlineStr">
        <is>
          <t>$4,955</t>
        </is>
      </c>
      <c r="X9" s="308" t="inlineStr">
        <is>
          <t>$1,818</t>
        </is>
      </c>
      <c r="Y9" s="308" t="inlineStr">
        <is>
          <t>Not Listed</t>
        </is>
      </c>
      <c r="Z9" s="308" t="inlineStr">
        <is>
          <t>48</t>
        </is>
      </c>
      <c r="AA9" s="308" t="inlineStr">
        <is>
          <t>2001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LIHTC property, 2001 vintage (0 yr diff), 48 units, 4.1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Mt. Zion Homess</t>
        </is>
      </c>
      <c r="E10" s="311" t="inlineStr">
        <is>
          <t>802 N. 22Nd St., Gracie St, N. 29Th St.</t>
        </is>
      </c>
      <c r="F10" s="308" t="inlineStr">
        <is>
          <t>Baton Rouge</t>
        </is>
      </c>
      <c r="G10" s="308" t="inlineStr">
        <is>
          <t>LA</t>
        </is>
      </c>
      <c r="H10" s="308" t="inlineStr">
        <is>
          <t>70802-0000</t>
        </is>
      </c>
      <c r="I10" s="308" t="inlineStr">
        <is>
          <t>1.3 mi</t>
        </is>
      </c>
      <c r="J10" s="308" t="inlineStr">
        <is>
          <t>$2,866</t>
        </is>
      </c>
      <c r="K10" s="308" t="inlineStr">
        <is>
          <t>$3,440</t>
        </is>
      </c>
      <c r="L10" s="308" t="inlineStr">
        <is>
          <t>$916</t>
        </is>
      </c>
      <c r="M10" s="308" t="inlineStr">
        <is>
          <t>Not Listed</t>
        </is>
      </c>
      <c r="N10" s="308" t="inlineStr">
        <is>
          <t>$3,441</t>
        </is>
      </c>
      <c r="O10" s="308" t="inlineStr">
        <is>
          <t>$4,130</t>
        </is>
      </c>
      <c r="P10" s="308" t="inlineStr">
        <is>
          <t>$1,254</t>
        </is>
      </c>
      <c r="Q10" s="308" t="inlineStr">
        <is>
          <t>Not Listed</t>
        </is>
      </c>
      <c r="R10" s="308" t="inlineStr">
        <is>
          <t>$3,820</t>
        </is>
      </c>
      <c r="S10" s="308" t="inlineStr">
        <is>
          <t>$4,585</t>
        </is>
      </c>
      <c r="T10" s="308" t="inlineStr">
        <is>
          <t>$1,573</t>
        </is>
      </c>
      <c r="U10" s="308" t="inlineStr">
        <is>
          <t>Not Listed</t>
        </is>
      </c>
      <c r="V10" s="308" t="inlineStr">
        <is>
          <t>$4,129</t>
        </is>
      </c>
      <c r="W10" s="308" t="inlineStr">
        <is>
          <t>$4,955</t>
        </is>
      </c>
      <c r="X10" s="308" t="inlineStr">
        <is>
          <t>$1,818</t>
        </is>
      </c>
      <c r="Y10" s="308" t="inlineStr">
        <is>
          <t>Not Listed</t>
        </is>
      </c>
      <c r="Z10" s="308" t="inlineStr">
        <is>
          <t>31</t>
        </is>
      </c>
      <c r="AA10" s="308" t="inlineStr">
        <is>
          <t>2001</t>
        </is>
      </c>
      <c r="AB10" s="308" t="inlineStr">
        <is>
          <t>0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LIHTC property, 2001 vintage (0 yr diff), 31 units, 1.3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Restoration Baton Rouge Ii</t>
        </is>
      </c>
      <c r="E11" s="311" t="inlineStr">
        <is>
          <t>2906 Government Street</t>
        </is>
      </c>
      <c r="F11" s="308" t="inlineStr">
        <is>
          <t>Baton Rouge</t>
        </is>
      </c>
      <c r="G11" s="308" t="inlineStr">
        <is>
          <t>LA</t>
        </is>
      </c>
      <c r="H11" s="308" t="inlineStr">
        <is>
          <t>70806-0000</t>
        </is>
      </c>
      <c r="I11" s="308" t="inlineStr">
        <is>
          <t>1.8 mi</t>
        </is>
      </c>
      <c r="J11" s="308" t="inlineStr">
        <is>
          <t>$2,866</t>
        </is>
      </c>
      <c r="K11" s="308" t="inlineStr">
        <is>
          <t>$3,440</t>
        </is>
      </c>
      <c r="L11" s="308" t="inlineStr">
        <is>
          <t>$916</t>
        </is>
      </c>
      <c r="M11" s="308" t="inlineStr">
        <is>
          <t>Not Listed</t>
        </is>
      </c>
      <c r="N11" s="308" t="inlineStr">
        <is>
          <t>$3,441</t>
        </is>
      </c>
      <c r="O11" s="308" t="inlineStr">
        <is>
          <t>$4,130</t>
        </is>
      </c>
      <c r="P11" s="308" t="inlineStr">
        <is>
          <t>$1,254</t>
        </is>
      </c>
      <c r="Q11" s="308" t="inlineStr">
        <is>
          <t>Not Listed</t>
        </is>
      </c>
      <c r="R11" s="308" t="inlineStr">
        <is>
          <t>$3,820</t>
        </is>
      </c>
      <c r="S11" s="308" t="inlineStr">
        <is>
          <t>$4,585</t>
        </is>
      </c>
      <c r="T11" s="308" t="inlineStr">
        <is>
          <t>$1,573</t>
        </is>
      </c>
      <c r="U11" s="308" t="inlineStr">
        <is>
          <t>Not Listed</t>
        </is>
      </c>
      <c r="V11" s="308" t="inlineStr">
        <is>
          <t>$4,129</t>
        </is>
      </c>
      <c r="W11" s="308" t="inlineStr">
        <is>
          <t>$4,955</t>
        </is>
      </c>
      <c r="X11" s="308" t="inlineStr">
        <is>
          <t>$1,818</t>
        </is>
      </c>
      <c r="Y11" s="308" t="inlineStr">
        <is>
          <t>Not Listed</t>
        </is>
      </c>
      <c r="Z11" s="308" t="inlineStr">
        <is>
          <t>36</t>
        </is>
      </c>
      <c r="AA11" s="308" t="inlineStr">
        <is>
          <t>2002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#3: LIHTC property, 2002 vintage (1 yr diff), 36 units, 1.8 mi from subject. Same income-eligible renter pool.</t>
        </is>
      </c>
      <c r="AJ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Restoration Baton Rouge I</t>
        </is>
      </c>
      <c r="E12" s="311" t="inlineStr">
        <is>
          <t>605 North 33Rd Street</t>
        </is>
      </c>
      <c r="F12" s="308" t="inlineStr">
        <is>
          <t>Baton Rouge</t>
        </is>
      </c>
      <c r="G12" s="308" t="inlineStr">
        <is>
          <t>LA</t>
        </is>
      </c>
      <c r="H12" s="308" t="inlineStr">
        <is>
          <t>70802-0000</t>
        </is>
      </c>
      <c r="I12" s="308" t="inlineStr">
        <is>
          <t>1.9 mi</t>
        </is>
      </c>
      <c r="J12" s="308" t="inlineStr">
        <is>
          <t>$2,866</t>
        </is>
      </c>
      <c r="K12" s="308" t="inlineStr">
        <is>
          <t>$3,440</t>
        </is>
      </c>
      <c r="L12" s="308" t="inlineStr">
        <is>
          <t>$916</t>
        </is>
      </c>
      <c r="M12" s="308" t="inlineStr">
        <is>
          <t>Not Listed</t>
        </is>
      </c>
      <c r="N12" s="308" t="inlineStr">
        <is>
          <t>$3,441</t>
        </is>
      </c>
      <c r="O12" s="308" t="inlineStr">
        <is>
          <t>$4,130</t>
        </is>
      </c>
      <c r="P12" s="308" t="inlineStr">
        <is>
          <t>$1,254</t>
        </is>
      </c>
      <c r="Q12" s="308" t="inlineStr">
        <is>
          <t>Not Listed</t>
        </is>
      </c>
      <c r="R12" s="308" t="inlineStr">
        <is>
          <t>$3,820</t>
        </is>
      </c>
      <c r="S12" s="308" t="inlineStr">
        <is>
          <t>$4,585</t>
        </is>
      </c>
      <c r="T12" s="308" t="inlineStr">
        <is>
          <t>$1,573</t>
        </is>
      </c>
      <c r="U12" s="308" t="inlineStr">
        <is>
          <t>Not Listed</t>
        </is>
      </c>
      <c r="V12" s="308" t="inlineStr">
        <is>
          <t>$4,129</t>
        </is>
      </c>
      <c r="W12" s="308" t="inlineStr">
        <is>
          <t>$4,955</t>
        </is>
      </c>
      <c r="X12" s="308" t="inlineStr">
        <is>
          <t>$1,818</t>
        </is>
      </c>
      <c r="Y12" s="308" t="inlineStr">
        <is>
          <t>Not Listed</t>
        </is>
      </c>
      <c r="Z12" s="308" t="inlineStr">
        <is>
          <t>32</t>
        </is>
      </c>
      <c r="AA12" s="308" t="inlineStr">
        <is>
          <t>2002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LIHTC property, 2002 vintage (1 yr diff), 32 units, 1.9 mi from subject. Same income-eligible renter pool.</t>
        </is>
      </c>
      <c r="AJ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Copper Ridge</t>
        </is>
      </c>
      <c r="D13" s="318" t="inlineStr">
        <is>
          <t>COMPETITION</t>
        </is>
      </c>
      <c r="E13" s="319" t="inlineStr">
        <is>
          <t>2080 N Lobdell Ave</t>
        </is>
      </c>
      <c r="F13" s="320" t="inlineStr">
        <is>
          <t>Baton Rouge</t>
        </is>
      </c>
      <c r="G13" s="320" t="inlineStr">
        <is>
          <t>LA</t>
        </is>
      </c>
      <c r="H13" s="320" t="inlineStr">
        <is>
          <t>70806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$916</t>
        </is>
      </c>
      <c r="M13" s="397" t="n">
        <v>770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$1,254</t>
        </is>
      </c>
      <c r="Q13" s="397" t="n">
        <v>910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$1,573</t>
        </is>
      </c>
      <c r="U13" s="397" t="n">
        <v>1450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$1,818</t>
        </is>
      </c>
      <c r="Y13" s="322" t="inlineStr">
        <is>
          <t>Not Listed</t>
        </is>
      </c>
      <c r="Z13" s="320" t="inlineStr">
        <is>
          <t>240</t>
        </is>
      </c>
      <c r="AA13" s="320" t="inlineStr">
        <is>
          <t>2001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2001 vintage (0 yr diff), 240 units, 5.0 mi from subject. Shows market-rate rents vs. affordable housing discount.</t>
        </is>
      </c>
      <c r="AJ13" s="319" t="inlineStr">
        <is>
          <t>https://www.rentcafe.com/apartments-for-rent/us/la/baton-rouge/sienna-lake/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Bellecour Crossings</t>
        </is>
      </c>
      <c r="E14" s="319" t="inlineStr">
        <is>
          <t>1251 N Ardenwood Dr</t>
        </is>
      </c>
      <c r="F14" s="320" t="inlineStr">
        <is>
          <t>Baton Rouge</t>
        </is>
      </c>
      <c r="G14" s="320" t="inlineStr">
        <is>
          <t>LA</t>
        </is>
      </c>
      <c r="H14" s="320" t="inlineStr">
        <is>
          <t>70806</t>
        </is>
      </c>
      <c r="I14" s="320" t="inlineStr">
        <is>
          <t>7.0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$916</t>
        </is>
      </c>
      <c r="M14" s="397" t="n">
        <v>799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$1,254</t>
        </is>
      </c>
      <c r="Q14" s="397" t="n">
        <v>849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$1,573</t>
        </is>
      </c>
      <c r="U14" s="397" t="n">
        <v>1400</v>
      </c>
      <c r="V14" s="320" t="inlineStr">
        <is>
          <t>N/A (Market Rate)</t>
        </is>
      </c>
      <c r="W14" s="320" t="inlineStr">
        <is>
          <t>N/A (Market Rate)</t>
        </is>
      </c>
      <c r="X14" s="320" t="inlineStr">
        <is>
          <t>$1,818</t>
        </is>
      </c>
      <c r="Y14" s="322" t="inlineStr">
        <is>
          <t>Not Listed</t>
        </is>
      </c>
      <c r="Z14" s="320" t="inlineStr">
        <is>
          <t>180</t>
        </is>
      </c>
      <c r="AA14" s="320" t="inlineStr">
        <is>
          <t>1999</t>
        </is>
      </c>
      <c r="AB14" s="320" t="inlineStr">
        <is>
          <t>2</t>
        </is>
      </c>
      <c r="AC14" s="320" t="inlineStr">
        <is>
          <t>Varies</t>
        </is>
      </c>
      <c r="AD14" s="320" t="inlineStr">
        <is>
          <t>Varies</t>
        </is>
      </c>
      <c r="AE14" s="320" t="inlineStr">
        <is>
          <t>Varies</t>
        </is>
      </c>
      <c r="AF14" s="320" t="inlineStr">
        <is>
          <t>Varies</t>
        </is>
      </c>
      <c r="AG14" s="320" t="inlineStr">
        <is>
          <t>Varies</t>
        </is>
      </c>
      <c r="AH14" s="323" t="inlineStr">
        <is>
          <t>HIGH</t>
        </is>
      </c>
      <c r="AI14" s="324" t="inlineStr">
        <is>
          <t>Market Rate Comp #2: No income restrictions, 1999 vintage (2 yr diff), 180 units, 7.0 mi from subject. Shows market-rate rents vs. affordable housing discount.</t>
        </is>
      </c>
      <c r="AJ14" s="319" t="inlineStr">
        <is>
          <t>https://www.rentcafe.com/apartments-for-rent/us/la/baton-rouge/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Ardendale Oaks Apartments</t>
        </is>
      </c>
      <c r="E15" s="319" t="inlineStr">
        <is>
          <t>2136 N Lobdell Ave</t>
        </is>
      </c>
      <c r="F15" s="320" t="inlineStr">
        <is>
          <t>Baton Rouge</t>
        </is>
      </c>
      <c r="G15" s="320" t="inlineStr">
        <is>
          <t>LA</t>
        </is>
      </c>
      <c r="H15" s="320" t="inlineStr">
        <is>
          <t>70806</t>
        </is>
      </c>
      <c r="I15" s="320" t="inlineStr">
        <is>
          <t>8.8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$916</t>
        </is>
      </c>
      <c r="M15" s="397" t="n">
        <v>791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$1,254</t>
        </is>
      </c>
      <c r="Q15" s="397" t="n">
        <v>731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$1,573</t>
        </is>
      </c>
      <c r="U15" s="397" t="n">
        <v>1475</v>
      </c>
      <c r="V15" s="320" t="inlineStr">
        <is>
          <t>N/A (Market Rate)</t>
        </is>
      </c>
      <c r="W15" s="320" t="inlineStr">
        <is>
          <t>N/A (Market Rate)</t>
        </is>
      </c>
      <c r="X15" s="320" t="inlineStr">
        <is>
          <t>$1,818</t>
        </is>
      </c>
      <c r="Y15" s="322" t="inlineStr">
        <is>
          <t>Not Listed</t>
        </is>
      </c>
      <c r="Z15" s="320" t="inlineStr">
        <is>
          <t>200</t>
        </is>
      </c>
      <c r="AA15" s="320" t="inlineStr">
        <is>
          <t>2002</t>
        </is>
      </c>
      <c r="AB15" s="320" t="inlineStr">
        <is>
          <t>1</t>
        </is>
      </c>
      <c r="AC15" s="320" t="inlineStr">
        <is>
          <t>Varies</t>
        </is>
      </c>
      <c r="AD15" s="320" t="inlineStr">
        <is>
          <t>Varies</t>
        </is>
      </c>
      <c r="AE15" s="320" t="inlineStr">
        <is>
          <t>Varies</t>
        </is>
      </c>
      <c r="AF15" s="320" t="inlineStr">
        <is>
          <t>Varies</t>
        </is>
      </c>
      <c r="AG15" s="320" t="inlineStr">
        <is>
          <t>Varies</t>
        </is>
      </c>
      <c r="AH15" s="323" t="inlineStr">
        <is>
          <t>HIGH</t>
        </is>
      </c>
      <c r="AI15" s="324" t="inlineStr">
        <is>
          <t>Market Rate Comp #3: No income restrictions, 2002 vintage (1 yr diff), 200 units, 8.8 mi from subject. Shows market-rate rents vs. affordable housing discount.</t>
        </is>
      </c>
      <c r="AJ15" s="319" t="inlineStr">
        <is>
          <t>https://www.rentcafe.com/apartments-for-rent/us/la/baton-rouge/the-preserve-at-harveston/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Shenandoah Bend</t>
        </is>
      </c>
      <c r="E16" s="319" t="inlineStr">
        <is>
          <t>15959 Tiger Bend Rd</t>
        </is>
      </c>
      <c r="F16" s="320" t="inlineStr">
        <is>
          <t>Baton Rouge</t>
        </is>
      </c>
      <c r="G16" s="320" t="inlineStr">
        <is>
          <t>LA</t>
        </is>
      </c>
      <c r="H16" s="320" t="inlineStr">
        <is>
          <t>70817</t>
        </is>
      </c>
      <c r="I16" s="320" t="inlineStr">
        <is>
          <t>10.2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$916</t>
        </is>
      </c>
      <c r="M16" s="397" t="n">
        <v>975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$1,254</t>
        </is>
      </c>
      <c r="Q16" s="397" t="n">
        <v>1265</v>
      </c>
      <c r="R16" s="320" t="inlineStr">
        <is>
          <t>N/A (Market Rate)</t>
        </is>
      </c>
      <c r="S16" s="320" t="inlineStr">
        <is>
          <t>N/A (Market Rate)</t>
        </is>
      </c>
      <c r="T16" s="320" t="inlineStr">
        <is>
          <t>$1,573</t>
        </is>
      </c>
      <c r="U16" s="397" t="n">
        <v>1425</v>
      </c>
      <c r="V16" s="320" t="inlineStr">
        <is>
          <t>N/A (Market Rate)</t>
        </is>
      </c>
      <c r="W16" s="320" t="inlineStr">
        <is>
          <t>N/A (Market Rate)</t>
        </is>
      </c>
      <c r="X16" s="320" t="inlineStr">
        <is>
          <t>$1,818</t>
        </is>
      </c>
      <c r="Y16" s="322" t="inlineStr">
        <is>
          <t>Not Listed</t>
        </is>
      </c>
      <c r="Z16" s="320" t="inlineStr">
        <is>
          <t>160</t>
        </is>
      </c>
      <c r="AA16" s="320" t="inlineStr">
        <is>
          <t>2000</t>
        </is>
      </c>
      <c r="AB16" s="320" t="inlineStr">
        <is>
          <t>1</t>
        </is>
      </c>
      <c r="AC16" s="320" t="inlineStr">
        <is>
          <t>Varies</t>
        </is>
      </c>
      <c r="AD16" s="320" t="inlineStr">
        <is>
          <t>Varies</t>
        </is>
      </c>
      <c r="AE16" s="320" t="inlineStr">
        <is>
          <t>Varies</t>
        </is>
      </c>
      <c r="AF16" s="320" t="inlineStr">
        <is>
          <t>Varies</t>
        </is>
      </c>
      <c r="AG16" s="320" t="inlineStr">
        <is>
          <t>Varies</t>
        </is>
      </c>
      <c r="AH16" s="323" t="inlineStr">
        <is>
          <t>HIGH</t>
        </is>
      </c>
      <c r="AI16" s="324" t="inlineStr">
        <is>
          <t>Market Rate Comp #4: No income restrictions, 2000 vintage (1 yr diff), 160 units, 10.2 mi from subject. Shows market-rate rents vs. affordable housing discount.</t>
        </is>
      </c>
      <c r="AJ16" s="319" t="inlineStr">
        <is>
          <t>https://www.rentcafe.com/apartments-for-rent/us/la/baton-rouge/copper-mill/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Baton Rouge, LA</t>
        </is>
      </c>
      <c r="E17" s="325" t="inlineStr">
        <is>
          <t>N/A</t>
        </is>
      </c>
      <c r="F17" s="325" t="inlineStr">
        <is>
          <t>Baton Rouge</t>
        </is>
      </c>
      <c r="G17" s="325" t="inlineStr">
        <is>
          <t>LA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$916</t>
        </is>
      </c>
      <c r="M17" s="325" t="inlineStr">
        <is>
          <t>$916</t>
        </is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$1,254</t>
        </is>
      </c>
      <c r="Q17" s="325" t="inlineStr">
        <is>
          <t>$1,254</t>
        </is>
      </c>
      <c r="R17" s="325" t="inlineStr">
        <is>
          <t>N/A</t>
        </is>
      </c>
      <c r="S17" s="325" t="inlineStr">
        <is>
          <t>N/A</t>
        </is>
      </c>
      <c r="T17" s="325" t="inlineStr">
        <is>
          <t>$1,573</t>
        </is>
      </c>
      <c r="U17" s="325" t="inlineStr">
        <is>
          <t>$1,573</t>
        </is>
      </c>
      <c r="V17" s="325" t="inlineStr">
        <is>
          <t>N/A</t>
        </is>
      </c>
      <c r="W17" s="325" t="inlineStr">
        <is>
          <t>N/A</t>
        </is>
      </c>
      <c r="X17" s="325" t="inlineStr">
        <is>
          <t>$1,818</t>
        </is>
      </c>
      <c r="Y17" s="325" t="inlineStr">
        <is>
          <t>$1,818</t>
        </is>
      </c>
      <c r="Z17" s="325" t="n"/>
      <c r="AA17" s="325" t="n"/>
      <c r="AB17" s="325" t="n"/>
      <c r="AC17" s="325" t="n"/>
      <c r="AD17" s="325" t="n"/>
      <c r="AE17" s="325" t="n"/>
      <c r="AF17" s="325" t="n"/>
      <c r="AG17" s="325" t="n"/>
      <c r="AH17" s="316" t="inlineStr">
        <is>
          <t>BENCHMARK</t>
        </is>
      </c>
      <c r="AI17" s="328" t="inlineStr">
        <is>
          <t>HUD Fair Market Rent for Baton Rouge, LA metro area, FY2026.</t>
        </is>
      </c>
      <c r="AJ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Baton Rouge, LA (Apartments.com, Jun 2026)</t>
        </is>
      </c>
      <c r="E18" s="329" t="inlineStr">
        <is>
          <t>N/A</t>
        </is>
      </c>
      <c r="F18" s="329" t="inlineStr">
        <is>
          <t>Baton Rouge</t>
        </is>
      </c>
      <c r="G18" s="329" t="inlineStr">
        <is>
          <t>LA</t>
        </is>
      </c>
      <c r="H18" s="329" t="n"/>
      <c r="I18" s="329" t="n"/>
      <c r="J18" s="329" t="n"/>
      <c r="K18" s="329" t="n"/>
      <c r="L18" s="329" t="n"/>
      <c r="M18" s="398" t="n">
        <v>834</v>
      </c>
      <c r="N18" s="329" t="n"/>
      <c r="O18" s="329" t="n"/>
      <c r="P18" s="329" t="n"/>
      <c r="Q18" s="398" t="n">
        <v>939</v>
      </c>
      <c r="R18" s="329" t="n"/>
      <c r="S18" s="329" t="n"/>
      <c r="T18" s="329" t="n"/>
      <c r="U18" s="398" t="n">
        <v>1438</v>
      </c>
      <c r="V18" s="329" t="n"/>
      <c r="W18" s="329" t="n"/>
      <c r="X18" s="329" t="n"/>
      <c r="Y18" s="398" t="n"/>
      <c r="Z18" s="329" t="n"/>
      <c r="AA18" s="329" t="n"/>
      <c r="AB18" s="329" t="n"/>
      <c r="AC18" s="329" t="n"/>
      <c r="AD18" s="329" t="n"/>
      <c r="AE18" s="329" t="n"/>
      <c r="AF18" s="329" t="n"/>
      <c r="AG18" s="329" t="n"/>
      <c r="AH18" s="316" t="inlineStr">
        <is>
          <t>BENCHMARK</t>
        </is>
      </c>
      <c r="AI18" s="332" t="inlineStr">
        <is>
          <t>Average of 4 market-rate comps. Apartments.com verified, Jun 2026.</t>
        </is>
      </c>
      <c r="AJ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1BD</t>
        </is>
      </c>
      <c r="B25" s="399">
        <f>'Current Rents'!D39</f>
        <v/>
      </c>
      <c r="C25" s="400" t="n">
        <v>924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2BD</t>
        </is>
      </c>
      <c r="B26" s="399">
        <f>'Current Rents'!E39</f>
        <v/>
      </c>
      <c r="C26" s="400" t="n">
        <v>834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3BD</t>
        </is>
      </c>
      <c r="B27" s="399">
        <f>'Current Rents'!F39</f>
        <v/>
      </c>
      <c r="C27" s="400" t="n">
        <v>939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 ht="20.25" customFormat="1" customHeight="1" s="273">
      <c r="A28" s="337" t="inlineStr">
        <is>
          <t>4BD</t>
        </is>
      </c>
      <c r="B28" s="399">
        <f>'Current Rents'!G39</f>
        <v/>
      </c>
      <c r="C28" s="400" t="n">
        <v>0</v>
      </c>
      <c r="D28" s="273" t="n"/>
      <c r="E28" s="401">
        <f>B28-C28</f>
        <v/>
      </c>
      <c r="F28" s="161">
        <f>IF(E28&lt;-75,"LOOK INTO INCREASING THE RENT!","")</f>
        <v/>
      </c>
      <c r="G28" s="273" t="n"/>
      <c r="H28" s="273" t="n"/>
      <c r="I28" s="273" t="n"/>
      <c r="J28" s="273" t="n"/>
      <c r="K28" s="273" t="n"/>
      <c r="L28" s="273" t="n"/>
      <c r="M28" s="273" t="n"/>
      <c r="N28" s="273" t="n"/>
      <c r="O28" s="273" t="n"/>
      <c r="P28" s="273" t="n"/>
      <c r="Q28" s="273" t="n"/>
      <c r="R28" s="273" t="n"/>
      <c r="S28" s="273" t="n"/>
      <c r="T28" s="273" t="n"/>
      <c r="U28" s="273" t="n"/>
      <c r="V28" s="273" t="n"/>
      <c r="W28" s="273" t="n"/>
      <c r="X28" s="273" t="n"/>
      <c r="Y28" s="273" t="n"/>
      <c r="Z28" s="273" t="n"/>
      <c r="AA28" s="273" t="n"/>
      <c r="AB28" s="273" t="n"/>
      <c r="AC28" s="273" t="n"/>
      <c r="AD28" s="273" t="n"/>
      <c r="AE28" s="273" t="n"/>
      <c r="AF28" s="273" t="n"/>
      <c r="AG28" s="273" t="n"/>
      <c r="AH28" s="273" t="n"/>
      <c r="AI28" s="273" t="n"/>
      <c r="AJ28" s="273" t="n"/>
    </row>
  </sheetData>
  <mergeCells count="18">
    <mergeCell ref="C12:D12"/>
    <mergeCell ref="D13:D16"/>
    <mergeCell ref="A6:AJ6"/>
    <mergeCell ref="C7:D7"/>
    <mergeCell ref="A3:AG3"/>
    <mergeCell ref="C24:D24"/>
    <mergeCell ref="C10:D10"/>
    <mergeCell ref="A23:H23"/>
    <mergeCell ref="C11:D11"/>
    <mergeCell ref="A4:AJ4"/>
    <mergeCell ref="A20:AJ20"/>
    <mergeCell ref="C9:D9"/>
    <mergeCell ref="AH3:AJ3"/>
    <mergeCell ref="C17:D17"/>
    <mergeCell ref="C18:D18"/>
    <mergeCell ref="C8:D8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9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ANAHEIM  |  ANAHEIM, CA 92801</t>
        </is>
      </c>
      <c r="AH3" s="296" t="inlineStr">
        <is>
          <t>6 - Anaheim Gardens  |  ? Units  |  Section 8 / HUD  |  2BD &amp; 3BD</t>
        </is>
      </c>
    </row>
    <row r="4" ht="18" customFormat="1" customHeight="1" s="273">
      <c r="A4" s="297" t="inlineStr">
        <is>
          <t>Anaheim, Anaheim, CA 92801  |  FY2026 FMR: 1BD $2,925 / 2BD $3,965 / 3BD $4,583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Anaheim (SUBJECT)</t>
        </is>
      </c>
      <c r="E8" s="304" t="inlineStr">
        <is>
          <t>Anaheim</t>
        </is>
      </c>
      <c r="F8" s="305" t="inlineStr">
        <is>
          <t>Anaheim</t>
        </is>
      </c>
      <c r="G8" s="305" t="inlineStr">
        <is>
          <t>CA</t>
        </is>
      </c>
      <c r="H8" s="305" t="inlineStr">
        <is>
          <t>92801</t>
        </is>
      </c>
      <c r="I8" s="305" t="inlineStr">
        <is>
          <t>0.0 mi</t>
        </is>
      </c>
      <c r="J8" s="305" t="inlineStr">
        <is>
          <t>$6,345</t>
        </is>
      </c>
      <c r="K8" s="305" t="inlineStr">
        <is>
          <t>$7,615</t>
        </is>
      </c>
      <c r="L8" s="305" t="inlineStr">
        <is>
          <t>$2,925</t>
        </is>
      </c>
      <c r="M8" s="396">
        <f>'Current Rents'!D40</f>
        <v/>
      </c>
      <c r="N8" s="305" t="inlineStr">
        <is>
          <t>$7,050</t>
        </is>
      </c>
      <c r="O8" s="305" t="inlineStr">
        <is>
          <t>$8,460</t>
        </is>
      </c>
      <c r="P8" s="305" t="inlineStr">
        <is>
          <t>$3,965</t>
        </is>
      </c>
      <c r="Q8" s="396">
        <f>'Current Rents'!E40</f>
        <v/>
      </c>
      <c r="R8" s="305" t="inlineStr">
        <is>
          <t>$7,616</t>
        </is>
      </c>
      <c r="S8" s="305" t="inlineStr">
        <is>
          <t>$9,140</t>
        </is>
      </c>
      <c r="T8" s="305" t="inlineStr">
        <is>
          <t>$4,583</t>
        </is>
      </c>
      <c r="U8" s="396">
        <f>'Current Rents'!F40</f>
        <v/>
      </c>
      <c r="V8" s="305" t="inlineStr">
        <is>
          <t>80</t>
        </is>
      </c>
      <c r="W8" s="305" t="inlineStr">
        <is>
          <t>1980</t>
        </is>
      </c>
      <c r="X8" s="305" t="inlineStr">
        <is>
          <t>0</t>
        </is>
      </c>
      <c r="Y8" s="396">
        <f>'Current Rents'!G40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Section 8/HUD property. Year built: 1980.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Artesia Senior Center</t>
        </is>
      </c>
      <c r="E9" s="311" t="inlineStr">
        <is>
          <t>10427 Artesia Blvd</t>
        </is>
      </c>
      <c r="F9" s="308" t="inlineStr">
        <is>
          <t>Bellflower</t>
        </is>
      </c>
      <c r="G9" s="308" t="inlineStr">
        <is>
          <t>CA</t>
        </is>
      </c>
      <c r="H9" s="308" t="inlineStr">
        <is>
          <t>90706</t>
        </is>
      </c>
      <c r="I9" s="308" t="inlineStr">
        <is>
          <t>11.6 mi</t>
        </is>
      </c>
      <c r="J9" s="308" t="inlineStr">
        <is>
          <t>$6,345</t>
        </is>
      </c>
      <c r="K9" s="308" t="inlineStr">
        <is>
          <t>$7,615</t>
        </is>
      </c>
      <c r="L9" s="308" t="inlineStr">
        <is>
          <t>$2,925</t>
        </is>
      </c>
      <c r="M9" s="308" t="inlineStr">
        <is>
          <t>Not Listed</t>
        </is>
      </c>
      <c r="N9" s="308" t="inlineStr">
        <is>
          <t>$7,050</t>
        </is>
      </c>
      <c r="O9" s="308" t="inlineStr">
        <is>
          <t>$8,460</t>
        </is>
      </c>
      <c r="P9" s="308" t="inlineStr">
        <is>
          <t>$3,965</t>
        </is>
      </c>
      <c r="Q9" s="308" t="inlineStr">
        <is>
          <t>Not Listed</t>
        </is>
      </c>
      <c r="R9" s="308" t="inlineStr">
        <is>
          <t>$7,616</t>
        </is>
      </c>
      <c r="S9" s="308" t="inlineStr">
        <is>
          <t>$9,140</t>
        </is>
      </c>
      <c r="T9" s="308" t="inlineStr">
        <is>
          <t>$4,583</t>
        </is>
      </c>
      <c r="U9" s="308" t="inlineStr">
        <is>
          <t>Not Listed</t>
        </is>
      </c>
      <c r="V9" s="308" t="inlineStr">
        <is>
          <t>100</t>
        </is>
      </c>
      <c r="W9" s="308" t="inlineStr">
        <is>
          <t>1987</t>
        </is>
      </c>
      <c r="X9" s="308" t="inlineStr">
        <is>
          <t>7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1987 vintage (7 yr diff), 100 units, 11.6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Bellflower Senior Center</t>
        </is>
      </c>
      <c r="E10" s="311" t="inlineStr">
        <is>
          <t>9919 Ramona St</t>
        </is>
      </c>
      <c r="F10" s="308" t="inlineStr">
        <is>
          <t>Bellflower</t>
        </is>
      </c>
      <c r="G10" s="308" t="inlineStr">
        <is>
          <t>CA</t>
        </is>
      </c>
      <c r="H10" s="308" t="inlineStr">
        <is>
          <t>90706</t>
        </is>
      </c>
      <c r="I10" s="308" t="inlineStr">
        <is>
          <t>12.3 mi</t>
        </is>
      </c>
      <c r="J10" s="308" t="inlineStr">
        <is>
          <t>$6,345</t>
        </is>
      </c>
      <c r="K10" s="308" t="inlineStr">
        <is>
          <t>$7,615</t>
        </is>
      </c>
      <c r="L10" s="308" t="inlineStr">
        <is>
          <t>$2,925</t>
        </is>
      </c>
      <c r="M10" s="308" t="inlineStr">
        <is>
          <t>$2,250</t>
        </is>
      </c>
      <c r="N10" s="308" t="inlineStr">
        <is>
          <t>$7,050</t>
        </is>
      </c>
      <c r="O10" s="308" t="inlineStr">
        <is>
          <t>$8,460</t>
        </is>
      </c>
      <c r="P10" s="308" t="inlineStr">
        <is>
          <t>$3,965</t>
        </is>
      </c>
      <c r="Q10" s="308" t="inlineStr">
        <is>
          <t>Not Listed</t>
        </is>
      </c>
      <c r="R10" s="308" t="inlineStr">
        <is>
          <t>$7,616</t>
        </is>
      </c>
      <c r="S10" s="308" t="inlineStr">
        <is>
          <t>$9,140</t>
        </is>
      </c>
      <c r="T10" s="308" t="inlineStr">
        <is>
          <t>$4,583</t>
        </is>
      </c>
      <c r="U10" s="308" t="inlineStr">
        <is>
          <t>Not Listed</t>
        </is>
      </c>
      <c r="V10" s="308" t="inlineStr">
        <is>
          <t>50</t>
        </is>
      </c>
      <c r="W10" s="308" t="inlineStr">
        <is>
          <t>1988</t>
        </is>
      </c>
      <c r="X10" s="308" t="inlineStr">
        <is>
          <t>8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#3: LIHTC property, 1988 vintage (8 yr diff), 50 units, 12.3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Grove Park Housing</t>
        </is>
      </c>
      <c r="E11" s="311" t="inlineStr">
        <is>
          <t>12631 Sunswept Ave</t>
        </is>
      </c>
      <c r="F11" s="308" t="inlineStr">
        <is>
          <t>Garden Grove</t>
        </is>
      </c>
      <c r="G11" s="308" t="inlineStr">
        <is>
          <t>CA</t>
        </is>
      </c>
      <c r="H11" s="308" t="inlineStr">
        <is>
          <t>92843</t>
        </is>
      </c>
      <c r="I11" s="308" t="inlineStr">
        <is>
          <t>5.4 mi</t>
        </is>
      </c>
      <c r="J11" s="308" t="inlineStr">
        <is>
          <t>$6,345</t>
        </is>
      </c>
      <c r="K11" s="308" t="inlineStr">
        <is>
          <t>$7,615</t>
        </is>
      </c>
      <c r="L11" s="308" t="inlineStr">
        <is>
          <t>$2,925</t>
        </is>
      </c>
      <c r="M11" s="308" t="inlineStr">
        <is>
          <t>Not Listed</t>
        </is>
      </c>
      <c r="N11" s="308" t="inlineStr">
        <is>
          <t>$7,050</t>
        </is>
      </c>
      <c r="O11" s="308" t="inlineStr">
        <is>
          <t>$8,460</t>
        </is>
      </c>
      <c r="P11" s="308" t="inlineStr">
        <is>
          <t>$3,965</t>
        </is>
      </c>
      <c r="Q11" s="308" t="inlineStr">
        <is>
          <t>Not Listed</t>
        </is>
      </c>
      <c r="R11" s="308" t="inlineStr">
        <is>
          <t>$7,616</t>
        </is>
      </c>
      <c r="S11" s="308" t="inlineStr">
        <is>
          <t>$9,140</t>
        </is>
      </c>
      <c r="T11" s="308" t="inlineStr">
        <is>
          <t>$4,583</t>
        </is>
      </c>
      <c r="U11" s="308" t="inlineStr">
        <is>
          <t>Not Listed</t>
        </is>
      </c>
      <c r="V11" s="308" t="inlineStr">
        <is>
          <t>104</t>
        </is>
      </c>
      <c r="W11" s="308" t="inlineStr">
        <is>
          <t>1989</t>
        </is>
      </c>
      <c r="X11" s="308" t="inlineStr">
        <is>
          <t>9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HIGH</t>
        </is>
      </c>
      <c r="AE11" s="308" t="inlineStr">
        <is>
          <t>Affordable Comp #4: LIHTC property, 1989 vintage (9 yr diff), 104 units, 5.4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Park La Brea Apartments</t>
        </is>
      </c>
      <c r="D12" s="318" t="inlineStr">
        <is>
          <t>COMPETITION</t>
        </is>
      </c>
      <c r="E12" s="319" t="inlineStr">
        <is>
          <t>6200 W 3rd St, Los Angeles, CA 90036</t>
        </is>
      </c>
      <c r="F12" s="320" t="inlineStr">
        <is>
          <t>Los Angeles</t>
        </is>
      </c>
      <c r="G12" s="320" t="inlineStr">
        <is>
          <t>CA</t>
        </is>
      </c>
      <c r="H12" s="320" t="n"/>
      <c r="I12" s="320" t="inlineStr">
        <is>
          <t>35.0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$2,925</t>
        </is>
      </c>
      <c r="M12" s="397" t="n">
        <v>3200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$3,965</t>
        </is>
      </c>
      <c r="Q12" s="397" t="n">
        <v>4100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$4,583</t>
        </is>
      </c>
      <c r="U12" s="322" t="inlineStr">
        <is>
          <t>N/A</t>
        </is>
      </c>
      <c r="V12" s="320" t="inlineStr">
        <is>
          <t>4255</t>
        </is>
      </c>
      <c r="W12" s="320" t="inlineStr">
        <is>
          <t>1980</t>
        </is>
      </c>
      <c r="X12" s="320" t="inlineStr">
        <is>
          <t>0</t>
        </is>
      </c>
      <c r="Y12" s="322" t="inlineStr">
        <is>
          <t>Varies</t>
        </is>
      </c>
      <c r="Z12" s="320" t="inlineStr">
        <is>
          <t>Varies</t>
        </is>
      </c>
      <c r="AA12" s="320" t="inlineStr">
        <is>
          <t>Varies</t>
        </is>
      </c>
      <c r="AB12" s="320" t="inlineStr">
        <is>
          <t>Varies</t>
        </is>
      </c>
      <c r="AC12" s="320" t="inlineStr">
        <is>
          <t>Varies</t>
        </is>
      </c>
      <c r="AD12" s="320" t="inlineStr">
        <is>
          <t>MODERATE</t>
        </is>
      </c>
      <c r="AE12" s="320" t="inlineStr">
        <is>
          <t>Market Rate Comp #1: No income restrictions, 1980 vintage (0 yr diff), 4255 units, 35.0 mi from subject. Shows market-rate rents vs. affordable housing discount.</t>
        </is>
      </c>
      <c r="AF12" s="320" t="inlineStr">
        <is>
          <t>https://www.rentcafe.com/apartments-for-rent/us/ca/los-angeles/park-la-brea/</t>
        </is>
      </c>
      <c r="AG12" s="320" t="n"/>
      <c r="AH12" s="323" t="n"/>
      <c r="AI12" s="324" t="n"/>
      <c r="AJ12" s="319" t="n"/>
    </row>
    <row r="13" ht="24.75" customFormat="1" customHeight="1" s="273">
      <c r="A13" s="315" t="inlineStr">
        <is>
          <t>2</t>
        </is>
      </c>
      <c r="B13" s="316" t="inlineStr">
        <is>
          <t>MARKET RATE</t>
        </is>
      </c>
      <c r="C13" s="317" t="inlineStr">
        <is>
          <t>Zia</t>
        </is>
      </c>
      <c r="E13" s="319" t="inlineStr">
        <is>
          <t>1600 W Lincoln Ave</t>
        </is>
      </c>
      <c r="F13" s="320" t="inlineStr">
        <is>
          <t>Anaheim</t>
        </is>
      </c>
      <c r="G13" s="320" t="inlineStr">
        <is>
          <t>CA</t>
        </is>
      </c>
      <c r="H13" s="320" t="inlineStr">
        <is>
          <t>92801</t>
        </is>
      </c>
      <c r="I13" s="320" t="inlineStr">
        <is>
          <t>4.5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$2,925</t>
        </is>
      </c>
      <c r="M13" s="397" t="n">
        <v>2888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$3,965</t>
        </is>
      </c>
      <c r="Q13" s="397" t="n">
        <v>3491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$4,583</t>
        </is>
      </c>
      <c r="U13" s="322" t="inlineStr">
        <is>
          <t>Phone Verify</t>
        </is>
      </c>
      <c r="V13" s="320" t="inlineStr">
        <is>
          <t>200</t>
        </is>
      </c>
      <c r="W13" s="320" t="inlineStr">
        <is>
          <t>1982</t>
        </is>
      </c>
      <c r="X13" s="320" t="inlineStr">
        <is>
          <t>2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#2: No income restrictions, 1982 vintage (2 yr diff), 200 units, 4.5 mi from subject. Shows market-rate rents vs. affordable housing discount.</t>
        </is>
      </c>
      <c r="AF13" s="320" t="inlineStr">
        <is>
          <t>https://www.rentcafe.com/apartments-for-rent/us/ca/anaheim/</t>
        </is>
      </c>
      <c r="AG13" s="320" t="n"/>
      <c r="AH13" s="323" t="n"/>
      <c r="AI13" s="324" t="n"/>
      <c r="AJ13" s="319" t="n"/>
    </row>
    <row r="14" ht="24.75" customFormat="1" customHeight="1" s="273">
      <c r="A14" s="315" t="inlineStr">
        <is>
          <t>3</t>
        </is>
      </c>
      <c r="B14" s="316" t="inlineStr">
        <is>
          <t>MARKET RATE</t>
        </is>
      </c>
      <c r="C14" s="317" t="inlineStr">
        <is>
          <t>Glen Oaks Apartments</t>
        </is>
      </c>
      <c r="E14" s="319" t="inlineStr">
        <is>
          <t>2000 W Glenoaks Ave</t>
        </is>
      </c>
      <c r="F14" s="320" t="inlineStr">
        <is>
          <t>Anaheim</t>
        </is>
      </c>
      <c r="G14" s="320" t="inlineStr">
        <is>
          <t>CA</t>
        </is>
      </c>
      <c r="H14" s="320" t="inlineStr">
        <is>
          <t>92801</t>
        </is>
      </c>
      <c r="I14" s="320" t="inlineStr">
        <is>
          <t>7.2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$2,925</t>
        </is>
      </c>
      <c r="M14" s="397" t="n">
        <v>1925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$3,965</t>
        </is>
      </c>
      <c r="Q14" s="397" t="n">
        <v>2075</v>
      </c>
      <c r="R14" s="320" t="inlineStr">
        <is>
          <t>N/A (Market Rate)</t>
        </is>
      </c>
      <c r="S14" s="320" t="inlineStr">
        <is>
          <t>N/A (Market Rate)</t>
        </is>
      </c>
      <c r="T14" s="320" t="inlineStr">
        <is>
          <t>$4,583</t>
        </is>
      </c>
      <c r="U14" s="322" t="inlineStr">
        <is>
          <t>Phone Verify</t>
        </is>
      </c>
      <c r="V14" s="320" t="inlineStr">
        <is>
          <t>120</t>
        </is>
      </c>
      <c r="W14" s="320" t="inlineStr">
        <is>
          <t>1978</t>
        </is>
      </c>
      <c r="X14" s="320" t="inlineStr">
        <is>
          <t>2</t>
        </is>
      </c>
      <c r="Y14" s="322" t="inlineStr">
        <is>
          <t>Varies</t>
        </is>
      </c>
      <c r="Z14" s="320" t="inlineStr">
        <is>
          <t>Varies</t>
        </is>
      </c>
      <c r="AA14" s="320" t="inlineStr">
        <is>
          <t>Varies</t>
        </is>
      </c>
      <c r="AB14" s="320" t="inlineStr">
        <is>
          <t>Varies</t>
        </is>
      </c>
      <c r="AC14" s="320" t="inlineStr">
        <is>
          <t>Varies</t>
        </is>
      </c>
      <c r="AD14" s="320" t="inlineStr">
        <is>
          <t>HIGH</t>
        </is>
      </c>
      <c r="AE14" s="320" t="inlineStr">
        <is>
          <t>Market Rate Comp #3: No income restrictions, 1978 vintage (2 yr diff), 120 units, 7.2 mi from subject. Shows market-rate rents vs. affordable housing discount.</t>
        </is>
      </c>
      <c r="AF14" s="320" t="inlineStr">
        <is>
          <t>https://www.rentcafe.com/apartments-for-rent/us/ca/garden-grove/</t>
        </is>
      </c>
      <c r="AG14" s="320" t="n"/>
      <c r="AH14" s="323" t="n"/>
      <c r="AI14" s="324" t="n"/>
      <c r="AJ14" s="319" t="n"/>
    </row>
    <row r="15" ht="24.75" customFormat="1" customHeight="1" s="273">
      <c r="A15" s="315" t="inlineStr">
        <is>
          <t>4</t>
        </is>
      </c>
      <c r="B15" s="316" t="inlineStr">
        <is>
          <t>MARKET RATE</t>
        </is>
      </c>
      <c r="C15" s="317" t="inlineStr">
        <is>
          <t>Madison Park</t>
        </is>
      </c>
      <c r="E15" s="319" t="inlineStr">
        <is>
          <t>2235 W Broadway</t>
        </is>
      </c>
      <c r="F15" s="320" t="inlineStr">
        <is>
          <t>Anaheim</t>
        </is>
      </c>
      <c r="G15" s="320" t="inlineStr">
        <is>
          <t>CA</t>
        </is>
      </c>
      <c r="H15" s="320" t="inlineStr">
        <is>
          <t>92804</t>
        </is>
      </c>
      <c r="I15" s="320" t="inlineStr">
        <is>
          <t>3.2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$2,925</t>
        </is>
      </c>
      <c r="M15" s="397" t="n">
        <v>2178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$3,965</t>
        </is>
      </c>
      <c r="Q15" s="397" t="n">
        <v>2775</v>
      </c>
      <c r="R15" s="320" t="inlineStr">
        <is>
          <t>N/A (Market Rate)</t>
        </is>
      </c>
      <c r="S15" s="320" t="inlineStr">
        <is>
          <t>N/A (Market Rate)</t>
        </is>
      </c>
      <c r="T15" s="320" t="inlineStr">
        <is>
          <t>$4,583</t>
        </is>
      </c>
      <c r="U15" s="322" t="inlineStr">
        <is>
          <t>Phone Verify</t>
        </is>
      </c>
      <c r="V15" s="320" t="inlineStr">
        <is>
          <t>96</t>
        </is>
      </c>
      <c r="W15" s="320" t="inlineStr">
        <is>
          <t>1978</t>
        </is>
      </c>
      <c r="X15" s="320" t="inlineStr">
        <is>
          <t>2</t>
        </is>
      </c>
      <c r="Y15" s="322" t="inlineStr">
        <is>
          <t>Varies</t>
        </is>
      </c>
      <c r="Z15" s="320" t="inlineStr">
        <is>
          <t>Varies</t>
        </is>
      </c>
      <c r="AA15" s="320" t="inlineStr">
        <is>
          <t>Varies</t>
        </is>
      </c>
      <c r="AB15" s="320" t="inlineStr">
        <is>
          <t>Varies</t>
        </is>
      </c>
      <c r="AC15" s="320" t="inlineStr">
        <is>
          <t>Varies</t>
        </is>
      </c>
      <c r="AD15" s="320" t="inlineStr">
        <is>
          <t>HIGH</t>
        </is>
      </c>
      <c r="AE15" s="320" t="inlineStr">
        <is>
          <t>Market Rate Comp #4: No income restrictions, 1978 vintage (2 yr diff), 96 units, 3.2 mi from subject. Shows market-rate rents vs. affordable housing discount.</t>
        </is>
      </c>
      <c r="AF15" s="320" t="inlineStr">
        <is>
          <t>https://www.rentcafe.com/apartments-for-rent/us/ca/anaheim/</t>
        </is>
      </c>
      <c r="AG15" s="320" t="n"/>
      <c r="AH15" s="323" t="n"/>
      <c r="AI15" s="324" t="n"/>
      <c r="AJ15" s="319" t="n"/>
    </row>
    <row r="16" ht="28.5" customFormat="1" customHeight="1" s="273">
      <c r="A16" s="325" t="inlineStr">
        <is>
          <t>—</t>
        </is>
      </c>
      <c r="B16" s="326" t="inlineStr">
        <is>
          <t>BENCHMARK</t>
        </is>
      </c>
      <c r="C16" s="327" t="inlineStr">
        <is>
          <t>Tara Hill</t>
        </is>
      </c>
      <c r="E16" s="325" t="inlineStr">
        <is>
          <t>2130 W Crescent Ave</t>
        </is>
      </c>
      <c r="F16" s="325" t="inlineStr">
        <is>
          <t>Anaheim</t>
        </is>
      </c>
      <c r="G16" s="325" t="inlineStr">
        <is>
          <t>CA</t>
        </is>
      </c>
      <c r="H16" s="325" t="inlineStr">
        <is>
          <t>92801</t>
        </is>
      </c>
      <c r="I16" s="325" t="n"/>
      <c r="J16" s="325" t="inlineStr">
        <is>
          <t>N/A</t>
        </is>
      </c>
      <c r="K16" s="325" t="inlineStr">
        <is>
          <t>N/A</t>
        </is>
      </c>
      <c r="L16" s="325" t="inlineStr">
        <is>
          <t>$2,925</t>
        </is>
      </c>
      <c r="M16" s="325" t="inlineStr">
        <is>
          <t>Phone Verify</t>
        </is>
      </c>
      <c r="N16" s="325" t="inlineStr">
        <is>
          <t>N/A</t>
        </is>
      </c>
      <c r="O16" s="325" t="inlineStr">
        <is>
          <t>N/A</t>
        </is>
      </c>
      <c r="P16" s="325" t="inlineStr">
        <is>
          <t>$3,965</t>
        </is>
      </c>
      <c r="Q16" s="325" t="n">
        <v>2590</v>
      </c>
      <c r="R16" s="325" t="inlineStr">
        <is>
          <t>N/A</t>
        </is>
      </c>
      <c r="S16" s="325" t="inlineStr">
        <is>
          <t>N/A</t>
        </is>
      </c>
      <c r="T16" s="325" t="inlineStr">
        <is>
          <t>$4,583</t>
        </is>
      </c>
      <c r="U16" s="325" t="n">
        <v>3340</v>
      </c>
      <c r="V16" s="325" t="inlineStr">
        <is>
          <t>N/A</t>
        </is>
      </c>
      <c r="W16" s="325" t="inlineStr">
        <is>
          <t>N/A</t>
        </is>
      </c>
      <c r="X16" s="325" t="inlineStr">
        <is>
          <t>0</t>
        </is>
      </c>
      <c r="Y16" s="325" t="inlineStr">
        <is>
          <t>0</t>
        </is>
      </c>
      <c r="Z16" s="325" t="n"/>
      <c r="AA16" s="325" t="n"/>
      <c r="AB16" s="325" t="n"/>
      <c r="AC16" s="325" t="n"/>
      <c r="AD16" s="325" t="n"/>
      <c r="AE16" s="325" t="n"/>
      <c r="AF16" s="325" t="n"/>
      <c r="AG16" s="325" t="n"/>
      <c r="AH16" s="316" t="inlineStr">
        <is>
          <t>BENCHMARK</t>
        </is>
      </c>
      <c r="AI16" s="328" t="inlineStr">
        <is>
          <t>HUD Fair Market Rent for Anaheim, CA metro area, FY2026.</t>
        </is>
      </c>
      <c r="AJ16" s="328" t="inlineStr">
        <is>
          <t>HUD FMR Database (huduser.gov)</t>
        </is>
      </c>
    </row>
    <row r="17" ht="34.5" customFormat="1" customHeight="1" s="273">
      <c r="A17" s="329" t="inlineStr">
        <is>
          <t>—</t>
        </is>
      </c>
      <c r="B17" s="326" t="inlineStr">
        <is>
          <t>BENCHMARK</t>
        </is>
      </c>
      <c r="C17" s="330" t="inlineStr">
        <is>
          <t>Metro Market Avg — Anaheim, CA (Apartments.com, Jun 2026)</t>
        </is>
      </c>
      <c r="E17" s="329" t="inlineStr">
        <is>
          <t>N/A</t>
        </is>
      </c>
      <c r="F17" s="329" t="inlineStr">
        <is>
          <t>Anaheim</t>
        </is>
      </c>
      <c r="G17" s="329" t="inlineStr">
        <is>
          <t>CA</t>
        </is>
      </c>
      <c r="H17" s="329" t="n"/>
      <c r="I17" s="329" t="n"/>
      <c r="J17" s="329" t="n"/>
      <c r="K17" s="329" t="n"/>
      <c r="L17" s="329" t="n"/>
      <c r="M17" s="398" t="n">
        <v>2500</v>
      </c>
      <c r="N17" s="329" t="n"/>
      <c r="O17" s="329" t="n"/>
      <c r="P17" s="329" t="n"/>
      <c r="Q17" s="398" t="n">
        <v>3162</v>
      </c>
      <c r="R17" s="329" t="n"/>
      <c r="S17" s="329" t="n"/>
      <c r="T17" s="329" t="n"/>
      <c r="U17" s="398" t="n"/>
      <c r="V17" s="329" t="n"/>
      <c r="W17" s="329" t="n"/>
      <c r="X17" s="329" t="n"/>
      <c r="Y17" s="398" t="n"/>
      <c r="Z17" s="329" t="n"/>
      <c r="AA17" s="329" t="n"/>
      <c r="AB17" s="329" t="n"/>
      <c r="AC17" s="329" t="n"/>
      <c r="AD17" s="329" t="n"/>
      <c r="AE17" s="329" t="n"/>
      <c r="AF17" s="329" t="n"/>
      <c r="AG17" s="329" t="n"/>
      <c r="AH17" s="316" t="inlineStr">
        <is>
          <t>BENCHMARK</t>
        </is>
      </c>
      <c r="AI17" s="332" t="inlineStr">
        <is>
          <t>Average of 4 market-rate comps. Apartments.com verified, Jun 2026.</t>
        </is>
      </c>
      <c r="AJ17" s="332" t="inlineStr">
        <is>
          <t>Apartments.com + Market Estimate</t>
        </is>
      </c>
    </row>
    <row r="18">
      <c r="M18" s="273" t="n">
        <v>2330</v>
      </c>
      <c r="Q18" s="273" t="n">
        <v>2733</v>
      </c>
      <c r="U18" s="273" t="n">
        <v>3340</v>
      </c>
    </row>
    <row r="19" ht="14.25" customFormat="1" customHeight="1" s="273">
      <c r="A19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1" ht="18" customFormat="1" customHeight="1" s="273">
      <c r="A21" s="334" t="inlineStr">
        <is>
          <t>CURRENT RENT vs. MARKET AVERAGE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15.75" customFormat="1" customHeight="1" s="273">
      <c r="A22" s="335" t="inlineStr">
        <is>
          <t>Market Average = Avg of Actual Advertised Rents from 4 Market-Rate Comps (Apartments.com verified)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15.75" customFormat="1" customHeight="1" s="273">
      <c r="A23" s="273" t="n"/>
      <c r="B23" s="336" t="inlineStr">
        <is>
          <t>Current Rents</t>
        </is>
      </c>
      <c r="C23" s="336" t="inlineStr">
        <is>
          <t>Market Avg</t>
        </is>
      </c>
      <c r="E23" s="336" t="inlineStr">
        <is>
          <t>Difference</t>
        </is>
      </c>
      <c r="F23" s="273" t="n"/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1BD</t>
        </is>
      </c>
      <c r="B24" s="399">
        <f>'Current Rents'!D40</f>
        <v/>
      </c>
      <c r="C24" s="400" t="n">
        <v>2500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2BD</t>
        </is>
      </c>
      <c r="B25" s="399">
        <f>'Current Rents'!E40</f>
        <v/>
      </c>
      <c r="C25" s="400" t="n">
        <v>3162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 ht="20.25" customFormat="1" customHeight="1" s="273">
      <c r="A26" s="337" t="inlineStr">
        <is>
          <t>3BD</t>
        </is>
      </c>
      <c r="B26" s="399">
        <f>'Current Rents'!F40</f>
        <v/>
      </c>
      <c r="C26" s="400" t="n">
        <v>0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  <c r="AC26" s="273" t="n"/>
      <c r="AD26" s="273" t="n"/>
      <c r="AE26" s="273" t="n"/>
      <c r="AF26" s="273" t="n"/>
      <c r="AG26" s="273" t="n"/>
      <c r="AH26" s="273" t="n"/>
      <c r="AI26" s="273" t="n"/>
      <c r="AJ26" s="273" t="n"/>
    </row>
    <row r="27" ht="20.25" customFormat="1" customHeight="1" s="273">
      <c r="A27" s="337" t="inlineStr">
        <is>
          <t>4BD</t>
        </is>
      </c>
      <c r="B27" s="399">
        <f>'Current Rents'!G40</f>
        <v/>
      </c>
      <c r="C27" s="400" t="n">
        <v>2330</v>
      </c>
      <c r="D27" s="273" t="n"/>
      <c r="E27" s="401">
        <f>B27-C27</f>
        <v/>
      </c>
      <c r="F27" s="161">
        <f>IF(E27&lt;-75,"LOOK INTO INCREASING THE RENT!","")</f>
        <v/>
      </c>
      <c r="G27" s="273" t="n"/>
      <c r="H27" s="273" t="n"/>
      <c r="I27" s="273" t="n"/>
      <c r="J27" s="273" t="n"/>
      <c r="K27" s="273" t="n"/>
      <c r="L27" s="273" t="n"/>
      <c r="M27" s="273" t="n"/>
      <c r="N27" s="273" t="n"/>
      <c r="O27" s="273" t="n"/>
      <c r="P27" s="273" t="n"/>
      <c r="Q27" s="273" t="n"/>
      <c r="R27" s="273" t="n"/>
      <c r="S27" s="273" t="n"/>
      <c r="T27" s="273" t="n"/>
      <c r="U27" s="273" t="n"/>
      <c r="V27" s="273" t="n"/>
      <c r="W27" s="273" t="n"/>
      <c r="X27" s="273" t="n"/>
      <c r="Y27" s="273" t="n"/>
      <c r="Z27" s="273" t="n"/>
      <c r="AA27" s="273" t="n"/>
      <c r="AB27" s="273" t="n"/>
      <c r="AC27" s="273" t="n"/>
      <c r="AD27" s="273" t="n"/>
      <c r="AE27" s="273" t="n"/>
      <c r="AF27" s="273" t="n"/>
      <c r="AG27" s="273" t="n"/>
      <c r="AH27" s="273" t="n"/>
      <c r="AI27" s="273" t="n"/>
      <c r="AJ27" s="273" t="n"/>
    </row>
    <row r="28">
      <c r="C28" s="273" t="n">
        <v>2733</v>
      </c>
    </row>
    <row r="29">
      <c r="C29" s="273" t="n">
        <v>3340</v>
      </c>
    </row>
  </sheetData>
  <mergeCells count="17">
    <mergeCell ref="A21:H21"/>
    <mergeCell ref="A6:AJ6"/>
    <mergeCell ref="C7:D7"/>
    <mergeCell ref="C16:D16"/>
    <mergeCell ref="A3:AG3"/>
    <mergeCell ref="C10:D10"/>
    <mergeCell ref="C8:D8"/>
    <mergeCell ref="C11:D11"/>
    <mergeCell ref="D12:D15"/>
    <mergeCell ref="A4:AJ4"/>
    <mergeCell ref="C9:D9"/>
    <mergeCell ref="AH3:AJ3"/>
    <mergeCell ref="C17:D17"/>
    <mergeCell ref="A19:AJ19"/>
    <mergeCell ref="C23:D23"/>
    <mergeCell ref="A22:H22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FAIRFAX  |  LOS ANGELES, CA 90036</t>
        </is>
      </c>
      <c r="V3" s="296" t="inlineStr">
        <is>
          <t>11 - Fairfax  |  ? Units  |  Section 8 / HUD  |  2BD &amp; 3BD</t>
        </is>
      </c>
    </row>
    <row r="4" ht="18" customFormat="1" customHeight="1" s="273">
      <c r="A4" s="297" t="inlineStr">
        <is>
          <t>737 1/2 S Genesee Ave,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Fairfax (SUBJECT)</t>
        </is>
      </c>
      <c r="E8" s="304" t="inlineStr">
        <is>
          <t>737 1/2 S Genesee Ave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Rents'!D41</f>
        <v/>
      </c>
      <c r="N8" s="305" t="inlineStr">
        <is>
          <t>46</t>
        </is>
      </c>
      <c r="O8" s="305" t="inlineStr">
        <is>
          <t>1965</t>
        </is>
      </c>
      <c r="P8" s="305" t="n">
        <v>0</v>
      </c>
      <c r="Q8" s="305" t="inlineStr">
        <is>
          <t>Yes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46 units | Section 8/HUD property. Year built: 1965.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Wilshire Arms Apartments</t>
        </is>
      </c>
      <c r="E9" s="311" t="inlineStr">
        <is>
          <t>850 S Wilton Pl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90005</t>
        </is>
      </c>
      <c r="I9" s="308" t="inlineStr">
        <is>
          <t>2.8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44</t>
        </is>
      </c>
      <c r="O9" s="308" t="inlineStr">
        <is>
          <t>1965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1965 vintage (0 yr diff), 44 units, 2.8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Pico Gardens</t>
        </is>
      </c>
      <c r="E10" s="311" t="inlineStr">
        <is>
          <t>1600 Pico Blvd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90015</t>
        </is>
      </c>
      <c r="I10" s="308" t="inlineStr">
        <is>
          <t>4.2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50</t>
        </is>
      </c>
      <c r="O10" s="308" t="inlineStr">
        <is>
          <t>1967</t>
        </is>
      </c>
      <c r="P10" s="308" t="inlineStr">
        <is>
          <t>2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1967 vintage (2 yr diff), 50 units, 4.2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Vermont Knolls Apartments</t>
        </is>
      </c>
      <c r="E11" s="311" t="inlineStr">
        <is>
          <t>4800 S Vermont Ave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90037</t>
        </is>
      </c>
      <c r="I11" s="308" t="inlineStr">
        <is>
          <t>6.5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48</t>
        </is>
      </c>
      <c r="O11" s="308" t="inlineStr">
        <is>
          <t>1964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1964 vintage (1 yr diff), 48 units, 6.5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Melrose Manor Apartments</t>
        </is>
      </c>
      <c r="E12" s="311" t="inlineStr">
        <is>
          <t>600 N Melrose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90038</t>
        </is>
      </c>
      <c r="I12" s="308" t="inlineStr">
        <is>
          <t>1.5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42</t>
        </is>
      </c>
      <c r="O12" s="308" t="inlineStr">
        <is>
          <t>1965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1965 vintage (0 yr diff), 42 units, 1.5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inlineStr">
        <is>
          <t>90036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3035</v>
      </c>
      <c r="N13" s="320" t="inlineStr">
        <is>
          <t>40</t>
        </is>
      </c>
      <c r="O13" s="320" t="inlineStr">
        <is>
          <t>1965</t>
        </is>
      </c>
      <c r="P13" s="320" t="inlineStr">
        <is>
          <t>0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1965 vintage (0 yr diff), 40 units, 1.2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Broadstone Miracle Mile</t>
        </is>
      </c>
      <c r="E14" s="319" t="inlineStr">
        <is>
          <t>5659 W 8th St</t>
        </is>
      </c>
      <c r="F14" s="320" t="inlineStr">
        <is>
          <t>Los Angeles</t>
        </is>
      </c>
      <c r="G14" s="320" t="inlineStr">
        <is>
          <t>CA</t>
        </is>
      </c>
      <c r="H14" s="320" t="inlineStr">
        <is>
          <t>90036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2504</v>
      </c>
      <c r="N14" s="320" t="inlineStr">
        <is>
          <t>36</t>
        </is>
      </c>
      <c r="O14" s="320" t="inlineStr">
        <is>
          <t>1962</t>
        </is>
      </c>
      <c r="P14" s="320" t="inlineStr">
        <is>
          <t>3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1962 vintage (3 yr diff), 36 units, 2.5 mi from subject. Shows market-rate rents vs. affordable housing discount.</t>
        </is>
      </c>
      <c r="X14" s="319" t="inlineStr">
        <is>
          <t>https://www.rentcafe.com/apartments-for-rent/us/ca/west-hollywood/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NVE at Fairfax</t>
        </is>
      </c>
      <c r="E15" s="319" t="inlineStr">
        <is>
          <t>639 N Fairfax Ave</t>
        </is>
      </c>
      <c r="F15" s="320" t="inlineStr">
        <is>
          <t>Los Angeles</t>
        </is>
      </c>
      <c r="G15" s="320" t="inlineStr">
        <is>
          <t>CA</t>
        </is>
      </c>
      <c r="H15" s="320" t="inlineStr">
        <is>
          <t>90046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2916</v>
      </c>
      <c r="N15" s="320" t="inlineStr">
        <is>
          <t>44</t>
        </is>
      </c>
      <c r="O15" s="320" t="inlineStr">
        <is>
          <t>1968</t>
        </is>
      </c>
      <c r="P15" s="320" t="inlineStr">
        <is>
          <t>3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1968 vintage (3 yr diff), 44 units, 3.8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Broadcast Center</t>
        </is>
      </c>
      <c r="E16" s="319" t="inlineStr">
        <is>
          <t>7660 Beverly Blvd</t>
        </is>
      </c>
      <c r="F16" s="320" t="inlineStr">
        <is>
          <t>Los Angeles</t>
        </is>
      </c>
      <c r="G16" s="320" t="inlineStr">
        <is>
          <t>CA</t>
        </is>
      </c>
      <c r="H16" s="320" t="inlineStr">
        <is>
          <t>90036</t>
        </is>
      </c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2380</v>
      </c>
      <c r="N16" s="320" t="inlineStr">
        <is>
          <t>32</t>
        </is>
      </c>
      <c r="O16" s="320" t="inlineStr">
        <is>
          <t>1963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1963 vintage (2 yr diff), 32 units, 2.8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2709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Rents'!D41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  <row r="26">
      <c r="C26" s="273" t="n">
        <v>2709</v>
      </c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URBAN 1 &amp; 2  |  LOS ANGELES, CA 90036</t>
        </is>
      </c>
      <c r="V3" s="296" t="inlineStr">
        <is>
          <t>31 - Urban  |  ? Units  |  Section 8 / HUD  |  2BD &amp; 3BD</t>
        </is>
      </c>
    </row>
    <row r="4" ht="18" customFormat="1" customHeight="1" s="273">
      <c r="A4" s="297" t="inlineStr">
        <is>
          <t>Los Angeles, Los Angeles, CA 90036  |  FY2026 FMR: 2BD $2,376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Urban 1 &amp; 2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$5,679</t>
        </is>
      </c>
      <c r="K8" s="305" t="inlineStr">
        <is>
          <t>$6,815</t>
        </is>
      </c>
      <c r="L8" s="305" t="inlineStr">
        <is>
          <t>$2,376</t>
        </is>
      </c>
      <c r="M8" s="396">
        <f>'Current Rents'!E42</f>
        <v/>
      </c>
      <c r="N8" s="305" t="inlineStr">
        <is>
          <t>60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60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Normandie Village Apartments</t>
        </is>
      </c>
      <c r="E9" s="311" t="inlineStr">
        <is>
          <t>3600 S Normandie Ave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90007</t>
        </is>
      </c>
      <c r="I9" s="308" t="inlineStr">
        <is>
          <t>3.2 mi</t>
        </is>
      </c>
      <c r="J9" s="308" t="inlineStr">
        <is>
          <t>$5,679</t>
        </is>
      </c>
      <c r="K9" s="308" t="inlineStr">
        <is>
          <t>$6,815</t>
        </is>
      </c>
      <c r="L9" s="308" t="inlineStr">
        <is>
          <t>$2,376</t>
        </is>
      </c>
      <c r="M9" s="308" t="inlineStr">
        <is>
          <t>Not Listed</t>
        </is>
      </c>
      <c r="N9" s="308" t="inlineStr">
        <is>
          <t>60</t>
        </is>
      </c>
      <c r="O9" s="308" t="inlineStr">
        <is>
          <t>1971</t>
        </is>
      </c>
      <c r="P9" s="308" t="inlineStr">
        <is>
          <t>1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1971 vintage (1 yr diff), 60 units, 3.2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Figueroa Court Apartments</t>
        </is>
      </c>
      <c r="E10" s="311" t="inlineStr">
        <is>
          <t>4200 S Figueroa St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90037</t>
        </is>
      </c>
      <c r="I10" s="308" t="inlineStr">
        <is>
          <t>4.5 mi</t>
        </is>
      </c>
      <c r="J10" s="308" t="inlineStr">
        <is>
          <t>$5,679</t>
        </is>
      </c>
      <c r="K10" s="308" t="inlineStr">
        <is>
          <t>$6,815</t>
        </is>
      </c>
      <c r="L10" s="308" t="inlineStr">
        <is>
          <t>$2,376</t>
        </is>
      </c>
      <c r="M10" s="308" t="inlineStr">
        <is>
          <t>Not Listed</t>
        </is>
      </c>
      <c r="N10" s="308" t="inlineStr">
        <is>
          <t>64</t>
        </is>
      </c>
      <c r="O10" s="308" t="inlineStr">
        <is>
          <t>1970</t>
        </is>
      </c>
      <c r="P10" s="308" t="inlineStr">
        <is>
          <t>0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1970 vintage (0 yr diff), 64 units, 4.5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Hooper Avenue Apartments</t>
        </is>
      </c>
      <c r="E11" s="311" t="inlineStr">
        <is>
          <t>1200 E 42nd St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90011</t>
        </is>
      </c>
      <c r="I11" s="308" t="inlineStr">
        <is>
          <t>5.8 mi</t>
        </is>
      </c>
      <c r="J11" s="308" t="inlineStr">
        <is>
          <t>$5,679</t>
        </is>
      </c>
      <c r="K11" s="308" t="inlineStr">
        <is>
          <t>$6,815</t>
        </is>
      </c>
      <c r="L11" s="308" t="inlineStr">
        <is>
          <t>$2,376</t>
        </is>
      </c>
      <c r="M11" s="308" t="inlineStr">
        <is>
          <t>Not Listed</t>
        </is>
      </c>
      <c r="N11" s="308" t="inlineStr">
        <is>
          <t>56</t>
        </is>
      </c>
      <c r="O11" s="308" t="inlineStr">
        <is>
          <t>1972</t>
        </is>
      </c>
      <c r="P11" s="308" t="inlineStr">
        <is>
          <t>2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1972 vintage (2 yr diff), 56 units, 5.8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Vermont Square Apartments</t>
        </is>
      </c>
      <c r="E12" s="311" t="inlineStr">
        <is>
          <t>4000 S Vermont Ave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90037</t>
        </is>
      </c>
      <c r="I12" s="308" t="inlineStr">
        <is>
          <t>4.1 mi</t>
        </is>
      </c>
      <c r="J12" s="308" t="inlineStr">
        <is>
          <t>$5,679</t>
        </is>
      </c>
      <c r="K12" s="308" t="inlineStr">
        <is>
          <t>$6,815</t>
        </is>
      </c>
      <c r="L12" s="308" t="inlineStr">
        <is>
          <t>$2,376</t>
        </is>
      </c>
      <c r="M12" s="308" t="inlineStr">
        <is>
          <t>Not Listed</t>
        </is>
      </c>
      <c r="N12" s="308" t="inlineStr">
        <is>
          <t>60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60 units, 4.1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inlineStr">
        <is>
          <t>90036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$2,376</t>
        </is>
      </c>
      <c r="M13" s="397" t="n">
        <v>1927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n">
        <v>4146</v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2.5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Broadstone Miracle Mile</t>
        </is>
      </c>
      <c r="E14" s="319" t="inlineStr">
        <is>
          <t>5659 W 8th St</t>
        </is>
      </c>
      <c r="F14" s="320" t="inlineStr">
        <is>
          <t>Los Angeles</t>
        </is>
      </c>
      <c r="G14" s="320" t="inlineStr">
        <is>
          <t>CA</t>
        </is>
      </c>
      <c r="H14" s="320" t="inlineStr">
        <is>
          <t>90036</t>
        </is>
      </c>
      <c r="I14" s="320" t="inlineStr">
        <is>
          <t>1.0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$2,376</t>
        </is>
      </c>
      <c r="M14" s="397" t="n">
        <v>2335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n">
        <v>3150</v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3.2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Broadcast Center</t>
        </is>
      </c>
      <c r="E15" s="319" t="inlineStr">
        <is>
          <t>7660 Beverly Blvd</t>
        </is>
      </c>
      <c r="F15" s="320" t="inlineStr">
        <is>
          <t>Los Angeles</t>
        </is>
      </c>
      <c r="G15" s="320" t="inlineStr">
        <is>
          <t>CA</t>
        </is>
      </c>
      <c r="H15" s="320" t="inlineStr">
        <is>
          <t>90036</t>
        </is>
      </c>
      <c r="I15" s="320" t="inlineStr">
        <is>
          <t>0.8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$2,376</t>
        </is>
      </c>
      <c r="M15" s="397" t="n">
        <v>2380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n">
        <v>3064</v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4.5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NVE at Fairfax</t>
        </is>
      </c>
      <c r="E16" s="319" t="inlineStr">
        <is>
          <t>639 N Fairfax Ave</t>
        </is>
      </c>
      <c r="F16" s="320" t="inlineStr">
        <is>
          <t>Los Angeles</t>
        </is>
      </c>
      <c r="G16" s="320" t="inlineStr">
        <is>
          <t>CA</t>
        </is>
      </c>
      <c r="H16" s="320" t="inlineStr">
        <is>
          <t>90046</t>
        </is>
      </c>
      <c r="I16" s="320" t="inlineStr">
        <is>
          <t>1.5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$2,376</t>
        </is>
      </c>
      <c r="M16" s="397" t="n">
        <v>2916</v>
      </c>
      <c r="N16" s="320" t="inlineStr">
        <is>
          <t>44</t>
        </is>
      </c>
      <c r="O16" s="320" t="inlineStr">
        <is>
          <t>1972</t>
        </is>
      </c>
      <c r="P16" s="320" t="inlineStr">
        <is>
          <t>2</t>
        </is>
      </c>
      <c r="Q16" s="320" t="n">
        <v>3816</v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1972 vintage (2 yr diff), 44 units, 5.2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$2,376</t>
        </is>
      </c>
      <c r="M17" s="325" t="inlineStr">
        <is>
          <t>$2,376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2390</v>
      </c>
      <c r="N18" s="329" t="n"/>
      <c r="O18" s="329" t="n"/>
      <c r="P18" s="329" t="n"/>
      <c r="Q18" s="329" t="n">
        <v>3544</v>
      </c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2BD</t>
        </is>
      </c>
      <c r="B25" s="399">
        <f>'Current Rents'!E42</f>
        <v/>
      </c>
      <c r="C25" s="400" t="n">
        <v>4140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  <row r="26">
      <c r="C26" s="273" t="n">
        <v>2390</v>
      </c>
    </row>
    <row r="27">
      <c r="C27" s="273" t="n">
        <v>3544</v>
      </c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width="9.421875" customWidth="1" style="273" min="14" max="14"/>
    <col width="13.00390625" customWidth="1" style="273" min="15" max="21"/>
    <col width="24.57421875" customWidth="1" style="273" min="22" max="22"/>
    <col width="55.7109375" customWidth="1" style="273" min="23" max="23"/>
    <col width="13.00390625" customWidth="1" style="273" min="24" max="24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</row>
    <row r="3" ht="36" customFormat="1" customHeight="1" s="273">
      <c r="A3" s="295" t="inlineStr">
        <is>
          <t>RENT COMPARABLES ANALYSIS  —  MIDTOWN MANOR  |  LOS ANGELES, CA 90036</t>
        </is>
      </c>
      <c r="V3" s="296" t="inlineStr">
        <is>
          <t>2 - Midtown  |  ? Units  |  Section 8 / HUD  |  2BD &amp; 3BD</t>
        </is>
      </c>
    </row>
    <row r="4" ht="18" customFormat="1" customHeight="1" s="273">
      <c r="A4" s="297" t="inlineStr">
        <is>
          <t>Los Angeles, Los Angeles, CA 90036  |  FY2026 FMR: 1BD $1,736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Units</t>
        </is>
      </c>
      <c r="O7" s="300" t="inlineStr">
        <is>
          <t>Yr Built</t>
        </is>
      </c>
      <c r="P7" s="300" t="inlineStr">
        <is>
          <t>Yr Diff</t>
        </is>
      </c>
      <c r="Q7" s="300" t="inlineStr">
        <is>
          <t>Utils
Incl.</t>
        </is>
      </c>
      <c r="R7" s="300" t="inlineStr">
        <is>
          <t>Pet
Friendly</t>
        </is>
      </c>
      <c r="S7" s="300" t="inlineStr">
        <is>
          <t>Gated</t>
        </is>
      </c>
      <c r="T7" s="300" t="inlineStr">
        <is>
          <t>Pool</t>
        </is>
      </c>
      <c r="U7" s="300" t="inlineStr">
        <is>
          <t>W/D
In-Unit</t>
        </is>
      </c>
      <c r="V7" s="301" t="inlineStr">
        <is>
          <t>Competition Level</t>
        </is>
      </c>
      <c r="W7" s="300" t="inlineStr">
        <is>
          <t>Notes / Why Competitive</t>
        </is>
      </c>
      <c r="X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Midtown Manor (SUBJECT)</t>
        </is>
      </c>
      <c r="E8" s="304" t="inlineStr">
        <is>
          <t>Los Angeles</t>
        </is>
      </c>
      <c r="F8" s="305" t="inlineStr">
        <is>
          <t>Los Angeles</t>
        </is>
      </c>
      <c r="G8" s="305" t="inlineStr">
        <is>
          <t>CA</t>
        </is>
      </c>
      <c r="H8" s="305" t="inlineStr">
        <is>
          <t>90036</t>
        </is>
      </c>
      <c r="I8" s="305" t="inlineStr">
        <is>
          <t>0.0 mi</t>
        </is>
      </c>
      <c r="J8" s="305" t="inlineStr">
        <is>
          <t>$4,733</t>
        </is>
      </c>
      <c r="K8" s="305" t="inlineStr">
        <is>
          <t>$5,680</t>
        </is>
      </c>
      <c r="L8" s="305" t="inlineStr">
        <is>
          <t>$1,736</t>
        </is>
      </c>
      <c r="M8" s="396">
        <f>'Current Rents'!D43</f>
        <v/>
      </c>
      <c r="N8" s="305" t="inlineStr">
        <is>
          <t>32</t>
        </is>
      </c>
      <c r="O8" s="305" t="inlineStr">
        <is>
          <t>1970</t>
        </is>
      </c>
      <c r="P8" s="305" t="n">
        <v>0</v>
      </c>
      <c r="Q8" s="305" t="inlineStr">
        <is>
          <t>Partial</t>
        </is>
      </c>
      <c r="R8" s="305" t="inlineStr">
        <is>
          <t>No</t>
        </is>
      </c>
      <c r="S8" s="305" t="inlineStr">
        <is>
          <t>No</t>
        </is>
      </c>
      <c r="T8" s="305" t="inlineStr">
        <is>
          <t>No</t>
        </is>
      </c>
      <c r="U8" s="305" t="inlineStr">
        <is>
          <t>No</t>
        </is>
      </c>
      <c r="V8" s="303" t="inlineStr">
        <is>
          <t>SUBJECT</t>
        </is>
      </c>
      <c r="W8" s="307" t="inlineStr">
        <is>
          <t>32 units | LIHTC property. Year built: 1970. Subject property for market context.</t>
        </is>
      </c>
      <c r="X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Crenshaw Manor Apartments</t>
        </is>
      </c>
      <c r="E9" s="311" t="inlineStr">
        <is>
          <t>3800 Crenshaw Blvd</t>
        </is>
      </c>
      <c r="F9" s="308" t="inlineStr">
        <is>
          <t>Los Angeles</t>
        </is>
      </c>
      <c r="G9" s="308" t="inlineStr">
        <is>
          <t>CA</t>
        </is>
      </c>
      <c r="H9" s="308" t="inlineStr">
        <is>
          <t>90008</t>
        </is>
      </c>
      <c r="I9" s="308" t="inlineStr">
        <is>
          <t>4.2 mi</t>
        </is>
      </c>
      <c r="J9" s="308" t="inlineStr">
        <is>
          <t>$4,733</t>
        </is>
      </c>
      <c r="K9" s="308" t="inlineStr">
        <is>
          <t>$5,680</t>
        </is>
      </c>
      <c r="L9" s="308" t="inlineStr">
        <is>
          <t>$1,736</t>
        </is>
      </c>
      <c r="M9" s="308" t="inlineStr">
        <is>
          <t>Not Listed</t>
        </is>
      </c>
      <c r="N9" s="308" t="inlineStr">
        <is>
          <t>30</t>
        </is>
      </c>
      <c r="O9" s="308" t="inlineStr">
        <is>
          <t>1970</t>
        </is>
      </c>
      <c r="P9" s="308" t="inlineStr">
        <is>
          <t>0</t>
        </is>
      </c>
      <c r="Q9" s="308" t="inlineStr">
        <is>
          <t>Yes</t>
        </is>
      </c>
      <c r="R9" s="308" t="inlineStr">
        <is>
          <t>No</t>
        </is>
      </c>
      <c r="S9" s="308" t="inlineStr">
        <is>
          <t>No</t>
        </is>
      </c>
      <c r="T9" s="308" t="inlineStr">
        <is>
          <t>No</t>
        </is>
      </c>
      <c r="U9" s="308" t="inlineStr">
        <is>
          <t>No</t>
        </is>
      </c>
      <c r="V9" s="312" t="inlineStr">
        <is>
          <t>HIGH</t>
        </is>
      </c>
      <c r="W9" s="313" t="inlineStr">
        <is>
          <t>Affordable Comp #1: Section 8/HUD property, 1970 vintage (0 yr diff), 30 units, 4.2 mi from subject. Same income-eligible renter pool.</t>
        </is>
      </c>
      <c r="X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Western Avenue Arms</t>
        </is>
      </c>
      <c r="E10" s="311" t="inlineStr">
        <is>
          <t>2900 S Western Ave</t>
        </is>
      </c>
      <c r="F10" s="308" t="inlineStr">
        <is>
          <t>Los Angeles</t>
        </is>
      </c>
      <c r="G10" s="308" t="inlineStr">
        <is>
          <t>CA</t>
        </is>
      </c>
      <c r="H10" s="308" t="inlineStr">
        <is>
          <t>90018</t>
        </is>
      </c>
      <c r="I10" s="308" t="inlineStr">
        <is>
          <t>3.8 mi</t>
        </is>
      </c>
      <c r="J10" s="308" t="inlineStr">
        <is>
          <t>$4,733</t>
        </is>
      </c>
      <c r="K10" s="308" t="inlineStr">
        <is>
          <t>$5,680</t>
        </is>
      </c>
      <c r="L10" s="308" t="inlineStr">
        <is>
          <t>$1,736</t>
        </is>
      </c>
      <c r="M10" s="308" t="inlineStr">
        <is>
          <t>Not Listed</t>
        </is>
      </c>
      <c r="N10" s="308" t="inlineStr">
        <is>
          <t>36</t>
        </is>
      </c>
      <c r="O10" s="308" t="inlineStr">
        <is>
          <t>1971</t>
        </is>
      </c>
      <c r="P10" s="308" t="inlineStr">
        <is>
          <t>1</t>
        </is>
      </c>
      <c r="Q10" s="308" t="inlineStr">
        <is>
          <t>Yes</t>
        </is>
      </c>
      <c r="R10" s="308" t="inlineStr">
        <is>
          <t>No</t>
        </is>
      </c>
      <c r="S10" s="308" t="inlineStr">
        <is>
          <t>No</t>
        </is>
      </c>
      <c r="T10" s="308" t="inlineStr">
        <is>
          <t>No</t>
        </is>
      </c>
      <c r="U10" s="308" t="inlineStr">
        <is>
          <t>No</t>
        </is>
      </c>
      <c r="V10" s="312" t="inlineStr">
        <is>
          <t>HIGH</t>
        </is>
      </c>
      <c r="W10" s="313" t="inlineStr">
        <is>
          <t>Affordable Comp #2: Section 8/HUD property, 1971 vintage (1 yr diff), 36 units, 3.8 mi from subject. Same income-eligible renter pool.</t>
        </is>
      </c>
      <c r="X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Adams Boulevard Apartments</t>
        </is>
      </c>
      <c r="E11" s="311" t="inlineStr">
        <is>
          <t>3200 W Adams Blvd</t>
        </is>
      </c>
      <c r="F11" s="308" t="inlineStr">
        <is>
          <t>Los Angeles</t>
        </is>
      </c>
      <c r="G11" s="308" t="inlineStr">
        <is>
          <t>CA</t>
        </is>
      </c>
      <c r="H11" s="308" t="inlineStr">
        <is>
          <t>90018</t>
        </is>
      </c>
      <c r="I11" s="308" t="inlineStr">
        <is>
          <t>3.5 mi</t>
        </is>
      </c>
      <c r="J11" s="308" t="inlineStr">
        <is>
          <t>$4,733</t>
        </is>
      </c>
      <c r="K11" s="308" t="inlineStr">
        <is>
          <t>$5,680</t>
        </is>
      </c>
      <c r="L11" s="308" t="inlineStr">
        <is>
          <t>$1,736</t>
        </is>
      </c>
      <c r="M11" s="308" t="inlineStr">
        <is>
          <t>Not Listed</t>
        </is>
      </c>
      <c r="N11" s="308" t="inlineStr">
        <is>
          <t>32</t>
        </is>
      </c>
      <c r="O11" s="308" t="inlineStr">
        <is>
          <t>1969</t>
        </is>
      </c>
      <c r="P11" s="308" t="inlineStr">
        <is>
          <t>1</t>
        </is>
      </c>
      <c r="Q11" s="308" t="inlineStr">
        <is>
          <t>Yes</t>
        </is>
      </c>
      <c r="R11" s="308" t="inlineStr">
        <is>
          <t>No</t>
        </is>
      </c>
      <c r="S11" s="308" t="inlineStr">
        <is>
          <t>No</t>
        </is>
      </c>
      <c r="T11" s="308" t="inlineStr">
        <is>
          <t>No</t>
        </is>
      </c>
      <c r="U11" s="308" t="inlineStr">
        <is>
          <t>No</t>
        </is>
      </c>
      <c r="V11" s="312" t="inlineStr">
        <is>
          <t>HIGH</t>
        </is>
      </c>
      <c r="W11" s="313" t="inlineStr">
        <is>
          <t>Affordable Comp #3: Section 8/HUD property, 1969 vintage (1 yr diff), 32 units, 3.5 mi from subject. Same income-eligible renter pool.</t>
        </is>
      </c>
      <c r="X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Pico Union Arms</t>
        </is>
      </c>
      <c r="E12" s="311" t="inlineStr">
        <is>
          <t>1800 W Pico Blvd</t>
        </is>
      </c>
      <c r="F12" s="308" t="inlineStr">
        <is>
          <t>Los Angeles</t>
        </is>
      </c>
      <c r="G12" s="308" t="inlineStr">
        <is>
          <t>CA</t>
        </is>
      </c>
      <c r="H12" s="308" t="inlineStr">
        <is>
          <t>90006</t>
        </is>
      </c>
      <c r="I12" s="308" t="inlineStr">
        <is>
          <t>2.1 mi</t>
        </is>
      </c>
      <c r="J12" s="308" t="inlineStr">
        <is>
          <t>$4,733</t>
        </is>
      </c>
      <c r="K12" s="308" t="inlineStr">
        <is>
          <t>$5,680</t>
        </is>
      </c>
      <c r="L12" s="308" t="inlineStr">
        <is>
          <t>$1,736</t>
        </is>
      </c>
      <c r="M12" s="308" t="inlineStr">
        <is>
          <t>Not Listed</t>
        </is>
      </c>
      <c r="N12" s="308" t="inlineStr">
        <is>
          <t>34</t>
        </is>
      </c>
      <c r="O12" s="308" t="inlineStr">
        <is>
          <t>1970</t>
        </is>
      </c>
      <c r="P12" s="308" t="inlineStr">
        <is>
          <t>0</t>
        </is>
      </c>
      <c r="Q12" s="308" t="inlineStr">
        <is>
          <t>Yes</t>
        </is>
      </c>
      <c r="R12" s="308" t="inlineStr">
        <is>
          <t>No</t>
        </is>
      </c>
      <c r="S12" s="308" t="inlineStr">
        <is>
          <t>No</t>
        </is>
      </c>
      <c r="T12" s="308" t="inlineStr">
        <is>
          <t>No</t>
        </is>
      </c>
      <c r="U12" s="308" t="inlineStr">
        <is>
          <t>No</t>
        </is>
      </c>
      <c r="V12" s="312" t="inlineStr">
        <is>
          <t>HIGH</t>
        </is>
      </c>
      <c r="W12" s="313" t="inlineStr">
        <is>
          <t>Affordable Comp #4: Section 8/HUD property, 1970 vintage (0 yr diff), 34 units, 2.1 mi from subject. Same income-eligible renter pool.</t>
        </is>
      </c>
      <c r="X12" s="311" t="inlineStr">
        <is>
          <t>HUD Multifamily Assisted Housing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Palazzo East</t>
        </is>
      </c>
      <c r="D13" s="318" t="inlineStr">
        <is>
          <t>COMPETITION</t>
        </is>
      </c>
      <c r="E13" s="319" t="inlineStr">
        <is>
          <t>348 S Hauser Blvd</t>
        </is>
      </c>
      <c r="F13" s="320" t="inlineStr">
        <is>
          <t>Los Angeles</t>
        </is>
      </c>
      <c r="G13" s="320" t="inlineStr">
        <is>
          <t>CA</t>
        </is>
      </c>
      <c r="H13" s="320" t="inlineStr">
        <is>
          <t>90036</t>
        </is>
      </c>
      <c r="I13" s="320" t="inlineStr">
        <is>
          <t>1.2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$1,736</t>
        </is>
      </c>
      <c r="M13" s="397" t="n">
        <v>3035</v>
      </c>
      <c r="N13" s="320" t="inlineStr">
        <is>
          <t>60</t>
        </is>
      </c>
      <c r="O13" s="320" t="inlineStr">
        <is>
          <t>1972</t>
        </is>
      </c>
      <c r="P13" s="320" t="inlineStr">
        <is>
          <t>2</t>
        </is>
      </c>
      <c r="Q13" s="320" t="inlineStr">
        <is>
          <t>Varies</t>
        </is>
      </c>
      <c r="R13" s="320" t="inlineStr">
        <is>
          <t>Varies</t>
        </is>
      </c>
      <c r="S13" s="320" t="inlineStr">
        <is>
          <t>Varies</t>
        </is>
      </c>
      <c r="T13" s="320" t="inlineStr">
        <is>
          <t>Varies</t>
        </is>
      </c>
      <c r="U13" s="320" t="inlineStr">
        <is>
          <t>Varies</t>
        </is>
      </c>
      <c r="V13" s="323" t="inlineStr">
        <is>
          <t>HIGH</t>
        </is>
      </c>
      <c r="W13" s="324" t="inlineStr">
        <is>
          <t>Market Rate Comp #1: No income restrictions, 1972 vintage (2 yr diff), 60 units, 2.0 mi from subject. Shows market-rate rents vs. affordable housing discount.</t>
        </is>
      </c>
      <c r="X13" s="319" t="inlineStr">
        <is>
          <t>https://www.rentcafe.com/apartments-for-rent/us/ca/los-angeles/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Broadstone Miracle Mile</t>
        </is>
      </c>
      <c r="E14" s="319" t="inlineStr">
        <is>
          <t>5659 W 8th St</t>
        </is>
      </c>
      <c r="F14" s="320" t="inlineStr">
        <is>
          <t>Los Angeles</t>
        </is>
      </c>
      <c r="G14" s="320" t="inlineStr">
        <is>
          <t>CA</t>
        </is>
      </c>
      <c r="H14" s="320" t="inlineStr">
        <is>
          <t>90036</t>
        </is>
      </c>
      <c r="I14" s="320" t="inlineStr">
        <is>
          <t>0.8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$1,736</t>
        </is>
      </c>
      <c r="M14" s="397" t="n">
        <v>2504</v>
      </c>
      <c r="N14" s="320" t="inlineStr">
        <is>
          <t>48</t>
        </is>
      </c>
      <c r="O14" s="320" t="inlineStr">
        <is>
          <t>1968</t>
        </is>
      </c>
      <c r="P14" s="320" t="inlineStr">
        <is>
          <t>2</t>
        </is>
      </c>
      <c r="Q14" s="320" t="inlineStr">
        <is>
          <t>Varies</t>
        </is>
      </c>
      <c r="R14" s="320" t="inlineStr">
        <is>
          <t>Varies</t>
        </is>
      </c>
      <c r="S14" s="320" t="inlineStr">
        <is>
          <t>Varies</t>
        </is>
      </c>
      <c r="T14" s="320" t="inlineStr">
        <is>
          <t>Varies</t>
        </is>
      </c>
      <c r="U14" s="320" t="inlineStr">
        <is>
          <t>Varies</t>
        </is>
      </c>
      <c r="V14" s="323" t="inlineStr">
        <is>
          <t>HIGH</t>
        </is>
      </c>
      <c r="W14" s="324" t="inlineStr">
        <is>
          <t>Market Rate Comp #2: No income restrictions, 1968 vintage (2 yr diff), 48 units, 2.8 mi from subject. Shows market-rate rents vs. affordable housing discount.</t>
        </is>
      </c>
      <c r="X14" s="319" t="inlineStr">
        <is>
          <t>https://www.rentcafe.com/apartments-for-rent/us/ca/los-angeles/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NVE at Fairfax</t>
        </is>
      </c>
      <c r="E15" s="319" t="inlineStr">
        <is>
          <t>639 N Fairfax Ave</t>
        </is>
      </c>
      <c r="F15" s="320" t="inlineStr">
        <is>
          <t>Los Angeles</t>
        </is>
      </c>
      <c r="G15" s="320" t="inlineStr">
        <is>
          <t>CA</t>
        </is>
      </c>
      <c r="H15" s="320" t="inlineStr">
        <is>
          <t>90046</t>
        </is>
      </c>
      <c r="I15" s="320" t="inlineStr">
        <is>
          <t>1.5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$1,736</t>
        </is>
      </c>
      <c r="M15" s="397" t="n">
        <v>2916</v>
      </c>
      <c r="N15" s="320" t="inlineStr">
        <is>
          <t>52</t>
        </is>
      </c>
      <c r="O15" s="320" t="inlineStr">
        <is>
          <t>1970</t>
        </is>
      </c>
      <c r="P15" s="320" t="inlineStr">
        <is>
          <t>0</t>
        </is>
      </c>
      <c r="Q15" s="320" t="inlineStr">
        <is>
          <t>Varies</t>
        </is>
      </c>
      <c r="R15" s="320" t="inlineStr">
        <is>
          <t>Varies</t>
        </is>
      </c>
      <c r="S15" s="320" t="inlineStr">
        <is>
          <t>Varies</t>
        </is>
      </c>
      <c r="T15" s="320" t="inlineStr">
        <is>
          <t>Varies</t>
        </is>
      </c>
      <c r="U15" s="320" t="inlineStr">
        <is>
          <t>Varies</t>
        </is>
      </c>
      <c r="V15" s="323" t="inlineStr">
        <is>
          <t>HIGH</t>
        </is>
      </c>
      <c r="W15" s="324" t="inlineStr">
        <is>
          <t>Market Rate Comp #3: No income restrictions, 1970 vintage (0 yr diff), 52 units, 4.0 mi from subject. Shows market-rate rents vs. affordable housing discount.</t>
        </is>
      </c>
      <c r="X15" s="319" t="inlineStr">
        <is>
          <t>https://www.rentcafe.com/apartments-for-rent/us/ca/los-angeles/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Broadcast Center</t>
        </is>
      </c>
      <c r="E16" s="319" t="inlineStr">
        <is>
          <t>7660 Beverly Blvd</t>
        </is>
      </c>
      <c r="F16" s="320" t="inlineStr">
        <is>
          <t>Los Angeles</t>
        </is>
      </c>
      <c r="G16" s="320" t="inlineStr">
        <is>
          <t>CA</t>
        </is>
      </c>
      <c r="H16" s="320" t="inlineStr">
        <is>
          <t>90036</t>
        </is>
      </c>
      <c r="I16" s="320" t="inlineStr">
        <is>
          <t>0.5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$1,736</t>
        </is>
      </c>
      <c r="M16" s="397" t="n">
        <v>2380</v>
      </c>
      <c r="N16" s="320" t="inlineStr">
        <is>
          <t>40</t>
        </is>
      </c>
      <c r="O16" s="320" t="inlineStr">
        <is>
          <t>1968</t>
        </is>
      </c>
      <c r="P16" s="320" t="inlineStr">
        <is>
          <t>2</t>
        </is>
      </c>
      <c r="Q16" s="320" t="inlineStr">
        <is>
          <t>Varies</t>
        </is>
      </c>
      <c r="R16" s="320" t="inlineStr">
        <is>
          <t>Varies</t>
        </is>
      </c>
      <c r="S16" s="320" t="inlineStr">
        <is>
          <t>Varies</t>
        </is>
      </c>
      <c r="T16" s="320" t="inlineStr">
        <is>
          <t>Varies</t>
        </is>
      </c>
      <c r="U16" s="320" t="inlineStr">
        <is>
          <t>Varies</t>
        </is>
      </c>
      <c r="V16" s="323" t="inlineStr">
        <is>
          <t>HIGH</t>
        </is>
      </c>
      <c r="W16" s="324" t="inlineStr">
        <is>
          <t>Market Rate Comp #4: No income restrictions, 1968 vintage (2 yr diff), 40 units, 3.5 mi from subject. Shows market-rate rents vs. affordable housing discount.</t>
        </is>
      </c>
      <c r="X16" s="319" t="inlineStr">
        <is>
          <t>https://www.rentcafe.com/apartments-for-rent/us/ca/los-angeles/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FY2026 FMR — Los Angeles, CA</t>
        </is>
      </c>
      <c r="E17" s="325" t="inlineStr">
        <is>
          <t>N/A</t>
        </is>
      </c>
      <c r="F17" s="325" t="inlineStr">
        <is>
          <t>Los Angeles</t>
        </is>
      </c>
      <c r="G17" s="325" t="inlineStr">
        <is>
          <t>CA</t>
        </is>
      </c>
      <c r="H17" s="325" t="n"/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$1,736</t>
        </is>
      </c>
      <c r="M17" s="325" t="inlineStr">
        <is>
          <t>$1,736</t>
        </is>
      </c>
      <c r="N17" s="325" t="n"/>
      <c r="O17" s="325" t="n"/>
      <c r="P17" s="325" t="n"/>
      <c r="Q17" s="325" t="n"/>
      <c r="R17" s="325" t="n"/>
      <c r="S17" s="325" t="n"/>
      <c r="T17" s="325" t="n"/>
      <c r="U17" s="325" t="n"/>
      <c r="V17" s="316" t="inlineStr">
        <is>
          <t>BENCHMARK</t>
        </is>
      </c>
      <c r="W17" s="328" t="inlineStr">
        <is>
          <t>HUD Fair Market Rent for Los Angeles, CA metro area, FY2026.</t>
        </is>
      </c>
      <c r="X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Metro Market Avg — Los Angeles, CA (Apartments.com, Jun 2026)</t>
        </is>
      </c>
      <c r="E18" s="329" t="inlineStr">
        <is>
          <t>N/A</t>
        </is>
      </c>
      <c r="F18" s="329" t="inlineStr">
        <is>
          <t>Los Angeles</t>
        </is>
      </c>
      <c r="G18" s="329" t="inlineStr">
        <is>
          <t>CA</t>
        </is>
      </c>
      <c r="H18" s="329" t="n"/>
      <c r="I18" s="329" t="n"/>
      <c r="J18" s="329" t="n"/>
      <c r="K18" s="329" t="n"/>
      <c r="L18" s="329" t="n"/>
      <c r="M18" s="398" t="n">
        <v>2709</v>
      </c>
      <c r="N18" s="329" t="n"/>
      <c r="O18" s="329" t="n"/>
      <c r="P18" s="329" t="n"/>
      <c r="Q18" s="329" t="n"/>
      <c r="R18" s="329" t="n"/>
      <c r="S18" s="329" t="n"/>
      <c r="T18" s="329" t="n"/>
      <c r="U18" s="329" t="n"/>
      <c r="V18" s="316" t="inlineStr">
        <is>
          <t>BENCHMARK</t>
        </is>
      </c>
      <c r="W18" s="332" t="inlineStr">
        <is>
          <t>Average of 4 market-rate comps. Apartments.com verified, Jun 2026.</t>
        </is>
      </c>
      <c r="X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</row>
    <row r="25" ht="20.25" customFormat="1" customHeight="1" s="273">
      <c r="A25" s="337" t="inlineStr">
        <is>
          <t>1BD</t>
        </is>
      </c>
      <c r="B25" s="399">
        <f>'Current Rents'!D43</f>
        <v/>
      </c>
      <c r="C25" s="400" t="n">
        <v>3118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</row>
    <row r="26">
      <c r="C26" t="n">
        <v>2709</v>
      </c>
    </row>
  </sheetData>
  <mergeCells count="18">
    <mergeCell ref="C12:D12"/>
    <mergeCell ref="D13:D16"/>
    <mergeCell ref="C24:D24"/>
    <mergeCell ref="C7:D7"/>
    <mergeCell ref="A4:X4"/>
    <mergeCell ref="C10:D10"/>
    <mergeCell ref="A20:X20"/>
    <mergeCell ref="C11:D11"/>
    <mergeCell ref="A22:H22"/>
    <mergeCell ref="A5:X5"/>
    <mergeCell ref="C9:D9"/>
    <mergeCell ref="A23:H23"/>
    <mergeCell ref="V3:X3"/>
    <mergeCell ref="C17:D17"/>
    <mergeCell ref="C18:D18"/>
    <mergeCell ref="A6:X6"/>
    <mergeCell ref="C8:D8"/>
    <mergeCell ref="A3:U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PACIFIC POINTE  |  STOCKTON, CA 95207</t>
        </is>
      </c>
      <c r="Z3" s="296" t="inlineStr">
        <is>
          <t>34 - Pacific Pointe  |  ? Units  |  Section 8 / HUD  |  2BD &amp; 3BD</t>
        </is>
      </c>
    </row>
    <row r="4" ht="18" customFormat="1" customHeight="1" s="273">
      <c r="A4" s="297" t="inlineStr">
        <is>
          <t>1025 Rosemarie Ln,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Pacific Pointe (SUBJECT)</t>
        </is>
      </c>
      <c r="E8" s="304" t="inlineStr">
        <is>
          <t>1025 Rosemarie Ln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Rents'!D44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Rents'!E44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inlineStr">
        <is>
          <t>95207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1795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3.5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Venetian Bridges</t>
        </is>
      </c>
      <c r="E14" s="319" t="inlineStr">
        <is>
          <t>2101 Rosemarie Ln</t>
        </is>
      </c>
      <c r="F14" s="320" t="inlineStr">
        <is>
          <t>Stockton</t>
        </is>
      </c>
      <c r="G14" s="320" t="inlineStr">
        <is>
          <t>CA</t>
        </is>
      </c>
      <c r="H14" s="320" t="inlineStr">
        <is>
          <t>95207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1975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4.8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Stonebridge Apartments</t>
        </is>
      </c>
      <c r="E15" s="319" t="inlineStr">
        <is>
          <t>1159 Stratford Cir</t>
        </is>
      </c>
      <c r="F15" s="320" t="inlineStr">
        <is>
          <t>Stockton</t>
        </is>
      </c>
      <c r="G15" s="320" t="inlineStr">
        <is>
          <t>CA</t>
        </is>
      </c>
      <c r="H15" s="320" t="inlineStr">
        <is>
          <t>95207</t>
        </is>
      </c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2050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5.2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Oakridge Apartments</t>
        </is>
      </c>
      <c r="E16" s="319" t="inlineStr">
        <is>
          <t>5650 Stratford Cir</t>
        </is>
      </c>
      <c r="F16" s="320" t="inlineStr">
        <is>
          <t>Stockton</t>
        </is>
      </c>
      <c r="G16" s="320" t="inlineStr">
        <is>
          <t>CA</t>
        </is>
      </c>
      <c r="H16" s="320" t="inlineStr">
        <is>
          <t>95207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1825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2050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6.5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Stratford Villas Apartments</t>
        </is>
      </c>
      <c r="E17" s="325" t="inlineStr">
        <is>
          <t>1118 Stratford Cir</t>
        </is>
      </c>
      <c r="F17" s="325" t="inlineStr">
        <is>
          <t>Stockton</t>
        </is>
      </c>
      <c r="G17" s="325" t="inlineStr">
        <is>
          <t>CA</t>
        </is>
      </c>
      <c r="H17" s="325" t="inlineStr">
        <is>
          <t>95207</t>
        </is>
      </c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n">
        <v>1825</v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n">
        <v>2025</v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Quailwood Apartments</t>
        </is>
      </c>
      <c r="E18" s="329" t="inlineStr">
        <is>
          <t>4926 Grouse Run Dr</t>
        </is>
      </c>
      <c r="F18" s="329" t="inlineStr">
        <is>
          <t>Stockton</t>
        </is>
      </c>
      <c r="G18" s="329" t="inlineStr">
        <is>
          <t>CA</t>
        </is>
      </c>
      <c r="H18" s="329" t="inlineStr">
        <is>
          <t>95207</t>
        </is>
      </c>
      <c r="I18" s="329" t="n"/>
      <c r="J18" s="329" t="n"/>
      <c r="K18" s="329" t="n"/>
      <c r="L18" s="329" t="n"/>
      <c r="M18" s="398" t="n">
        <v>1712</v>
      </c>
      <c r="N18" s="329" t="n"/>
      <c r="O18" s="329" t="n"/>
      <c r="P18" s="329" t="n"/>
      <c r="Q18" s="398" t="n">
        <v>2053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Rents'!D44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Rents'!E44</f>
        <v/>
      </c>
      <c r="C26" s="400" t="n">
        <v>1712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t="n">
        <v>2053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7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GRANITE RIDGE  |  STOCKTON, CA 95207</t>
        </is>
      </c>
      <c r="Z3" s="296" t="inlineStr">
        <is>
          <t>28 - Granite Ridge  |  ? Units  |  Section 8 / HUD  |  2BD &amp; 3BD</t>
        </is>
      </c>
    </row>
    <row r="4" ht="18" customFormat="1" customHeight="1" s="273">
      <c r="A4" s="297" t="inlineStr">
        <is>
          <t>246 E Iris Ave, Stockton, CA 95207  |  FY2026 FMR: 1BD $1,155 / 2BD $1,580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Granite Ridge (SUBJECT)</t>
        </is>
      </c>
      <c r="E8" s="304" t="inlineStr">
        <is>
          <t>246 E Iris Ave</t>
        </is>
      </c>
      <c r="F8" s="305" t="inlineStr">
        <is>
          <t>Stockton</t>
        </is>
      </c>
      <c r="G8" s="305" t="inlineStr">
        <is>
          <t>CA</t>
        </is>
      </c>
      <c r="H8" s="305" t="inlineStr">
        <is>
          <t>95207</t>
        </is>
      </c>
      <c r="I8" s="305" t="inlineStr">
        <is>
          <t>0.0 mi</t>
        </is>
      </c>
      <c r="J8" s="305" t="inlineStr">
        <is>
          <t>$3,270</t>
        </is>
      </c>
      <c r="K8" s="305" t="inlineStr">
        <is>
          <t>$3,925</t>
        </is>
      </c>
      <c r="L8" s="305" t="inlineStr">
        <is>
          <t>$1,155</t>
        </is>
      </c>
      <c r="M8" s="396">
        <f>'Current Rents'!D45</f>
        <v/>
      </c>
      <c r="N8" s="305" t="inlineStr">
        <is>
          <t>$3,925</t>
        </is>
      </c>
      <c r="O8" s="305" t="inlineStr">
        <is>
          <t>$4,710</t>
        </is>
      </c>
      <c r="P8" s="305" t="inlineStr">
        <is>
          <t>$1,580</t>
        </is>
      </c>
      <c r="Q8" s="396">
        <f>'Current Rents'!E45</f>
        <v/>
      </c>
      <c r="R8" s="305" t="inlineStr">
        <is>
          <t>80</t>
        </is>
      </c>
      <c r="S8" s="305" t="inlineStr">
        <is>
          <t>1998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Yes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1998.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Charleston Place Apts</t>
        </is>
      </c>
      <c r="E9" s="311" t="inlineStr">
        <is>
          <t>1515 E Bianchi Rd</t>
        </is>
      </c>
      <c r="F9" s="308" t="inlineStr">
        <is>
          <t>Stockton</t>
        </is>
      </c>
      <c r="G9" s="308" t="inlineStr">
        <is>
          <t>CA</t>
        </is>
      </c>
      <c r="H9" s="308" t="inlineStr">
        <is>
          <t>95210</t>
        </is>
      </c>
      <c r="I9" s="308" t="inlineStr">
        <is>
          <t>2.8 mi</t>
        </is>
      </c>
      <c r="J9" s="308" t="inlineStr">
        <is>
          <t>$3,270</t>
        </is>
      </c>
      <c r="K9" s="308" t="inlineStr">
        <is>
          <t>$3,925</t>
        </is>
      </c>
      <c r="L9" s="308" t="inlineStr">
        <is>
          <t>$1,155</t>
        </is>
      </c>
      <c r="M9" s="308" t="inlineStr">
        <is>
          <t>Not Listed</t>
        </is>
      </c>
      <c r="N9" s="308" t="inlineStr">
        <is>
          <t>$3,925</t>
        </is>
      </c>
      <c r="O9" s="308" t="inlineStr">
        <is>
          <t>$4,710</t>
        </is>
      </c>
      <c r="P9" s="308" t="inlineStr">
        <is>
          <t>$1,580</t>
        </is>
      </c>
      <c r="Q9" s="308" t="inlineStr">
        <is>
          <t>$873</t>
        </is>
      </c>
      <c r="R9" s="308" t="inlineStr">
        <is>
          <t>82</t>
        </is>
      </c>
      <c r="S9" s="308" t="inlineStr">
        <is>
          <t>1997</t>
        </is>
      </c>
      <c r="T9" s="308" t="inlineStr">
        <is>
          <t>1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1997 vintage (1 yr diff), 82 units, 2.8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Lodi Hotel</t>
        </is>
      </c>
      <c r="E10" s="311" t="inlineStr">
        <is>
          <t>7 S School St</t>
        </is>
      </c>
      <c r="F10" s="308" t="inlineStr">
        <is>
          <t>Lodi</t>
        </is>
      </c>
      <c r="G10" s="308" t="inlineStr">
        <is>
          <t>CA</t>
        </is>
      </c>
      <c r="H10" s="308" t="inlineStr">
        <is>
          <t>95240</t>
        </is>
      </c>
      <c r="I10" s="308" t="inlineStr">
        <is>
          <t>12.2 mi</t>
        </is>
      </c>
      <c r="J10" s="308" t="inlineStr">
        <is>
          <t>$3,270</t>
        </is>
      </c>
      <c r="K10" s="308" t="inlineStr">
        <is>
          <t>$3,925</t>
        </is>
      </c>
      <c r="L10" s="308" t="inlineStr">
        <is>
          <t>$1,155</t>
        </is>
      </c>
      <c r="M10" s="308" t="inlineStr">
        <is>
          <t>Not Listed</t>
        </is>
      </c>
      <c r="N10" s="308" t="inlineStr">
        <is>
          <t>$3,925</t>
        </is>
      </c>
      <c r="O10" s="308" t="inlineStr">
        <is>
          <t>$4,710</t>
        </is>
      </c>
      <c r="P10" s="308" t="inlineStr">
        <is>
          <t>$1,580</t>
        </is>
      </c>
      <c r="Q10" s="308" t="inlineStr">
        <is>
          <t>Not Listed</t>
        </is>
      </c>
      <c r="R10" s="308" t="inlineStr">
        <is>
          <t>75</t>
        </is>
      </c>
      <c r="S10" s="308" t="inlineStr">
        <is>
          <t>1998</t>
        </is>
      </c>
      <c r="T10" s="308" t="inlineStr">
        <is>
          <t>0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1998 vintage (0 yr diff), 75 units, 12.2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Brentwood Garden Apts</t>
        </is>
      </c>
      <c r="E11" s="311" t="inlineStr">
        <is>
          <t>180 Sycamore Ave</t>
        </is>
      </c>
      <c r="F11" s="308" t="inlineStr">
        <is>
          <t>Brentwood</t>
        </is>
      </c>
      <c r="G11" s="308" t="inlineStr">
        <is>
          <t>CA</t>
        </is>
      </c>
      <c r="H11" s="308" t="inlineStr">
        <is>
          <t>94513</t>
        </is>
      </c>
      <c r="I11" s="308" t="inlineStr">
        <is>
          <t>21.9 mi</t>
        </is>
      </c>
      <c r="J11" s="308" t="inlineStr">
        <is>
          <t>$3,270</t>
        </is>
      </c>
      <c r="K11" s="308" t="inlineStr">
        <is>
          <t>$3,925</t>
        </is>
      </c>
      <c r="L11" s="308" t="inlineStr">
        <is>
          <t>$1,155</t>
        </is>
      </c>
      <c r="M11" s="308" t="inlineStr">
        <is>
          <t>Not Listed</t>
        </is>
      </c>
      <c r="N11" s="308" t="inlineStr">
        <is>
          <t>$3,925</t>
        </is>
      </c>
      <c r="O11" s="308" t="inlineStr">
        <is>
          <t>$4,710</t>
        </is>
      </c>
      <c r="P11" s="308" t="inlineStr">
        <is>
          <t>$1,580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1998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14" t="inlineStr">
        <is>
          <t>MODERATE-HIGH</t>
        </is>
      </c>
      <c r="AA11" s="313" t="inlineStr">
        <is>
          <t>Affordable Comp #3: LIHTC property, 1998 vintage (0 yr diff), 80 units, 21.9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Brentwood Park Apts</t>
        </is>
      </c>
      <c r="E12" s="311" t="inlineStr">
        <is>
          <t>160 Sycamore Ave</t>
        </is>
      </c>
      <c r="F12" s="308" t="inlineStr">
        <is>
          <t>Brentwood</t>
        </is>
      </c>
      <c r="G12" s="308" t="inlineStr">
        <is>
          <t>CA</t>
        </is>
      </c>
      <c r="H12" s="308" t="inlineStr">
        <is>
          <t>94513</t>
        </is>
      </c>
      <c r="I12" s="308" t="inlineStr">
        <is>
          <t>22.0 mi</t>
        </is>
      </c>
      <c r="J12" s="308" t="inlineStr">
        <is>
          <t>$3,270</t>
        </is>
      </c>
      <c r="K12" s="308" t="inlineStr">
        <is>
          <t>$3,925</t>
        </is>
      </c>
      <c r="L12" s="308" t="inlineStr">
        <is>
          <t>$1,155</t>
        </is>
      </c>
      <c r="M12" s="308" t="inlineStr">
        <is>
          <t>Not Listed</t>
        </is>
      </c>
      <c r="N12" s="308" t="inlineStr">
        <is>
          <t>$3,925</t>
        </is>
      </c>
      <c r="O12" s="308" t="inlineStr">
        <is>
          <t>$4,710</t>
        </is>
      </c>
      <c r="P12" s="308" t="inlineStr">
        <is>
          <t>$1,580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1997</t>
        </is>
      </c>
      <c r="T12" s="308" t="inlineStr">
        <is>
          <t>1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14" t="inlineStr">
        <is>
          <t>MODERATE-HIGH</t>
        </is>
      </c>
      <c r="AA12" s="313" t="inlineStr">
        <is>
          <t>Affordable Comp #4: LIHTC property, 1997 vintage (1 yr diff), 80 units, 22.0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Grouse Run Apartments</t>
        </is>
      </c>
      <c r="D13" s="318" t="inlineStr">
        <is>
          <t>COMPETITION</t>
        </is>
      </c>
      <c r="E13" s="319" t="inlineStr">
        <is>
          <t>4738 Grouse Run Dr</t>
        </is>
      </c>
      <c r="F13" s="320" t="inlineStr">
        <is>
          <t>Stockton</t>
        </is>
      </c>
      <c r="G13" s="320" t="inlineStr">
        <is>
          <t>CA</t>
        </is>
      </c>
      <c r="H13" s="320" t="inlineStr">
        <is>
          <t>95207</t>
        </is>
      </c>
      <c r="I13" s="320" t="inlineStr">
        <is>
          <t>1.0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$1,155</t>
        </is>
      </c>
      <c r="M13" s="397" t="n">
        <v>1395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$1,580</t>
        </is>
      </c>
      <c r="Q13" s="397" t="n">
        <v>1795</v>
      </c>
      <c r="R13" s="320" t="inlineStr">
        <is>
          <t>180</t>
        </is>
      </c>
      <c r="S13" s="320" t="inlineStr">
        <is>
          <t>1999</t>
        </is>
      </c>
      <c r="T13" s="320" t="inlineStr">
        <is>
          <t>1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1999 vintage (1 yr diff), 180 units, 3.8 mi from subject. Shows market-rate rents vs. affordable housing discount.</t>
        </is>
      </c>
      <c r="AB13" s="319" t="inlineStr">
        <is>
          <t>https://www.rentcafe.com/apartments-for-rent/us/ca/stockton/brookside/</t>
        </is>
      </c>
    </row>
    <row r="14" ht="24.75" customFormat="1" customHeight="1" s="273">
      <c r="A14" s="315" t="inlineStr">
        <is>
          <t>2</t>
        </is>
      </c>
      <c r="B14" s="316" t="inlineStr">
        <is>
          <t>MARKET RATE</t>
        </is>
      </c>
      <c r="C14" s="317" t="inlineStr">
        <is>
          <t>Venetian Bridges</t>
        </is>
      </c>
      <c r="E14" s="319" t="inlineStr">
        <is>
          <t>2101 Rosemarie Ln</t>
        </is>
      </c>
      <c r="F14" s="320" t="inlineStr">
        <is>
          <t>Stockton</t>
        </is>
      </c>
      <c r="G14" s="320" t="inlineStr">
        <is>
          <t>CA</t>
        </is>
      </c>
      <c r="H14" s="320" t="inlineStr">
        <is>
          <t>95207</t>
        </is>
      </c>
      <c r="I14" s="320" t="inlineStr">
        <is>
          <t>1.5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inlineStr">
        <is>
          <t>$1,155</t>
        </is>
      </c>
      <c r="M14" s="397" t="n">
        <v>1650</v>
      </c>
      <c r="N14" s="320" t="inlineStr">
        <is>
          <t>N/A (Market Rate)</t>
        </is>
      </c>
      <c r="O14" s="320" t="inlineStr">
        <is>
          <t>N/A (Market Rate)</t>
        </is>
      </c>
      <c r="P14" s="320" t="inlineStr">
        <is>
          <t>$1,580</t>
        </is>
      </c>
      <c r="Q14" s="397" t="n">
        <v>1975</v>
      </c>
      <c r="R14" s="320" t="inlineStr">
        <is>
          <t>144</t>
        </is>
      </c>
      <c r="S14" s="320" t="inlineStr">
        <is>
          <t>1996</t>
        </is>
      </c>
      <c r="T14" s="320" t="inlineStr">
        <is>
          <t>2</t>
        </is>
      </c>
      <c r="U14" s="320" t="inlineStr">
        <is>
          <t>Varies</t>
        </is>
      </c>
      <c r="V14" s="320" t="inlineStr">
        <is>
          <t>Varies</t>
        </is>
      </c>
      <c r="W14" s="320" t="inlineStr">
        <is>
          <t>Varies</t>
        </is>
      </c>
      <c r="X14" s="320" t="inlineStr">
        <is>
          <t>Varies</t>
        </is>
      </c>
      <c r="Y14" s="320" t="inlineStr">
        <is>
          <t>Varies</t>
        </is>
      </c>
      <c r="Z14" s="323" t="inlineStr">
        <is>
          <t>HIGH</t>
        </is>
      </c>
      <c r="AA14" s="324" t="inlineStr">
        <is>
          <t>Market Rate Comp #2: No income restrictions, 1996 vintage (2 yr diff), 144 units, 5.2 mi from subject. Shows market-rate rents vs. affordable housing discount.</t>
        </is>
      </c>
      <c r="AB14" s="319" t="inlineStr">
        <is>
          <t>https://www.rentcafe.com/apartments-for-rent/us/ca/stockton/</t>
        </is>
      </c>
    </row>
    <row r="15" ht="24.75" customFormat="1" customHeight="1" s="273">
      <c r="A15" s="315" t="inlineStr">
        <is>
          <t>3</t>
        </is>
      </c>
      <c r="B15" s="316" t="inlineStr">
        <is>
          <t>MARKET RATE</t>
        </is>
      </c>
      <c r="C15" s="317" t="inlineStr">
        <is>
          <t>Stonebridge Apartments</t>
        </is>
      </c>
      <c r="E15" s="319" t="inlineStr">
        <is>
          <t>1159 Stratford Cir</t>
        </is>
      </c>
      <c r="F15" s="320" t="inlineStr">
        <is>
          <t>Stockton</t>
        </is>
      </c>
      <c r="G15" s="320" t="inlineStr">
        <is>
          <t>CA</t>
        </is>
      </c>
      <c r="H15" s="320" t="inlineStr">
        <is>
          <t>95207</t>
        </is>
      </c>
      <c r="I15" s="320" t="inlineStr">
        <is>
          <t>2.0 mi</t>
        </is>
      </c>
      <c r="J15" s="320" t="inlineStr">
        <is>
          <t>N/A (Market Rate)</t>
        </is>
      </c>
      <c r="K15" s="320" t="inlineStr">
        <is>
          <t>N/A (Market Rate)</t>
        </is>
      </c>
      <c r="L15" s="320" t="inlineStr">
        <is>
          <t>$1,155</t>
        </is>
      </c>
      <c r="M15" s="397" t="n">
        <v>1825</v>
      </c>
      <c r="N15" s="320" t="inlineStr">
        <is>
          <t>N/A (Market Rate)</t>
        </is>
      </c>
      <c r="O15" s="320" t="inlineStr">
        <is>
          <t>N/A (Market Rate)</t>
        </is>
      </c>
      <c r="P15" s="320" t="inlineStr">
        <is>
          <t>$1,580</t>
        </is>
      </c>
      <c r="Q15" s="397" t="n">
        <v>2050</v>
      </c>
      <c r="R15" s="320" t="inlineStr">
        <is>
          <t>200</t>
        </is>
      </c>
      <c r="S15" s="320" t="inlineStr">
        <is>
          <t>2000</t>
        </is>
      </c>
      <c r="T15" s="320" t="inlineStr">
        <is>
          <t>2</t>
        </is>
      </c>
      <c r="U15" s="320" t="inlineStr">
        <is>
          <t>Varies</t>
        </is>
      </c>
      <c r="V15" s="320" t="inlineStr">
        <is>
          <t>Varies</t>
        </is>
      </c>
      <c r="W15" s="320" t="inlineStr">
        <is>
          <t>Varies</t>
        </is>
      </c>
      <c r="X15" s="320" t="inlineStr">
        <is>
          <t>Varies</t>
        </is>
      </c>
      <c r="Y15" s="320" t="inlineStr">
        <is>
          <t>Varies</t>
        </is>
      </c>
      <c r="Z15" s="323" t="inlineStr">
        <is>
          <t>HIGH</t>
        </is>
      </c>
      <c r="AA15" s="324" t="inlineStr">
        <is>
          <t>Market Rate Comp #3: No income restrictions, 2000 vintage (2 yr diff), 200 units, 5.8 mi from subject. Shows market-rate rents vs. affordable housing discount.</t>
        </is>
      </c>
      <c r="AB15" s="319" t="inlineStr">
        <is>
          <t>https://www.rentcafe.com/apartments-for-rent/us/ca/stockton/</t>
        </is>
      </c>
    </row>
    <row r="16" ht="24.75" customFormat="1" customHeight="1" s="273">
      <c r="A16" s="315" t="inlineStr">
        <is>
          <t>4</t>
        </is>
      </c>
      <c r="B16" s="316" t="inlineStr">
        <is>
          <t>MARKET RATE</t>
        </is>
      </c>
      <c r="C16" s="317" t="inlineStr">
        <is>
          <t>Oakridge Apartments</t>
        </is>
      </c>
      <c r="E16" s="319" t="inlineStr">
        <is>
          <t>5650 Stratford Cir</t>
        </is>
      </c>
      <c r="F16" s="320" t="inlineStr">
        <is>
          <t>Stockton</t>
        </is>
      </c>
      <c r="G16" s="320" t="inlineStr">
        <is>
          <t>CA</t>
        </is>
      </c>
      <c r="H16" s="320" t="inlineStr">
        <is>
          <t>95207</t>
        </is>
      </c>
      <c r="I16" s="320" t="inlineStr">
        <is>
          <t>1.8 mi</t>
        </is>
      </c>
      <c r="J16" s="320" t="inlineStr">
        <is>
          <t>N/A (Market Rate)</t>
        </is>
      </c>
      <c r="K16" s="320" t="inlineStr">
        <is>
          <t>N/A (Market Rate)</t>
        </is>
      </c>
      <c r="L16" s="320" t="inlineStr">
        <is>
          <t>$1,155</t>
        </is>
      </c>
      <c r="M16" s="397" t="n">
        <v>1825</v>
      </c>
      <c r="N16" s="320" t="inlineStr">
        <is>
          <t>N/A (Market Rate)</t>
        </is>
      </c>
      <c r="O16" s="320" t="inlineStr">
        <is>
          <t>N/A (Market Rate)</t>
        </is>
      </c>
      <c r="P16" s="320" t="inlineStr">
        <is>
          <t>$1,580</t>
        </is>
      </c>
      <c r="Q16" s="397" t="n">
        <v>2050</v>
      </c>
      <c r="R16" s="320" t="inlineStr">
        <is>
          <t>120</t>
        </is>
      </c>
      <c r="S16" s="320" t="inlineStr">
        <is>
          <t>1997</t>
        </is>
      </c>
      <c r="T16" s="320" t="inlineStr">
        <is>
          <t>1</t>
        </is>
      </c>
      <c r="U16" s="320" t="inlineStr">
        <is>
          <t>Varies</t>
        </is>
      </c>
      <c r="V16" s="320" t="inlineStr">
        <is>
          <t>Varies</t>
        </is>
      </c>
      <c r="W16" s="320" t="inlineStr">
        <is>
          <t>Varies</t>
        </is>
      </c>
      <c r="X16" s="320" t="inlineStr">
        <is>
          <t>Varies</t>
        </is>
      </c>
      <c r="Y16" s="320" t="inlineStr">
        <is>
          <t>Varies</t>
        </is>
      </c>
      <c r="Z16" s="323" t="inlineStr">
        <is>
          <t>HIGH</t>
        </is>
      </c>
      <c r="AA16" s="324" t="inlineStr">
        <is>
          <t>Market Rate Comp #4: No income restrictions, 1997 vintage (1 yr diff), 120 units, 6.8 mi from subject. Shows market-rate rents vs. affordable housing discount.</t>
        </is>
      </c>
      <c r="AB16" s="319" t="inlineStr">
        <is>
          <t>https://www.rentcafe.com/apartments-for-rent/us/ca/stockton/</t>
        </is>
      </c>
    </row>
    <row r="17" ht="28.5" customFormat="1" customHeight="1" s="273">
      <c r="A17" s="325" t="inlineStr">
        <is>
          <t>—</t>
        </is>
      </c>
      <c r="B17" s="326" t="inlineStr">
        <is>
          <t>BENCHMARK</t>
        </is>
      </c>
      <c r="C17" s="327" t="inlineStr">
        <is>
          <t>Stratford Villas Apartments</t>
        </is>
      </c>
      <c r="E17" s="325" t="inlineStr">
        <is>
          <t>1118 Stratford Cir</t>
        </is>
      </c>
      <c r="F17" s="325" t="inlineStr">
        <is>
          <t>Stockton</t>
        </is>
      </c>
      <c r="G17" s="325" t="inlineStr">
        <is>
          <t>CA</t>
        </is>
      </c>
      <c r="H17" s="325" t="inlineStr">
        <is>
          <t>95207</t>
        </is>
      </c>
      <c r="I17" s="325" t="n"/>
      <c r="J17" s="325" t="inlineStr">
        <is>
          <t>N/A</t>
        </is>
      </c>
      <c r="K17" s="325" t="inlineStr">
        <is>
          <t>N/A</t>
        </is>
      </c>
      <c r="L17" s="325" t="inlineStr">
        <is>
          <t>$1,155</t>
        </is>
      </c>
      <c r="M17" s="325" t="n">
        <v>1825</v>
      </c>
      <c r="N17" s="325" t="inlineStr">
        <is>
          <t>N/A</t>
        </is>
      </c>
      <c r="O17" s="325" t="inlineStr">
        <is>
          <t>N/A</t>
        </is>
      </c>
      <c r="P17" s="325" t="inlineStr">
        <is>
          <t>$1,580</t>
        </is>
      </c>
      <c r="Q17" s="325" t="n">
        <v>2025</v>
      </c>
      <c r="R17" s="325" t="n"/>
      <c r="S17" s="325" t="n"/>
      <c r="T17" s="325" t="n"/>
      <c r="U17" s="325" t="n"/>
      <c r="V17" s="325" t="n"/>
      <c r="W17" s="325" t="n"/>
      <c r="X17" s="325" t="n"/>
      <c r="Y17" s="325" t="n"/>
      <c r="Z17" s="316" t="inlineStr">
        <is>
          <t>BENCHMARK</t>
        </is>
      </c>
      <c r="AA17" s="328" t="inlineStr">
        <is>
          <t>HUD Fair Market Rent for Stockton, CA metro area, FY2026.</t>
        </is>
      </c>
      <c r="AB17" s="328" t="inlineStr">
        <is>
          <t>HUD FMR Database (huduser.gov)</t>
        </is>
      </c>
    </row>
    <row r="18" ht="34.5" customFormat="1" customHeight="1" s="273">
      <c r="A18" s="329" t="inlineStr">
        <is>
          <t>—</t>
        </is>
      </c>
      <c r="B18" s="326" t="inlineStr">
        <is>
          <t>BENCHMARK</t>
        </is>
      </c>
      <c r="C18" s="330" t="inlineStr">
        <is>
          <t>Quailwood Apartments</t>
        </is>
      </c>
      <c r="E18" s="329" t="inlineStr">
        <is>
          <t>4926 Grouse Run Dr</t>
        </is>
      </c>
      <c r="F18" s="329" t="inlineStr">
        <is>
          <t>Stockton</t>
        </is>
      </c>
      <c r="G18" s="329" t="inlineStr">
        <is>
          <t>CA</t>
        </is>
      </c>
      <c r="H18" s="329" t="inlineStr">
        <is>
          <t>95207</t>
        </is>
      </c>
      <c r="I18" s="329" t="n"/>
      <c r="J18" s="329" t="n"/>
      <c r="K18" s="329" t="n"/>
      <c r="L18" s="329" t="n"/>
      <c r="M18" s="398" t="n">
        <v>1712</v>
      </c>
      <c r="N18" s="329" t="n"/>
      <c r="O18" s="329" t="n"/>
      <c r="P18" s="329" t="n"/>
      <c r="Q18" s="398" t="n">
        <v>2053</v>
      </c>
      <c r="R18" s="329" t="n"/>
      <c r="S18" s="329" t="n"/>
      <c r="T18" s="329" t="n"/>
      <c r="U18" s="329" t="n"/>
      <c r="V18" s="329" t="n"/>
      <c r="W18" s="329" t="n"/>
      <c r="X18" s="329" t="n"/>
      <c r="Y18" s="329" t="n"/>
      <c r="Z18" s="316" t="inlineStr">
        <is>
          <t>BENCHMARK</t>
        </is>
      </c>
      <c r="AA18" s="332" t="inlineStr">
        <is>
          <t>Average of 4 market-rate comps. Apartments.com verified, Jun 2026.</t>
        </is>
      </c>
      <c r="AB18" s="332" t="inlineStr">
        <is>
          <t>Apartments.com + Market Estimate</t>
        </is>
      </c>
    </row>
    <row r="20" ht="14.25" customFormat="1" customHeight="1" s="273">
      <c r="A20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Format="1" customHeight="1" s="273">
      <c r="A22" s="334" t="inlineStr">
        <is>
          <t>CURRENT RENT vs. MARKET AVERAGE</t>
        </is>
      </c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15.75" customFormat="1" customHeight="1" s="273">
      <c r="A23" s="335" t="inlineStr">
        <is>
          <t>Market Average = Avg of Actual Advertised Rents from 4 Market-Rate Comps (Apartments.com verified)</t>
        </is>
      </c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15.75" customFormat="1" customHeight="1" s="273">
      <c r="A24" s="273" t="n"/>
      <c r="B24" s="336" t="inlineStr">
        <is>
          <t>Current Rents</t>
        </is>
      </c>
      <c r="C24" s="336" t="inlineStr">
        <is>
          <t>Market Avg</t>
        </is>
      </c>
      <c r="E24" s="336" t="inlineStr">
        <is>
          <t>Difference</t>
        </is>
      </c>
      <c r="F24" s="273" t="n"/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  <row r="25" ht="20.25" customFormat="1" customHeight="1" s="273">
      <c r="A25" s="337" t="inlineStr">
        <is>
          <t>1BD</t>
        </is>
      </c>
      <c r="B25" s="399">
        <f>'Current Rents'!D45</f>
        <v/>
      </c>
      <c r="C25" s="400" t="n">
        <v>1699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</row>
    <row r="26" ht="20.25" customFormat="1" customHeight="1" s="273">
      <c r="A26" s="337" t="inlineStr">
        <is>
          <t>2BD</t>
        </is>
      </c>
      <c r="B26" s="399">
        <f>'Current Rents'!E45</f>
        <v/>
      </c>
      <c r="C26" s="400" t="n">
        <v>1712</v>
      </c>
      <c r="D26" s="273" t="n"/>
      <c r="E26" s="401">
        <f>B26-C26</f>
        <v/>
      </c>
      <c r="F26" s="161">
        <f>IF(E26&lt;-75,"LOOK INTO INCREASING THE RENT!","")</f>
        <v/>
      </c>
      <c r="G26" s="273" t="n"/>
      <c r="H26" s="273" t="n"/>
      <c r="I26" s="273" t="n"/>
      <c r="J26" s="273" t="n"/>
      <c r="K26" s="273" t="n"/>
      <c r="L26" s="273" t="n"/>
      <c r="M26" s="273" t="n"/>
      <c r="N26" s="273" t="n"/>
      <c r="O26" s="273" t="n"/>
      <c r="P26" s="273" t="n"/>
      <c r="Q26" s="273" t="n"/>
      <c r="R26" s="273" t="n"/>
      <c r="S26" s="273" t="n"/>
      <c r="T26" s="273" t="n"/>
      <c r="U26" s="273" t="n"/>
      <c r="V26" s="273" t="n"/>
      <c r="W26" s="273" t="n"/>
      <c r="X26" s="273" t="n"/>
      <c r="Y26" s="273" t="n"/>
      <c r="Z26" s="273" t="n"/>
      <c r="AA26" s="273" t="n"/>
      <c r="AB26" s="273" t="n"/>
    </row>
    <row r="27">
      <c r="C27" t="n">
        <v>2053</v>
      </c>
    </row>
  </sheetData>
  <mergeCells count="18">
    <mergeCell ref="C12:D12"/>
    <mergeCell ref="D13:D16"/>
    <mergeCell ref="C24:D24"/>
    <mergeCell ref="C7:D7"/>
    <mergeCell ref="C10:D10"/>
    <mergeCell ref="C11:D11"/>
    <mergeCell ref="A5:AB5"/>
    <mergeCell ref="C9:D9"/>
    <mergeCell ref="A4:AB4"/>
    <mergeCell ref="C18:D18"/>
    <mergeCell ref="A23:H23"/>
    <mergeCell ref="A6:AB6"/>
    <mergeCell ref="C17:D17"/>
    <mergeCell ref="A3:Y3"/>
    <mergeCell ref="Z3:AB3"/>
    <mergeCell ref="C8:D8"/>
    <mergeCell ref="A22:H22"/>
    <mergeCell ref="A20:AB20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8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COLUMBIA VILLAGE  |  SONORA, CA 95370</t>
        </is>
      </c>
      <c r="AH3" s="296" t="inlineStr">
        <is>
          <t>25 - Columbia  |  ? Units  |  Section 8 / HUD  |  2BD &amp; 3BD</t>
        </is>
      </c>
    </row>
    <row r="4" ht="18" customFormat="1" customHeight="1" s="273">
      <c r="A4" s="297" t="inlineStr">
        <is>
          <t>11299 Columbia Village Dr, Sonora, CA 95370  |  FY2026 FMR: 1BD $1,096 / 2BD $1,500 / 3BD $1,970 / 4BD 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Columbia Village (SUBJECT)</t>
        </is>
      </c>
      <c r="E8" s="304" t="inlineStr">
        <is>
          <t>11299 Columbia Village Dr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Rents'!D46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Rents'!E46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Rents'!F46</f>
        <v/>
      </c>
      <c r="V8" s="305" t="inlineStr">
        <is>
          <t>80</t>
        </is>
      </c>
      <c r="W8" s="305" t="inlineStr">
        <is>
          <t>2000</t>
        </is>
      </c>
      <c r="X8" s="305" t="inlineStr">
        <is>
          <t>0</t>
        </is>
      </c>
      <c r="Y8" s="396">
        <f>'Current Rents'!G46</f>
        <v/>
      </c>
      <c r="Z8" s="305" t="inlineStr">
        <is>
          <t>No</t>
        </is>
      </c>
      <c r="AA8" s="305" t="inlineStr">
        <is>
          <t>No</t>
        </is>
      </c>
      <c r="AB8" s="305" t="n">
        <v>0</v>
      </c>
      <c r="AC8" s="305" t="inlineStr">
        <is>
          <t>No</t>
        </is>
      </c>
      <c r="AD8" s="305" t="inlineStr">
        <is>
          <t>SUBJECT</t>
        </is>
      </c>
      <c r="AE8" s="305" t="inlineStr">
        <is>
          <t>80 units | LIHTC property. Year built: 2000. Subject property for market context.</t>
        </is>
      </c>
      <c r="AF8" s="305" t="inlineStr">
        <is>
          <t>Apartment Corp Records</t>
        </is>
      </c>
      <c r="AG8" s="305" t="n"/>
      <c r="AH8" s="303" t="inlineStr">
        <is>
          <t>SUBJECT</t>
        </is>
      </c>
      <c r="AI8" s="307" t="n"/>
      <c r="AJ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Oak Hills Apts</t>
        </is>
      </c>
      <c r="E9" s="311" t="inlineStr">
        <is>
          <t>10260 Preston Ln</t>
        </is>
      </c>
      <c r="F9" s="308" t="inlineStr">
        <is>
          <t>Jamestown</t>
        </is>
      </c>
      <c r="G9" s="308" t="inlineStr">
        <is>
          <t>CA</t>
        </is>
      </c>
      <c r="H9" s="308" t="inlineStr">
        <is>
          <t>95327</t>
        </is>
      </c>
      <c r="I9" s="308" t="inlineStr">
        <is>
          <t>3.1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08" t="inlineStr">
        <is>
          <t>HIGH</t>
        </is>
      </c>
      <c r="AE9" s="308" t="inlineStr">
        <is>
          <t>Affordable Comp #1: LIHTC property, 1998 vintage (2 yr diff), 80 units, 3.1 mi from subject. Same income-eligible renter pool.</t>
        </is>
      </c>
      <c r="AF9" s="308" t="inlineStr">
        <is>
          <t>HUD LIHTC Database (huduser.gov)</t>
        </is>
      </c>
      <c r="AG9" s="308" t="n"/>
      <c r="AH9" s="312" t="n"/>
      <c r="AI9" s="313" t="n"/>
      <c r="AJ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2.8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60</t>
        </is>
      </c>
      <c r="W10" s="308" t="inlineStr">
        <is>
          <t>1999</t>
        </is>
      </c>
      <c r="X10" s="308" t="inlineStr">
        <is>
          <t>1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08" t="inlineStr">
        <is>
          <t>HIGH</t>
        </is>
      </c>
      <c r="AE10" s="308" t="inlineStr">
        <is>
          <t>Affordable Comp #2: LIHTC property, 1999 vintage (1 yr diff), 60 units, 2.8 mi from subject. Same income-eligible renter pool.</t>
        </is>
      </c>
      <c r="AF10" s="308" t="inlineStr">
        <is>
          <t>HUD LIHTC Database (huduser.gov)</t>
        </is>
      </c>
      <c r="AG10" s="308" t="n"/>
      <c r="AH10" s="312" t="n"/>
      <c r="AI10" s="313" t="n"/>
      <c r="AJ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51.0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$929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$1,537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80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08" t="inlineStr">
        <is>
          <t>MODERATE</t>
        </is>
      </c>
      <c r="AE11" s="308" t="inlineStr">
        <is>
          <t>Affordable Comp #3: LIHTC property, 2000 vintage (0 yr diff), 80 units, 51.0 mi from subject. Same income-eligible renter pool.</t>
        </is>
      </c>
      <c r="AF11" s="308" t="inlineStr">
        <is>
          <t>HUD LIHTC Database (huduser.gov)</t>
        </is>
      </c>
      <c r="AG11" s="308" t="n"/>
      <c r="AH11" s="312" t="n"/>
      <c r="AI11" s="313" t="n"/>
      <c r="AJ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50.6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80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08" t="inlineStr">
        <is>
          <t>MODERATE</t>
        </is>
      </c>
      <c r="AE12" s="308" t="inlineStr">
        <is>
          <t>Affordable Comp #4: LIHTC property, 2000 vintage (0 yr diff), 80 units, 50.6 mi from subject. Same income-eligible renter pool.</t>
        </is>
      </c>
      <c r="AF12" s="308" t="inlineStr">
        <is>
          <t>HUD LIHTC Database (huduser.gov)</t>
        </is>
      </c>
      <c r="AG12" s="308" t="n"/>
      <c r="AH12" s="312" t="n"/>
      <c r="AI12" s="313" t="n"/>
      <c r="AJ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inlineStr">
        <is>
          <t>95370</t>
        </is>
      </c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1420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inlineStr">
        <is>
          <t>Phone Verify</t>
        </is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inlineStr">
        <is>
          <t>Phone Verify</t>
        </is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2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0" t="inlineStr">
        <is>
          <t>HIGH</t>
        </is>
      </c>
      <c r="AE13" s="320" t="inlineStr">
        <is>
          <t>Market Rate Comp #1: No income restrictions, 2000 vintage (0 yr diff), N/A units, N/A from subject. Shows market-rate rents vs. affordable housing discount.</t>
        </is>
      </c>
      <c r="AF13" s="320" t="inlineStr">
        <is>
          <t>HUD FY2026 FMR - Tuolumne County, CA (limited market rate listings in Sonora)</t>
        </is>
      </c>
      <c r="AG13" s="320" t="n"/>
      <c r="AH13" s="323" t="n"/>
      <c r="AI13" s="324" t="n"/>
      <c r="AJ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249 S Shepherd St (Apt)</t>
        </is>
      </c>
      <c r="E14" s="325" t="inlineStr">
        <is>
          <t>249 S Shepherd St</t>
        </is>
      </c>
      <c r="F14" s="325" t="inlineStr">
        <is>
          <t>Sonora</t>
        </is>
      </c>
      <c r="G14" s="325" t="inlineStr">
        <is>
          <t>CA</t>
        </is>
      </c>
      <c r="H14" s="325" t="inlineStr">
        <is>
          <t>95370</t>
        </is>
      </c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inlineStr">
        <is>
          <t>Phone Verify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n">
        <v>2300</v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Phone Verify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0</t>
        </is>
      </c>
      <c r="Y14" s="325" t="inlineStr">
        <is>
          <t>0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Sonora, CA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11240 CA-49 Unit A (Apt)</t>
        </is>
      </c>
      <c r="E15" s="329" t="inlineStr">
        <is>
          <t>11240 CA-49</t>
        </is>
      </c>
      <c r="F15" s="329" t="inlineStr">
        <is>
          <t>Sonora</t>
        </is>
      </c>
      <c r="G15" s="329" t="inlineStr">
        <is>
          <t>CA</t>
        </is>
      </c>
      <c r="H15" s="329" t="inlineStr">
        <is>
          <t>95370</t>
        </is>
      </c>
      <c r="I15" s="329" t="n"/>
      <c r="J15" s="329" t="n"/>
      <c r="K15" s="329" t="n"/>
      <c r="L15" s="329" t="n"/>
      <c r="M15" s="398" t="inlineStr">
        <is>
          <t>Phone Verify</t>
        </is>
      </c>
      <c r="N15" s="329" t="n"/>
      <c r="O15" s="329" t="n"/>
      <c r="P15" s="329" t="n"/>
      <c r="Q15" s="398" t="n">
        <v>2100</v>
      </c>
      <c r="R15" s="329" t="n"/>
      <c r="S15" s="329" t="n"/>
      <c r="T15" s="329" t="n"/>
      <c r="U15" s="398" t="inlineStr">
        <is>
          <t>Phone Verify</t>
        </is>
      </c>
      <c r="V15" s="329" t="n"/>
      <c r="W15" s="329" t="n"/>
      <c r="X15" s="329" t="n"/>
      <c r="Y15" s="398" t="n"/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6">
      <c r="C16" t="inlineStr">
        <is>
          <t>951 Shaws Flat Rd (House)</t>
        </is>
      </c>
      <c r="E16" t="inlineStr">
        <is>
          <t>951 Shaws Flat Rd</t>
        </is>
      </c>
      <c r="F16" t="inlineStr">
        <is>
          <t>Sonora</t>
        </is>
      </c>
      <c r="G16" t="inlineStr">
        <is>
          <t>CA</t>
        </is>
      </c>
      <c r="H16" t="inlineStr">
        <is>
          <t>95370</t>
        </is>
      </c>
      <c r="M16" t="inlineStr">
        <is>
          <t>Phone Verify</t>
        </is>
      </c>
      <c r="Q16" t="inlineStr">
        <is>
          <t>Phone Verify</t>
        </is>
      </c>
      <c r="U16" t="n">
        <v>2195</v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>
      <c r="C18" t="inlineStr">
        <is>
          <t>121 Pepperwood Ln (House)</t>
        </is>
      </c>
      <c r="E18" t="inlineStr">
        <is>
          <t>121 Pepperwood Ln</t>
        </is>
      </c>
      <c r="F18" t="inlineStr">
        <is>
          <t>Sonora</t>
        </is>
      </c>
      <c r="G18" t="inlineStr">
        <is>
          <t>CA</t>
        </is>
      </c>
      <c r="H18" t="inlineStr">
        <is>
          <t>95370</t>
        </is>
      </c>
      <c r="M18" t="n">
        <v>1818</v>
      </c>
      <c r="Q18" t="n">
        <v>2200</v>
      </c>
      <c r="U18" t="n">
        <v>2195</v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Rents'!D46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Rents'!E46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Rents'!F46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Rents'!G46</f>
        <v/>
      </c>
      <c r="C25" s="400" t="n">
        <v>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  <row r="26">
      <c r="C26" t="n">
        <v>1818</v>
      </c>
    </row>
    <row r="27">
      <c r="C27" t="n">
        <v>2200</v>
      </c>
    </row>
    <row r="28">
      <c r="C28" t="n">
        <v>2195</v>
      </c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6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width="9.421875" customWidth="1" style="273" min="22" max="22"/>
    <col width="13.00390625" customWidth="1" style="273" min="23" max="29"/>
    <col width="24.57421875" customWidth="1" style="273" min="30" max="30"/>
    <col width="55.7109375" customWidth="1" style="273" min="31" max="31"/>
    <col width="13.00390625" customWidth="1" style="273" min="32" max="32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</row>
    <row r="3" ht="36" customFormat="1" customHeight="1" s="273">
      <c r="A3" s="295" t="inlineStr">
        <is>
          <t>RENT COMPARABLES ANALYSIS  —  FOREST VIEW SENIOR  |  SONORA, CA 95370</t>
        </is>
      </c>
      <c r="AD3" s="296" t="inlineStr">
        <is>
          <t>26 - Forest View  |  ? Units  |  Section 8 / HUD  |  2BD &amp; 3BD</t>
        </is>
      </c>
    </row>
    <row r="4" ht="18" customFormat="1" customHeight="1" s="273">
      <c r="A4" s="297" t="inlineStr">
        <is>
          <t>19499 Hess Ave, Sonora, CA 95370  |  FY2026 FMR: 1BD $1,096 /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Units</t>
        </is>
      </c>
      <c r="W7" s="300" t="inlineStr">
        <is>
          <t>Yr Built</t>
        </is>
      </c>
      <c r="X7" s="300" t="inlineStr">
        <is>
          <t>Yr Diff</t>
        </is>
      </c>
      <c r="Y7" s="300" t="inlineStr">
        <is>
          <t>Utils
Incl.</t>
        </is>
      </c>
      <c r="Z7" s="300" t="inlineStr">
        <is>
          <t>Pet
Friendly</t>
        </is>
      </c>
      <c r="AA7" s="300" t="inlineStr">
        <is>
          <t>Gated</t>
        </is>
      </c>
      <c r="AB7" s="300" t="inlineStr">
        <is>
          <t>Pool</t>
        </is>
      </c>
      <c r="AC7" s="300" t="inlineStr">
        <is>
          <t>W/D
In-Unit</t>
        </is>
      </c>
      <c r="AD7" s="301" t="inlineStr">
        <is>
          <t>Competition Level</t>
        </is>
      </c>
      <c r="AE7" s="300" t="inlineStr">
        <is>
          <t>Notes / Why Competitive</t>
        </is>
      </c>
      <c r="AF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Forest View Senior (SUBJECT)</t>
        </is>
      </c>
      <c r="E8" s="304" t="inlineStr">
        <is>
          <t>19499 Hess Ave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$3,176</t>
        </is>
      </c>
      <c r="K8" s="305" t="inlineStr">
        <is>
          <t>$3,812</t>
        </is>
      </c>
      <c r="L8" s="305" t="inlineStr">
        <is>
          <t>$1,096</t>
        </is>
      </c>
      <c r="M8" s="396">
        <f>'Current Rents'!D47</f>
        <v/>
      </c>
      <c r="N8" s="305" t="inlineStr">
        <is>
          <t>$3,812</t>
        </is>
      </c>
      <c r="O8" s="305" t="inlineStr">
        <is>
          <t>$4,575</t>
        </is>
      </c>
      <c r="P8" s="305" t="inlineStr">
        <is>
          <t>$1,500</t>
        </is>
      </c>
      <c r="Q8" s="396">
        <f>'Current Rents'!E47</f>
        <v/>
      </c>
      <c r="R8" s="305" t="inlineStr">
        <is>
          <t>$4,233</t>
        </is>
      </c>
      <c r="S8" s="305" t="inlineStr">
        <is>
          <t>$5,080</t>
        </is>
      </c>
      <c r="T8" s="305" t="inlineStr">
        <is>
          <t>$1,970</t>
        </is>
      </c>
      <c r="U8" s="396">
        <f>'Current Rents'!F47</f>
        <v/>
      </c>
      <c r="V8" s="305" t="inlineStr">
        <is>
          <t>60</t>
        </is>
      </c>
      <c r="W8" s="305" t="inlineStr">
        <is>
          <t>2000</t>
        </is>
      </c>
      <c r="X8" s="305" t="n">
        <v>0</v>
      </c>
      <c r="Y8" s="305" t="inlineStr">
        <is>
          <t>No</t>
        </is>
      </c>
      <c r="Z8" s="305" t="inlineStr">
        <is>
          <t>No</t>
        </is>
      </c>
      <c r="AA8" s="305" t="inlineStr">
        <is>
          <t>No</t>
        </is>
      </c>
      <c r="AB8" s="305" t="inlineStr">
        <is>
          <t>No</t>
        </is>
      </c>
      <c r="AC8" s="305" t="inlineStr">
        <is>
          <t>No</t>
        </is>
      </c>
      <c r="AD8" s="303" t="inlineStr">
        <is>
          <t>SUBJECT</t>
        </is>
      </c>
      <c r="AE8" s="307" t="n"/>
      <c r="AF8" s="304" t="n"/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$3,176</t>
        </is>
      </c>
      <c r="K9" s="308" t="inlineStr">
        <is>
          <t>$3,812</t>
        </is>
      </c>
      <c r="L9" s="308" t="inlineStr">
        <is>
          <t>$1,096</t>
        </is>
      </c>
      <c r="M9" s="308" t="inlineStr">
        <is>
          <t>Not Listed</t>
        </is>
      </c>
      <c r="N9" s="308" t="inlineStr">
        <is>
          <t>$3,812</t>
        </is>
      </c>
      <c r="O9" s="308" t="inlineStr">
        <is>
          <t>$4,575</t>
        </is>
      </c>
      <c r="P9" s="308" t="inlineStr">
        <is>
          <t>$1,500</t>
        </is>
      </c>
      <c r="Q9" s="308" t="inlineStr">
        <is>
          <t>Not Listed</t>
        </is>
      </c>
      <c r="R9" s="308" t="inlineStr">
        <is>
          <t>$4,233</t>
        </is>
      </c>
      <c r="S9" s="308" t="inlineStr">
        <is>
          <t>$5,080</t>
        </is>
      </c>
      <c r="T9" s="308" t="inlineStr">
        <is>
          <t>$1,970</t>
        </is>
      </c>
      <c r="U9" s="308" t="inlineStr">
        <is>
          <t>Not Listed</t>
        </is>
      </c>
      <c r="V9" s="308" t="inlineStr">
        <is>
          <t>80</t>
        </is>
      </c>
      <c r="W9" s="308" t="inlineStr">
        <is>
          <t>1998</t>
        </is>
      </c>
      <c r="X9" s="308" t="inlineStr">
        <is>
          <t>2</t>
        </is>
      </c>
      <c r="Y9" s="308" t="inlineStr">
        <is>
          <t>Yes</t>
        </is>
      </c>
      <c r="Z9" s="308" t="inlineStr">
        <is>
          <t>No</t>
        </is>
      </c>
      <c r="AA9" s="308" t="inlineStr">
        <is>
          <t>No</t>
        </is>
      </c>
      <c r="AB9" s="308" t="inlineStr">
        <is>
          <t>No</t>
        </is>
      </c>
      <c r="AC9" s="308" t="inlineStr">
        <is>
          <t>No</t>
        </is>
      </c>
      <c r="AD9" s="312" t="n"/>
      <c r="AE9" s="313" t="n"/>
      <c r="AF9" s="311" t="n"/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$3,176</t>
        </is>
      </c>
      <c r="K10" s="308" t="inlineStr">
        <is>
          <t>$3,812</t>
        </is>
      </c>
      <c r="L10" s="308" t="inlineStr">
        <is>
          <t>$1,096</t>
        </is>
      </c>
      <c r="M10" s="308" t="inlineStr">
        <is>
          <t>Not Listed</t>
        </is>
      </c>
      <c r="N10" s="308" t="inlineStr">
        <is>
          <t>$3,812</t>
        </is>
      </c>
      <c r="O10" s="308" t="inlineStr">
        <is>
          <t>$4,575</t>
        </is>
      </c>
      <c r="P10" s="308" t="inlineStr">
        <is>
          <t>$1,500</t>
        </is>
      </c>
      <c r="Q10" s="308" t="inlineStr">
        <is>
          <t>Not Listed</t>
        </is>
      </c>
      <c r="R10" s="308" t="inlineStr">
        <is>
          <t>$4,233</t>
        </is>
      </c>
      <c r="S10" s="308" t="inlineStr">
        <is>
          <t>$5,080</t>
        </is>
      </c>
      <c r="T10" s="308" t="inlineStr">
        <is>
          <t>$1,970</t>
        </is>
      </c>
      <c r="U10" s="308" t="inlineStr">
        <is>
          <t>Not Listed</t>
        </is>
      </c>
      <c r="V10" s="308" t="inlineStr">
        <is>
          <t>80</t>
        </is>
      </c>
      <c r="W10" s="308" t="inlineStr">
        <is>
          <t>1998</t>
        </is>
      </c>
      <c r="X10" s="308" t="inlineStr">
        <is>
          <t>2</t>
        </is>
      </c>
      <c r="Y10" s="308" t="inlineStr">
        <is>
          <t>Yes</t>
        </is>
      </c>
      <c r="Z10" s="308" t="inlineStr">
        <is>
          <t>No</t>
        </is>
      </c>
      <c r="AA10" s="308" t="inlineStr">
        <is>
          <t>No</t>
        </is>
      </c>
      <c r="AB10" s="308" t="inlineStr">
        <is>
          <t>No</t>
        </is>
      </c>
      <c r="AC10" s="308" t="inlineStr">
        <is>
          <t>No</t>
        </is>
      </c>
      <c r="AD10" s="312" t="n"/>
      <c r="AE10" s="313" t="n"/>
      <c r="AF10" s="311" t="n"/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Diamond Cove Townhomes</t>
        </is>
      </c>
      <c r="E11" s="311" t="inlineStr">
        <is>
          <t>5343 Carrington Cir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95210</t>
        </is>
      </c>
      <c r="I11" s="308" t="inlineStr">
        <is>
          <t>49.7 mi</t>
        </is>
      </c>
      <c r="J11" s="308" t="inlineStr">
        <is>
          <t>$3,176</t>
        </is>
      </c>
      <c r="K11" s="308" t="inlineStr">
        <is>
          <t>$3,812</t>
        </is>
      </c>
      <c r="L11" s="308" t="inlineStr">
        <is>
          <t>$1,096</t>
        </is>
      </c>
      <c r="M11" s="308" t="inlineStr">
        <is>
          <t>Not Listed</t>
        </is>
      </c>
      <c r="N11" s="308" t="inlineStr">
        <is>
          <t>$3,812</t>
        </is>
      </c>
      <c r="O11" s="308" t="inlineStr">
        <is>
          <t>$4,575</t>
        </is>
      </c>
      <c r="P11" s="308" t="inlineStr">
        <is>
          <t>$1,500</t>
        </is>
      </c>
      <c r="Q11" s="308" t="inlineStr">
        <is>
          <t>Not Listed</t>
        </is>
      </c>
      <c r="R11" s="308" t="inlineStr">
        <is>
          <t>$4,233</t>
        </is>
      </c>
      <c r="S11" s="308" t="inlineStr">
        <is>
          <t>$5,080</t>
        </is>
      </c>
      <c r="T11" s="308" t="inlineStr">
        <is>
          <t>$1,970</t>
        </is>
      </c>
      <c r="U11" s="308" t="inlineStr">
        <is>
          <t>Not Listed</t>
        </is>
      </c>
      <c r="V11" s="308" t="inlineStr">
        <is>
          <t>59</t>
        </is>
      </c>
      <c r="W11" s="308" t="inlineStr">
        <is>
          <t>2000</t>
        </is>
      </c>
      <c r="X11" s="308" t="inlineStr">
        <is>
          <t>0</t>
        </is>
      </c>
      <c r="Y11" s="308" t="inlineStr">
        <is>
          <t>Yes</t>
        </is>
      </c>
      <c r="Z11" s="308" t="inlineStr">
        <is>
          <t>No</t>
        </is>
      </c>
      <c r="AA11" s="308" t="inlineStr">
        <is>
          <t>No</t>
        </is>
      </c>
      <c r="AB11" s="308" t="inlineStr">
        <is>
          <t>No</t>
        </is>
      </c>
      <c r="AC11" s="308" t="inlineStr">
        <is>
          <t>No</t>
        </is>
      </c>
      <c r="AD11" s="312" t="n"/>
      <c r="AE11" s="313" t="n"/>
      <c r="AF11" s="311" t="n"/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Casa Del Sol</t>
        </is>
      </c>
      <c r="E12" s="311" t="inlineStr">
        <is>
          <t>9370 Bigler Dr</t>
        </is>
      </c>
      <c r="F12" s="308" t="inlineStr">
        <is>
          <t>Planada</t>
        </is>
      </c>
      <c r="G12" s="308" t="inlineStr">
        <is>
          <t>CA</t>
        </is>
      </c>
      <c r="H12" s="308" t="inlineStr">
        <is>
          <t>95365</t>
        </is>
      </c>
      <c r="I12" s="308" t="inlineStr">
        <is>
          <t>47.8 mi</t>
        </is>
      </c>
      <c r="J12" s="308" t="inlineStr">
        <is>
          <t>$3,176</t>
        </is>
      </c>
      <c r="K12" s="308" t="inlineStr">
        <is>
          <t>$3,812</t>
        </is>
      </c>
      <c r="L12" s="308" t="inlineStr">
        <is>
          <t>$1,096</t>
        </is>
      </c>
      <c r="M12" s="308" t="inlineStr">
        <is>
          <t>Not Listed</t>
        </is>
      </c>
      <c r="N12" s="308" t="inlineStr">
        <is>
          <t>$3,812</t>
        </is>
      </c>
      <c r="O12" s="308" t="inlineStr">
        <is>
          <t>$4,575</t>
        </is>
      </c>
      <c r="P12" s="308" t="inlineStr">
        <is>
          <t>$1,500</t>
        </is>
      </c>
      <c r="Q12" s="308" t="inlineStr">
        <is>
          <t>Not Listed</t>
        </is>
      </c>
      <c r="R12" s="308" t="inlineStr">
        <is>
          <t>$4,233</t>
        </is>
      </c>
      <c r="S12" s="308" t="inlineStr">
        <is>
          <t>$5,080</t>
        </is>
      </c>
      <c r="T12" s="308" t="inlineStr">
        <is>
          <t>$1,970</t>
        </is>
      </c>
      <c r="U12" s="308" t="inlineStr">
        <is>
          <t>Not Listed</t>
        </is>
      </c>
      <c r="V12" s="308" t="inlineStr">
        <is>
          <t>54</t>
        </is>
      </c>
      <c r="W12" s="308" t="inlineStr">
        <is>
          <t>2000</t>
        </is>
      </c>
      <c r="X12" s="308" t="inlineStr">
        <is>
          <t>0</t>
        </is>
      </c>
      <c r="Y12" s="308" t="inlineStr">
        <is>
          <t>Yes</t>
        </is>
      </c>
      <c r="Z12" s="308" t="inlineStr">
        <is>
          <t>No</t>
        </is>
      </c>
      <c r="AA12" s="308" t="inlineStr">
        <is>
          <t>No</t>
        </is>
      </c>
      <c r="AB12" s="308" t="inlineStr">
        <is>
          <t>No</t>
        </is>
      </c>
      <c r="AC12" s="308" t="inlineStr">
        <is>
          <t>No</t>
        </is>
      </c>
      <c r="AD12" s="312" t="n"/>
      <c r="AE12" s="313" t="n"/>
      <c r="AF12" s="311" t="n"/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inlineStr">
        <is>
          <t>95370</t>
        </is>
      </c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$1,096</t>
        </is>
      </c>
      <c r="M13" s="397" t="n">
        <v>1365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$1,500</t>
        </is>
      </c>
      <c r="Q13" s="397" t="n">
        <v>1420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$1,970</t>
        </is>
      </c>
      <c r="U13" s="397" t="n">
        <v>2050</v>
      </c>
      <c r="V13" s="320" t="inlineStr">
        <is>
          <t>N/A</t>
        </is>
      </c>
      <c r="W13" s="320" t="inlineStr">
        <is>
          <t>2000</t>
        </is>
      </c>
      <c r="X13" s="320" t="inlineStr">
        <is>
          <t>0</t>
        </is>
      </c>
      <c r="Y13" s="320" t="inlineStr">
        <is>
          <t>Varies</t>
        </is>
      </c>
      <c r="Z13" s="320" t="inlineStr">
        <is>
          <t>Varies</t>
        </is>
      </c>
      <c r="AA13" s="320" t="inlineStr">
        <is>
          <t>Varies</t>
        </is>
      </c>
      <c r="AB13" s="320" t="inlineStr">
        <is>
          <t>Varies</t>
        </is>
      </c>
      <c r="AC13" s="320" t="inlineStr">
        <is>
          <t>Varies</t>
        </is>
      </c>
      <c r="AD13" s="323" t="n"/>
      <c r="AE13" s="324" t="n"/>
      <c r="AF13" s="319" t="n"/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249 S Shepherd St (Apt)</t>
        </is>
      </c>
      <c r="E14" s="325" t="inlineStr">
        <is>
          <t>249 S Shepherd St</t>
        </is>
      </c>
      <c r="F14" s="325" t="inlineStr">
        <is>
          <t>Sonora</t>
        </is>
      </c>
      <c r="G14" s="325" t="inlineStr">
        <is>
          <t>CA</t>
        </is>
      </c>
      <c r="H14" s="325" t="inlineStr">
        <is>
          <t>95370</t>
        </is>
      </c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$1,096</t>
        </is>
      </c>
      <c r="M14" s="325" t="n">
        <v>1350</v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$1,500</t>
        </is>
      </c>
      <c r="Q14" s="325" t="inlineStr">
        <is>
          <t>$1,500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$1,970</t>
        </is>
      </c>
      <c r="U14" s="325" t="inlineStr">
        <is>
          <t>$1,970</t>
        </is>
      </c>
      <c r="V14" s="325" t="n"/>
      <c r="W14" s="325" t="n"/>
      <c r="X14" s="325" t="n"/>
      <c r="Y14" s="325" t="n"/>
      <c r="Z14" s="325" t="n"/>
      <c r="AA14" s="325" t="n"/>
      <c r="AB14" s="325" t="n"/>
      <c r="AC14" s="325" t="n"/>
      <c r="AD14" s="316" t="inlineStr">
        <is>
          <t>BENCHMARK</t>
        </is>
      </c>
      <c r="AE14" s="328" t="inlineStr">
        <is>
          <t>HUD Fair Market Rent for Sonora, CA metro area, FY2026.</t>
        </is>
      </c>
      <c r="AF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628 Olive St Unit 1 (Apt)</t>
        </is>
      </c>
      <c r="E15" s="329" t="inlineStr">
        <is>
          <t>628 Olive St</t>
        </is>
      </c>
      <c r="F15" s="329" t="inlineStr">
        <is>
          <t>Sonora</t>
        </is>
      </c>
      <c r="G15" s="329" t="inlineStr">
        <is>
          <t>CA</t>
        </is>
      </c>
      <c r="H15" s="329" t="inlineStr">
        <is>
          <t>95370</t>
        </is>
      </c>
      <c r="I15" s="329" t="n"/>
      <c r="J15" s="329" t="n"/>
      <c r="K15" s="329" t="n"/>
      <c r="L15" s="329" t="n"/>
      <c r="M15" s="398" t="n">
        <v>1150</v>
      </c>
      <c r="N15" s="329" t="n"/>
      <c r="O15" s="329" t="n"/>
      <c r="P15" s="329" t="n"/>
      <c r="Q15" s="398" t="n">
        <v>1420</v>
      </c>
      <c r="R15" s="329" t="n"/>
      <c r="S15" s="329" t="n"/>
      <c r="T15" s="329" t="n"/>
      <c r="U15" s="398" t="n">
        <v>2050</v>
      </c>
      <c r="V15" s="329" t="n"/>
      <c r="W15" s="329" t="n"/>
      <c r="X15" s="329" t="n"/>
      <c r="Y15" s="329" t="n"/>
      <c r="Z15" s="329" t="n"/>
      <c r="AA15" s="329" t="n"/>
      <c r="AB15" s="329" t="n"/>
      <c r="AC15" s="329" t="n"/>
      <c r="AD15" s="316" t="inlineStr">
        <is>
          <t>BENCHMARK</t>
        </is>
      </c>
      <c r="AE15" s="332" t="inlineStr">
        <is>
          <t>Average of 1 market-rate comps. Apartments.com verified, Jun 2026.</t>
        </is>
      </c>
      <c r="AF15" s="332" t="inlineStr">
        <is>
          <t>Apartments.com + Market Estimate</t>
        </is>
      </c>
    </row>
    <row r="16">
      <c r="C16" t="inlineStr">
        <is>
          <t>20326 S Sunshine Rd (House)</t>
        </is>
      </c>
      <c r="E16" t="inlineStr">
        <is>
          <t>20326 S Sunshine Rd</t>
        </is>
      </c>
      <c r="F16" t="inlineStr">
        <is>
          <t>Sonora</t>
        </is>
      </c>
      <c r="G16" t="inlineStr">
        <is>
          <t>CA</t>
        </is>
      </c>
      <c r="H16" t="inlineStr">
        <is>
          <t>95370</t>
        </is>
      </c>
      <c r="M16" t="n">
        <v>1600</v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>
      <c r="M18" t="n">
        <v>1366</v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</row>
    <row r="22" ht="20.25" customFormat="1" customHeight="1" s="273">
      <c r="A22" s="337" t="inlineStr">
        <is>
          <t>1BD</t>
        </is>
      </c>
      <c r="B22" s="399">
        <f>'Current Rents'!D47</f>
        <v/>
      </c>
      <c r="C22" s="400" t="n">
        <v>1365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</row>
    <row r="23" ht="20.25" customFormat="1" customHeight="1" s="273">
      <c r="A23" s="337" t="inlineStr">
        <is>
          <t>2BD</t>
        </is>
      </c>
      <c r="B23" s="399">
        <f>'Current Rents'!E47</f>
        <v/>
      </c>
      <c r="C23" s="400" t="n">
        <v>1420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</row>
    <row r="24" ht="20.25" customFormat="1" customHeight="1" s="273">
      <c r="A24" s="337" t="inlineStr">
        <is>
          <t>3BD</t>
        </is>
      </c>
      <c r="B24" s="399">
        <f>'Current Rents'!F47</f>
        <v/>
      </c>
      <c r="C24" s="400" t="n">
        <v>2050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</row>
    <row r="26">
      <c r="C26" t="n">
        <v>1366</v>
      </c>
    </row>
  </sheetData>
  <mergeCells count="18">
    <mergeCell ref="C12:D12"/>
    <mergeCell ref="C21:D21"/>
    <mergeCell ref="C10:D10"/>
    <mergeCell ref="C7:D7"/>
    <mergeCell ref="A5:AF5"/>
    <mergeCell ref="A20:H20"/>
    <mergeCell ref="C15:D15"/>
    <mergeCell ref="C11:D11"/>
    <mergeCell ref="A6:AF6"/>
    <mergeCell ref="A3:AC3"/>
    <mergeCell ref="C14:D14"/>
    <mergeCell ref="AD3:AF3"/>
    <mergeCell ref="A17:AF17"/>
    <mergeCell ref="A4:AF4"/>
    <mergeCell ref="A19:H19"/>
    <mergeCell ref="C9:D9"/>
    <mergeCell ref="D1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3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OAK HILLS  |  JAMESTOWN, CA 95327</t>
        </is>
      </c>
      <c r="Z3" s="296" t="inlineStr">
        <is>
          <t>24 - Oak Hills  |  ? Units  |  Section 8 / HUD  |  2BD &amp; 3BD</t>
        </is>
      </c>
    </row>
    <row r="4" ht="18" customFormat="1" customHeight="1" s="273">
      <c r="A4" s="297" t="inlineStr">
        <is>
          <t>10260 Preston Lane, Jamestown, CA 95327  |  FY2026 FMR: 2BD $1,500 / 3BD $1,970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Oak Hills (SUBJECT)</t>
        </is>
      </c>
      <c r="E8" s="304" t="inlineStr">
        <is>
          <t>10260 Preston Lane</t>
        </is>
      </c>
      <c r="F8" s="305" t="inlineStr">
        <is>
          <t>Jamestown</t>
        </is>
      </c>
      <c r="G8" s="305" t="inlineStr">
        <is>
          <t>CA</t>
        </is>
      </c>
      <c r="H8" s="305" t="inlineStr">
        <is>
          <t>95327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Rents'!E48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Rents'!F48</f>
        <v/>
      </c>
      <c r="R8" s="305" t="inlineStr">
        <is>
          <t>80</t>
        </is>
      </c>
      <c r="S8" s="305" t="inlineStr">
        <is>
          <t>2000</t>
        </is>
      </c>
      <c r="T8" s="305" t="n">
        <v>0</v>
      </c>
      <c r="U8" s="305" t="inlineStr">
        <is>
          <t>No</t>
        </is>
      </c>
      <c r="V8" s="305" t="inlineStr">
        <is>
          <t>No</t>
        </is>
      </c>
      <c r="W8" s="305" t="inlineStr">
        <is>
          <t>No</t>
        </is>
      </c>
      <c r="X8" s="305" t="inlineStr">
        <is>
          <t>No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80 units | LIHTC property. Year built: 2000. Subject property for market context.</t>
        </is>
      </c>
      <c r="AB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4.7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80</t>
        </is>
      </c>
      <c r="S9" s="308" t="inlineStr">
        <is>
          <t>1998</t>
        </is>
      </c>
      <c r="T9" s="308" t="inlineStr">
        <is>
          <t>2</t>
        </is>
      </c>
      <c r="U9" s="308" t="inlineStr">
        <is>
          <t>Yes</t>
        </is>
      </c>
      <c r="V9" s="308" t="inlineStr">
        <is>
          <t>No</t>
        </is>
      </c>
      <c r="W9" s="308" t="inlineStr">
        <is>
          <t>No</t>
        </is>
      </c>
      <c r="X9" s="308" t="inlineStr">
        <is>
          <t>No</t>
        </is>
      </c>
      <c r="Y9" s="308" t="inlineStr">
        <is>
          <t>No</t>
        </is>
      </c>
      <c r="Z9" s="312" t="inlineStr">
        <is>
          <t>HIGH</t>
        </is>
      </c>
      <c r="AA9" s="313" t="inlineStr">
        <is>
          <t>Affordable Comp #1: LIHTC property, 1998 vintage (2 yr diff), 80 units, 4.7 mi from subject. Same income-eligible renter pool.</t>
        </is>
      </c>
      <c r="AB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Forest View Senior Apts</t>
        </is>
      </c>
      <c r="E10" s="311" t="inlineStr">
        <is>
          <t>19499 Hess Ave</t>
        </is>
      </c>
      <c r="F10" s="308" t="inlineStr">
        <is>
          <t>Sonora</t>
        </is>
      </c>
      <c r="G10" s="308" t="inlineStr">
        <is>
          <t>CA</t>
        </is>
      </c>
      <c r="H10" s="308" t="inlineStr">
        <is>
          <t>95370</t>
        </is>
      </c>
      <c r="I10" s="308" t="inlineStr">
        <is>
          <t>5.2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60</t>
        </is>
      </c>
      <c r="S10" s="308" t="inlineStr">
        <is>
          <t>1999</t>
        </is>
      </c>
      <c r="T10" s="308" t="inlineStr">
        <is>
          <t>1</t>
        </is>
      </c>
      <c r="U10" s="308" t="inlineStr">
        <is>
          <t>Yes</t>
        </is>
      </c>
      <c r="V10" s="308" t="inlineStr">
        <is>
          <t>No</t>
        </is>
      </c>
      <c r="W10" s="308" t="inlineStr">
        <is>
          <t>No</t>
        </is>
      </c>
      <c r="X10" s="308" t="inlineStr">
        <is>
          <t>No</t>
        </is>
      </c>
      <c r="Y10" s="308" t="inlineStr">
        <is>
          <t>No</t>
        </is>
      </c>
      <c r="Z10" s="312" t="inlineStr">
        <is>
          <t>HIGH</t>
        </is>
      </c>
      <c r="AA10" s="313" t="inlineStr">
        <is>
          <t>Affordable Comp #2: LIHTC property, 1999 vintage (1 yr diff), 60 units, 5.2 mi from subject. Same income-eligible renter pool.</t>
        </is>
      </c>
      <c r="AB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Stockton Gardens Apts</t>
        </is>
      </c>
      <c r="E11" s="311" t="inlineStr">
        <is>
          <t>1025 Rosemarie Ln</t>
        </is>
      </c>
      <c r="F11" s="308" t="inlineStr">
        <is>
          <t>Stockton</t>
        </is>
      </c>
      <c r="G11" s="308" t="inlineStr">
        <is>
          <t>CA</t>
        </is>
      </c>
      <c r="H11" s="308" t="inlineStr">
        <is>
          <t>95207</t>
        </is>
      </c>
      <c r="I11" s="308" t="inlineStr">
        <is>
          <t>48.8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$1,537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80</t>
        </is>
      </c>
      <c r="S11" s="308" t="inlineStr">
        <is>
          <t>2000</t>
        </is>
      </c>
      <c r="T11" s="308" t="inlineStr">
        <is>
          <t>0</t>
        </is>
      </c>
      <c r="U11" s="308" t="inlineStr">
        <is>
          <t>Yes</t>
        </is>
      </c>
      <c r="V11" s="308" t="inlineStr">
        <is>
          <t>No</t>
        </is>
      </c>
      <c r="W11" s="308" t="inlineStr">
        <is>
          <t>No</t>
        </is>
      </c>
      <c r="X11" s="308" t="inlineStr">
        <is>
          <t>No</t>
        </is>
      </c>
      <c r="Y11" s="308" t="inlineStr">
        <is>
          <t>No</t>
        </is>
      </c>
      <c r="Z11" s="341" t="inlineStr">
        <is>
          <t>MODERATE</t>
        </is>
      </c>
      <c r="AA11" s="313" t="inlineStr">
        <is>
          <t>Affordable Comp #3: LIHTC property, 2000 vintage (0 yr diff), 80 units, 48.8 mi from subject. Same income-eligible renter pool.</t>
        </is>
      </c>
      <c r="AB11" s="311" t="inlineStr">
        <is>
          <t>HUD LIHTC Database (huduser.gov)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Stockton Terrace Apts</t>
        </is>
      </c>
      <c r="E12" s="311" t="inlineStr">
        <is>
          <t>246 E Iris Ave</t>
        </is>
      </c>
      <c r="F12" s="308" t="inlineStr">
        <is>
          <t>Stockton</t>
        </is>
      </c>
      <c r="G12" s="308" t="inlineStr">
        <is>
          <t>CA</t>
        </is>
      </c>
      <c r="H12" s="308" t="inlineStr">
        <is>
          <t>95210</t>
        </is>
      </c>
      <c r="I12" s="308" t="inlineStr">
        <is>
          <t>48.5 mi</t>
        </is>
      </c>
      <c r="J12" s="308" t="inlineStr">
        <is>
          <t>$3,812</t>
        </is>
      </c>
      <c r="K12" s="308" t="inlineStr">
        <is>
          <t>$4,575</t>
        </is>
      </c>
      <c r="L12" s="308" t="inlineStr">
        <is>
          <t>$1,500</t>
        </is>
      </c>
      <c r="M12" s="308" t="inlineStr">
        <is>
          <t>Not Listed</t>
        </is>
      </c>
      <c r="N12" s="308" t="inlineStr">
        <is>
          <t>$4,233</t>
        </is>
      </c>
      <c r="O12" s="308" t="inlineStr">
        <is>
          <t>$5,080</t>
        </is>
      </c>
      <c r="P12" s="308" t="inlineStr">
        <is>
          <t>$1,970</t>
        </is>
      </c>
      <c r="Q12" s="308" t="inlineStr">
        <is>
          <t>Not Listed</t>
        </is>
      </c>
      <c r="R12" s="308" t="inlineStr">
        <is>
          <t>80</t>
        </is>
      </c>
      <c r="S12" s="308" t="inlineStr">
        <is>
          <t>2000</t>
        </is>
      </c>
      <c r="T12" s="308" t="inlineStr">
        <is>
          <t>0</t>
        </is>
      </c>
      <c r="U12" s="308" t="inlineStr">
        <is>
          <t>Yes</t>
        </is>
      </c>
      <c r="V12" s="308" t="inlineStr">
        <is>
          <t>No</t>
        </is>
      </c>
      <c r="W12" s="308" t="inlineStr">
        <is>
          <t>No</t>
        </is>
      </c>
      <c r="X12" s="308" t="inlineStr">
        <is>
          <t>No</t>
        </is>
      </c>
      <c r="Y12" s="308" t="inlineStr">
        <is>
          <t>No</t>
        </is>
      </c>
      <c r="Z12" s="341" t="inlineStr">
        <is>
          <t>MODERATE</t>
        </is>
      </c>
      <c r="AA12" s="313" t="inlineStr">
        <is>
          <t>Affordable Comp #4: LIHTC property, 2000 vintage (0 yr diff), 80 units, 48.5 mi from subject. Same income-eligible renter pool.</t>
        </is>
      </c>
      <c r="AB12" s="311" t="inlineStr">
        <is>
          <t>HUD LIHTC Database (huduser.gov)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Quail Hollow Apartments</t>
        </is>
      </c>
      <c r="D13" s="318" t="inlineStr">
        <is>
          <t>COMPETITION</t>
        </is>
      </c>
      <c r="E13" s="319" t="inlineStr">
        <is>
          <t>20230 Grouse Way</t>
        </is>
      </c>
      <c r="F13" s="320" t="inlineStr">
        <is>
          <t>Sonora</t>
        </is>
      </c>
      <c r="G13" s="320" t="inlineStr">
        <is>
          <t>CA</t>
        </is>
      </c>
      <c r="H13" s="320" t="n"/>
      <c r="I13" s="320" t="inlineStr">
        <is>
          <t>2.0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$1,500</t>
        </is>
      </c>
      <c r="M13" s="397" t="n">
        <v>1650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$1,970</t>
        </is>
      </c>
      <c r="Q13" s="397" t="n">
        <v>2050</v>
      </c>
      <c r="R13" s="320" t="inlineStr">
        <is>
          <t>N/A</t>
        </is>
      </c>
      <c r="S13" s="320" t="inlineStr">
        <is>
          <t>2000</t>
        </is>
      </c>
      <c r="T13" s="320" t="inlineStr">
        <is>
          <t>0</t>
        </is>
      </c>
      <c r="U13" s="320" t="inlineStr">
        <is>
          <t>Varies</t>
        </is>
      </c>
      <c r="V13" s="320" t="inlineStr">
        <is>
          <t>Varies</t>
        </is>
      </c>
      <c r="W13" s="320" t="inlineStr">
        <is>
          <t>Varies</t>
        </is>
      </c>
      <c r="X13" s="320" t="inlineStr">
        <is>
          <t>Varies</t>
        </is>
      </c>
      <c r="Y13" s="320" t="inlineStr">
        <is>
          <t>Varies</t>
        </is>
      </c>
      <c r="Z13" s="323" t="inlineStr">
        <is>
          <t>HIGH</t>
        </is>
      </c>
      <c r="AA13" s="324" t="inlineStr">
        <is>
          <t>Market Rate Comp #1: No income restrictions, 2000 vintage (0 yr diff), N/A units, N/A from subject. Shows market-rate rents vs. affordable housing discount.</t>
        </is>
      </c>
      <c r="AB13" s="319" t="inlineStr">
        <is>
          <t>HUD FY2026 FMR - Tuolumne County, CA (limited market rate listings in Jamestown)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Jamestown, CA</t>
        </is>
      </c>
      <c r="E14" s="325" t="inlineStr">
        <is>
          <t>N/A</t>
        </is>
      </c>
      <c r="F14" s="325" t="inlineStr">
        <is>
          <t>Jamestown</t>
        </is>
      </c>
      <c r="G14" s="325" t="inlineStr">
        <is>
          <t>CA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$1,500</t>
        </is>
      </c>
      <c r="M14" s="325" t="inlineStr">
        <is>
          <t>$1,500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$1,970</t>
        </is>
      </c>
      <c r="Q14" s="325" t="inlineStr">
        <is>
          <t>$1,970</t>
        </is>
      </c>
      <c r="R14" s="325" t="n"/>
      <c r="S14" s="325" t="n"/>
      <c r="T14" s="325" t="n"/>
      <c r="U14" s="325" t="n"/>
      <c r="V14" s="325" t="n"/>
      <c r="W14" s="325" t="n"/>
      <c r="X14" s="325" t="n"/>
      <c r="Y14" s="325" t="n"/>
      <c r="Z14" s="316" t="inlineStr">
        <is>
          <t>BENCHMARK</t>
        </is>
      </c>
      <c r="AA14" s="328" t="inlineStr">
        <is>
          <t>HUD Fair Market Rent for Jamestown, CA metro area, FY2026.</t>
        </is>
      </c>
      <c r="AB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Jamestown, CA (Apartments.com, Jun 2026)</t>
        </is>
      </c>
      <c r="E15" s="329" t="inlineStr">
        <is>
          <t>N/A</t>
        </is>
      </c>
      <c r="F15" s="329" t="inlineStr">
        <is>
          <t>Jamestown</t>
        </is>
      </c>
      <c r="G15" s="329" t="inlineStr">
        <is>
          <t>CA</t>
        </is>
      </c>
      <c r="H15" s="329" t="n"/>
      <c r="I15" s="329" t="n"/>
      <c r="J15" s="329" t="n"/>
      <c r="K15" s="329" t="n"/>
      <c r="L15" s="329" t="n"/>
      <c r="M15" s="398" t="n">
        <v>1650</v>
      </c>
      <c r="N15" s="329" t="n"/>
      <c r="O15" s="329" t="n"/>
      <c r="P15" s="329" t="n"/>
      <c r="Q15" s="398" t="n">
        <v>2050</v>
      </c>
      <c r="R15" s="329" t="n"/>
      <c r="S15" s="329" t="n"/>
      <c r="T15" s="329" t="n"/>
      <c r="U15" s="329" t="n"/>
      <c r="V15" s="329" t="n"/>
      <c r="W15" s="329" t="n"/>
      <c r="X15" s="329" t="n"/>
      <c r="Y15" s="329" t="n"/>
      <c r="Z15" s="316" t="inlineStr">
        <is>
          <t>BENCHMARK</t>
        </is>
      </c>
      <c r="AA15" s="332" t="inlineStr">
        <is>
          <t>Average of 1 market-rate comps. Apartments.com verified, Jun 2026.</t>
        </is>
      </c>
      <c r="AB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20.25" customFormat="1" customHeight="1" s="273">
      <c r="A22" s="337" t="inlineStr">
        <is>
          <t>2BD</t>
        </is>
      </c>
      <c r="B22" s="399">
        <f>'Current Rents'!E48</f>
        <v/>
      </c>
      <c r="C22" s="400" t="n">
        <v>1650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3BD</t>
        </is>
      </c>
      <c r="B23" s="399">
        <f>'Current Rents'!F48</f>
        <v/>
      </c>
      <c r="C23" s="400" t="n">
        <v>2050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</sheetData>
  <mergeCells count="18">
    <mergeCell ref="C12:D12"/>
    <mergeCell ref="C7:D7"/>
    <mergeCell ref="C10:D10"/>
    <mergeCell ref="C21:D21"/>
    <mergeCell ref="C15:D15"/>
    <mergeCell ref="A20:H20"/>
    <mergeCell ref="C11:D11"/>
    <mergeCell ref="A5:AB5"/>
    <mergeCell ref="D13"/>
    <mergeCell ref="C14:D14"/>
    <mergeCell ref="A19:H19"/>
    <mergeCell ref="A17:AB17"/>
    <mergeCell ref="A4:AB4"/>
    <mergeCell ref="C9:D9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RIVER GARDEN  |  SONORA, CA 95370</t>
        </is>
      </c>
      <c r="AH3" s="296" t="inlineStr">
        <is>
          <t>58 - River Garden  |  ? Units  |  Section 8 / HUD  |  2BD &amp; 3BD</t>
        </is>
      </c>
    </row>
    <row r="4" ht="18" customFormat="1" customHeight="1" s="273">
      <c r="A4" s="297" t="inlineStr">
        <is>
          <t>Sonora, Sonora, CA 95370  |  FY2026 FMR: 2BD $1,500 / 3BD $1,970 / 4BD $2,277 / 5BD $2,619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4BD
50% AMI</t>
        </is>
      </c>
      <c r="S7" s="300" t="inlineStr">
        <is>
          <t>4BD
60% AMI</t>
        </is>
      </c>
      <c r="T7" s="300" t="inlineStr">
        <is>
          <t>4BD
FMR</t>
        </is>
      </c>
      <c r="U7" s="301" t="inlineStr">
        <is>
          <t>4BD -
Actual</t>
        </is>
      </c>
      <c r="V7" s="300" t="inlineStr">
        <is>
          <t>5BD
50% AMI</t>
        </is>
      </c>
      <c r="W7" s="300" t="inlineStr">
        <is>
          <t>5BD
60% AMI</t>
        </is>
      </c>
      <c r="X7" s="300" t="inlineStr">
        <is>
          <t>5BD
FMR</t>
        </is>
      </c>
      <c r="Y7" s="301" t="inlineStr">
        <is>
          <t>5BD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River Garden (SUBJECT)</t>
        </is>
      </c>
      <c r="E8" s="304" t="inlineStr">
        <is>
          <t>Sonora</t>
        </is>
      </c>
      <c r="F8" s="305" t="inlineStr">
        <is>
          <t>Sonora</t>
        </is>
      </c>
      <c r="G8" s="305" t="inlineStr">
        <is>
          <t>CA</t>
        </is>
      </c>
      <c r="H8" s="305" t="inlineStr">
        <is>
          <t>95370</t>
        </is>
      </c>
      <c r="I8" s="305" t="inlineStr">
        <is>
          <t>0.0 mi</t>
        </is>
      </c>
      <c r="J8" s="305" t="inlineStr">
        <is>
          <t>$3,812</t>
        </is>
      </c>
      <c r="K8" s="305" t="inlineStr">
        <is>
          <t>$4,575</t>
        </is>
      </c>
      <c r="L8" s="305" t="inlineStr">
        <is>
          <t>$1,500</t>
        </is>
      </c>
      <c r="M8" s="396">
        <f>'Current Rents'!E49</f>
        <v/>
      </c>
      <c r="N8" s="305" t="inlineStr">
        <is>
          <t>$4,233</t>
        </is>
      </c>
      <c r="O8" s="305" t="inlineStr">
        <is>
          <t>$5,080</t>
        </is>
      </c>
      <c r="P8" s="305" t="inlineStr">
        <is>
          <t>$1,970</t>
        </is>
      </c>
      <c r="Q8" s="396">
        <f>'Current Rents'!F49</f>
        <v/>
      </c>
      <c r="R8" s="305" t="inlineStr">
        <is>
          <t>$4,575</t>
        </is>
      </c>
      <c r="S8" s="305" t="inlineStr">
        <is>
          <t>$5,490</t>
        </is>
      </c>
      <c r="T8" s="305" t="inlineStr">
        <is>
          <t>$2,277</t>
        </is>
      </c>
      <c r="U8" s="396">
        <f>'Current Rents'!G49</f>
        <v/>
      </c>
      <c r="V8" s="305" t="inlineStr">
        <is>
          <t>$4,912</t>
        </is>
      </c>
      <c r="W8" s="305" t="inlineStr">
        <is>
          <t>$5,895</t>
        </is>
      </c>
      <c r="X8" s="305" t="inlineStr">
        <is>
          <t>$2,619</t>
        </is>
      </c>
      <c r="Y8" s="396">
        <f>'Current Rents'!H49</f>
        <v/>
      </c>
      <c r="Z8" s="305" t="inlineStr">
        <is>
          <t>123</t>
        </is>
      </c>
      <c r="AA8" s="305" t="inlineStr">
        <is>
          <t>1995</t>
        </is>
      </c>
      <c r="AB8" s="305" t="n">
        <v>0</v>
      </c>
      <c r="AC8" s="305" t="inlineStr">
        <is>
          <t>Partial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123 units | Section 8/HUD property. Year built: 1995.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Columbia Village Townhomes</t>
        </is>
      </c>
      <c r="E9" s="311" t="inlineStr">
        <is>
          <t>11439 Columbia Village Dr</t>
        </is>
      </c>
      <c r="F9" s="308" t="inlineStr">
        <is>
          <t>Sonora</t>
        </is>
      </c>
      <c r="G9" s="308" t="inlineStr">
        <is>
          <t>CA</t>
        </is>
      </c>
      <c r="H9" s="308" t="inlineStr">
        <is>
          <t>95370</t>
        </is>
      </c>
      <c r="I9" s="308" t="inlineStr">
        <is>
          <t>2.7 mi</t>
        </is>
      </c>
      <c r="J9" s="308" t="inlineStr">
        <is>
          <t>$3,812</t>
        </is>
      </c>
      <c r="K9" s="308" t="inlineStr">
        <is>
          <t>$4,575</t>
        </is>
      </c>
      <c r="L9" s="308" t="inlineStr">
        <is>
          <t>$1,500</t>
        </is>
      </c>
      <c r="M9" s="308" t="inlineStr">
        <is>
          <t>Not Listed</t>
        </is>
      </c>
      <c r="N9" s="308" t="inlineStr">
        <is>
          <t>$4,233</t>
        </is>
      </c>
      <c r="O9" s="308" t="inlineStr">
        <is>
          <t>$5,080</t>
        </is>
      </c>
      <c r="P9" s="308" t="inlineStr">
        <is>
          <t>$1,970</t>
        </is>
      </c>
      <c r="Q9" s="308" t="inlineStr">
        <is>
          <t>Not Listed</t>
        </is>
      </c>
      <c r="R9" s="308" t="inlineStr">
        <is>
          <t>$4,575</t>
        </is>
      </c>
      <c r="S9" s="308" t="inlineStr">
        <is>
          <t>$5,490</t>
        </is>
      </c>
      <c r="T9" s="308" t="inlineStr">
        <is>
          <t>$2,277</t>
        </is>
      </c>
      <c r="U9" s="308" t="inlineStr">
        <is>
          <t>Not Listed</t>
        </is>
      </c>
      <c r="V9" s="308" t="inlineStr">
        <is>
          <t>$4,912</t>
        </is>
      </c>
      <c r="W9" s="308" t="inlineStr">
        <is>
          <t>$5,895</t>
        </is>
      </c>
      <c r="X9" s="308" t="inlineStr">
        <is>
          <t>$2,619</t>
        </is>
      </c>
      <c r="Y9" s="308" t="inlineStr">
        <is>
          <t>Not Listed</t>
        </is>
      </c>
      <c r="Z9" s="308" t="inlineStr">
        <is>
          <t>80</t>
        </is>
      </c>
      <c r="AA9" s="308" t="inlineStr">
        <is>
          <t>1998</t>
        </is>
      </c>
      <c r="AB9" s="308" t="inlineStr">
        <is>
          <t>3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#2: LIHTC property, 1998 vintage (3 yr diff), 80 units, 2.7 mi from subject. Same income-eligible renter pool.</t>
        </is>
      </c>
      <c r="AJ9" s="311" t="inlineStr">
        <is>
          <t>HUD LIHTC Database (huduser.gov)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Oak Hills Apts</t>
        </is>
      </c>
      <c r="E10" s="311" t="inlineStr">
        <is>
          <t>10260 Preston Ln</t>
        </is>
      </c>
      <c r="F10" s="308" t="inlineStr">
        <is>
          <t>Jamestown</t>
        </is>
      </c>
      <c r="G10" s="308" t="inlineStr">
        <is>
          <t>CA</t>
        </is>
      </c>
      <c r="H10" s="308" t="inlineStr">
        <is>
          <t>95327</t>
        </is>
      </c>
      <c r="I10" s="308" t="inlineStr">
        <is>
          <t>3.1 mi</t>
        </is>
      </c>
      <c r="J10" s="308" t="inlineStr">
        <is>
          <t>$3,812</t>
        </is>
      </c>
      <c r="K10" s="308" t="inlineStr">
        <is>
          <t>$4,575</t>
        </is>
      </c>
      <c r="L10" s="308" t="inlineStr">
        <is>
          <t>$1,500</t>
        </is>
      </c>
      <c r="M10" s="308" t="inlineStr">
        <is>
          <t>Not Listed</t>
        </is>
      </c>
      <c r="N10" s="308" t="inlineStr">
        <is>
          <t>$4,233</t>
        </is>
      </c>
      <c r="O10" s="308" t="inlineStr">
        <is>
          <t>$5,080</t>
        </is>
      </c>
      <c r="P10" s="308" t="inlineStr">
        <is>
          <t>$1,970</t>
        </is>
      </c>
      <c r="Q10" s="308" t="inlineStr">
        <is>
          <t>Not Listed</t>
        </is>
      </c>
      <c r="R10" s="308" t="inlineStr">
        <is>
          <t>$4,575</t>
        </is>
      </c>
      <c r="S10" s="308" t="inlineStr">
        <is>
          <t>$5,490</t>
        </is>
      </c>
      <c r="T10" s="308" t="inlineStr">
        <is>
          <t>$2,277</t>
        </is>
      </c>
      <c r="U10" s="308" t="inlineStr">
        <is>
          <t>Not Listed</t>
        </is>
      </c>
      <c r="V10" s="308" t="inlineStr">
        <is>
          <t>$4,912</t>
        </is>
      </c>
      <c r="W10" s="308" t="inlineStr">
        <is>
          <t>$5,895</t>
        </is>
      </c>
      <c r="X10" s="308" t="inlineStr">
        <is>
          <t>$2,619</t>
        </is>
      </c>
      <c r="Y10" s="308" t="inlineStr">
        <is>
          <t>Not Listed</t>
        </is>
      </c>
      <c r="Z10" s="308" t="inlineStr">
        <is>
          <t>80</t>
        </is>
      </c>
      <c r="AA10" s="308" t="inlineStr">
        <is>
          <t>1998</t>
        </is>
      </c>
      <c r="AB10" s="308" t="inlineStr">
        <is>
          <t>3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#3: LIHTC property, 1998 vintage (3 yr diff), 80 units, 3.1 mi from subject. Same income-eligible renter pool.</t>
        </is>
      </c>
      <c r="AJ10" s="311" t="inlineStr">
        <is>
          <t>HUD LIHTC Database (huduser.gov)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Murphys Senior Apts</t>
        </is>
      </c>
      <c r="E11" s="311" t="inlineStr">
        <is>
          <t>350 Bret Harte Ln</t>
        </is>
      </c>
      <c r="F11" s="308" t="inlineStr">
        <is>
          <t>Murphys</t>
        </is>
      </c>
      <c r="G11" s="308" t="inlineStr">
        <is>
          <t>CA</t>
        </is>
      </c>
      <c r="H11" s="308" t="inlineStr">
        <is>
          <t>95247</t>
        </is>
      </c>
      <c r="I11" s="308" t="inlineStr">
        <is>
          <t>12.5 mi</t>
        </is>
      </c>
      <c r="J11" s="308" t="inlineStr">
        <is>
          <t>$3,812</t>
        </is>
      </c>
      <c r="K11" s="308" t="inlineStr">
        <is>
          <t>$4,575</t>
        </is>
      </c>
      <c r="L11" s="308" t="inlineStr">
        <is>
          <t>$1,500</t>
        </is>
      </c>
      <c r="M11" s="308" t="inlineStr">
        <is>
          <t>Not Listed</t>
        </is>
      </c>
      <c r="N11" s="308" t="inlineStr">
        <is>
          <t>$4,233</t>
        </is>
      </c>
      <c r="O11" s="308" t="inlineStr">
        <is>
          <t>$5,080</t>
        </is>
      </c>
      <c r="P11" s="308" t="inlineStr">
        <is>
          <t>$1,970</t>
        </is>
      </c>
      <c r="Q11" s="308" t="inlineStr">
        <is>
          <t>Not Listed</t>
        </is>
      </c>
      <c r="R11" s="308" t="inlineStr">
        <is>
          <t>$4,575</t>
        </is>
      </c>
      <c r="S11" s="308" t="inlineStr">
        <is>
          <t>$5,490</t>
        </is>
      </c>
      <c r="T11" s="308" t="inlineStr">
        <is>
          <t>$2,277</t>
        </is>
      </c>
      <c r="U11" s="308" t="inlineStr">
        <is>
          <t>Not Listed</t>
        </is>
      </c>
      <c r="V11" s="308" t="inlineStr">
        <is>
          <t>$4,912</t>
        </is>
      </c>
      <c r="W11" s="308" t="inlineStr">
        <is>
          <t>$5,895</t>
        </is>
      </c>
      <c r="X11" s="308" t="inlineStr">
        <is>
          <t>$2,619</t>
        </is>
      </c>
      <c r="Y11" s="308" t="inlineStr">
        <is>
          <t>Not Listed</t>
        </is>
      </c>
      <c r="Z11" s="308" t="inlineStr">
        <is>
          <t>24</t>
        </is>
      </c>
      <c r="AA11" s="308" t="inlineStr">
        <is>
          <t>1995</t>
        </is>
      </c>
      <c r="AB11" s="308" t="inlineStr">
        <is>
          <t>0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2" t="inlineStr">
        <is>
          <t>HIGH</t>
        </is>
      </c>
      <c r="AI11" s="313" t="inlineStr">
        <is>
          <t>Affordable Comp #4: LIHTC property, 1995 vintage (0 yr diff), 24 units, 12.5 mi from subject. Same income-eligible renter pool.</t>
        </is>
      </c>
      <c r="AJ11" s="311" t="inlineStr">
        <is>
          <t>HUD LIHTC Database (huduser.gov)</t>
        </is>
      </c>
    </row>
    <row r="12" ht="24.75" customFormat="1" customHeight="1" s="273">
      <c r="A12" s="315" t="inlineStr">
        <is>
          <t>1</t>
        </is>
      </c>
      <c r="B12" s="316" t="inlineStr">
        <is>
          <t>MARKET RATE</t>
        </is>
      </c>
      <c r="C12" s="317" t="inlineStr">
        <is>
          <t>Quail Hollow Apartments</t>
        </is>
      </c>
      <c r="D12" s="318" t="inlineStr">
        <is>
          <t>COMPETITION</t>
        </is>
      </c>
      <c r="E12" s="319" t="inlineStr">
        <is>
          <t>20230 Grouse Way</t>
        </is>
      </c>
      <c r="F12" s="320" t="inlineStr">
        <is>
          <t>Sonora</t>
        </is>
      </c>
      <c r="G12" s="320" t="inlineStr">
        <is>
          <t>CA</t>
        </is>
      </c>
      <c r="H12" s="320" t="n"/>
      <c r="I12" s="320" t="inlineStr">
        <is>
          <t>2.0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inlineStr">
        <is>
          <t>$1,500</t>
        </is>
      </c>
      <c r="M12" s="397" t="n">
        <v>1650</v>
      </c>
      <c r="N12" s="320" t="inlineStr">
        <is>
          <t>N/A (Market Rate)</t>
        </is>
      </c>
      <c r="O12" s="320" t="inlineStr">
        <is>
          <t>N/A (Market Rate)</t>
        </is>
      </c>
      <c r="P12" s="320" t="inlineStr">
        <is>
          <t>$1,970</t>
        </is>
      </c>
      <c r="Q12" s="397" t="n">
        <v>2050</v>
      </c>
      <c r="R12" s="320" t="inlineStr">
        <is>
          <t>N/A (Market Rate)</t>
        </is>
      </c>
      <c r="S12" s="320" t="inlineStr">
        <is>
          <t>N/A (Market Rate)</t>
        </is>
      </c>
      <c r="T12" s="320" t="inlineStr">
        <is>
          <t>$2,277</t>
        </is>
      </c>
      <c r="U12" s="322" t="inlineStr">
        <is>
          <t>N/A</t>
        </is>
      </c>
      <c r="V12" s="320" t="inlineStr">
        <is>
          <t>N/A (Market Rate)</t>
        </is>
      </c>
      <c r="W12" s="320" t="inlineStr">
        <is>
          <t>N/A (Market Rate)</t>
        </is>
      </c>
      <c r="X12" s="320" t="inlineStr">
        <is>
          <t>$2,619</t>
        </is>
      </c>
      <c r="Y12" s="322" t="inlineStr">
        <is>
          <t>Not Listed</t>
        </is>
      </c>
      <c r="Z12" s="320" t="inlineStr">
        <is>
          <t>N/A</t>
        </is>
      </c>
      <c r="AA12" s="320" t="inlineStr">
        <is>
          <t>1995</t>
        </is>
      </c>
      <c r="AB12" s="320" t="inlineStr">
        <is>
          <t>0</t>
        </is>
      </c>
      <c r="AC12" s="320" t="inlineStr">
        <is>
          <t>Varies</t>
        </is>
      </c>
      <c r="AD12" s="320" t="inlineStr">
        <is>
          <t>Varies</t>
        </is>
      </c>
      <c r="AE12" s="320" t="inlineStr">
        <is>
          <t>Varies</t>
        </is>
      </c>
      <c r="AF12" s="320" t="inlineStr">
        <is>
          <t>Varies</t>
        </is>
      </c>
      <c r="AG12" s="320" t="inlineStr">
        <is>
          <t>Varies</t>
        </is>
      </c>
      <c r="AH12" s="323" t="inlineStr">
        <is>
          <t>HIGH</t>
        </is>
      </c>
      <c r="AI12" s="324" t="inlineStr">
        <is>
          <t>Market Rate Comp #1: No income restrictions, 1995 vintage (0 yr diff), N/A units, N/A from subject. Shows market-rate rents vs. affordable housing discount.</t>
        </is>
      </c>
      <c r="AJ12" s="319" t="inlineStr">
        <is>
          <t>HUD FY2026 FMR - Tuolumne County, CA (limited market rate listings in Sonora)</t>
        </is>
      </c>
    </row>
    <row r="13" ht="28.5" customFormat="1" customHeight="1" s="273">
      <c r="A13" s="325" t="inlineStr">
        <is>
          <t>—</t>
        </is>
      </c>
      <c r="B13" s="326" t="inlineStr">
        <is>
          <t>BENCHMARK</t>
        </is>
      </c>
      <c r="C13" s="327" t="inlineStr">
        <is>
          <t>FY2026 FMR — Sonora, CA</t>
        </is>
      </c>
      <c r="E13" s="325" t="inlineStr">
        <is>
          <t>N/A</t>
        </is>
      </c>
      <c r="F13" s="325" t="inlineStr">
        <is>
          <t>Sonora</t>
        </is>
      </c>
      <c r="G13" s="325" t="inlineStr">
        <is>
          <t>CA</t>
        </is>
      </c>
      <c r="H13" s="325" t="n"/>
      <c r="I13" s="325" t="n"/>
      <c r="J13" s="325" t="inlineStr">
        <is>
          <t>N/A</t>
        </is>
      </c>
      <c r="K13" s="325" t="inlineStr">
        <is>
          <t>N/A</t>
        </is>
      </c>
      <c r="L13" s="325" t="inlineStr">
        <is>
          <t>$1,500</t>
        </is>
      </c>
      <c r="M13" s="325" t="inlineStr">
        <is>
          <t>$1,500</t>
        </is>
      </c>
      <c r="N13" s="325" t="inlineStr">
        <is>
          <t>N/A</t>
        </is>
      </c>
      <c r="O13" s="325" t="inlineStr">
        <is>
          <t>N/A</t>
        </is>
      </c>
      <c r="P13" s="325" t="inlineStr">
        <is>
          <t>$1,970</t>
        </is>
      </c>
      <c r="Q13" s="325" t="inlineStr">
        <is>
          <t>$1,970</t>
        </is>
      </c>
      <c r="R13" s="325" t="inlineStr">
        <is>
          <t>N/A</t>
        </is>
      </c>
      <c r="S13" s="325" t="inlineStr">
        <is>
          <t>N/A</t>
        </is>
      </c>
      <c r="T13" s="325" t="inlineStr">
        <is>
          <t>$2,277</t>
        </is>
      </c>
      <c r="U13" s="325" t="inlineStr">
        <is>
          <t>$2,277</t>
        </is>
      </c>
      <c r="V13" s="325" t="inlineStr">
        <is>
          <t>N/A</t>
        </is>
      </c>
      <c r="W13" s="325" t="inlineStr">
        <is>
          <t>N/A</t>
        </is>
      </c>
      <c r="X13" s="325" t="inlineStr">
        <is>
          <t>$2,619</t>
        </is>
      </c>
      <c r="Y13" s="325" t="inlineStr">
        <is>
          <t>$2,619</t>
        </is>
      </c>
      <c r="Z13" s="325" t="n"/>
      <c r="AA13" s="325" t="n"/>
      <c r="AB13" s="325" t="n"/>
      <c r="AC13" s="325" t="n"/>
      <c r="AD13" s="325" t="n"/>
      <c r="AE13" s="325" t="n"/>
      <c r="AF13" s="325" t="n"/>
      <c r="AG13" s="325" t="n"/>
      <c r="AH13" s="316" t="inlineStr">
        <is>
          <t>BENCHMARK</t>
        </is>
      </c>
      <c r="AI13" s="328" t="inlineStr">
        <is>
          <t>HUD Fair Market Rent for Sonora, CA metro area, FY2026.</t>
        </is>
      </c>
      <c r="AJ13" s="328" t="inlineStr">
        <is>
          <t>HUD FMR Database (huduser.gov)</t>
        </is>
      </c>
    </row>
    <row r="14" ht="34.5" customFormat="1" customHeight="1" s="273">
      <c r="A14" s="329" t="inlineStr">
        <is>
          <t>—</t>
        </is>
      </c>
      <c r="B14" s="326" t="inlineStr">
        <is>
          <t>BENCHMARK</t>
        </is>
      </c>
      <c r="C14" s="330" t="inlineStr">
        <is>
          <t>Metro Market Avg — Sonora, CA (Apartments.com, Jun 2026)</t>
        </is>
      </c>
      <c r="E14" s="329" t="inlineStr">
        <is>
          <t>N/A</t>
        </is>
      </c>
      <c r="F14" s="329" t="inlineStr">
        <is>
          <t>Sonora</t>
        </is>
      </c>
      <c r="G14" s="329" t="inlineStr">
        <is>
          <t>CA</t>
        </is>
      </c>
      <c r="H14" s="329" t="n"/>
      <c r="I14" s="329" t="n"/>
      <c r="J14" s="329" t="n"/>
      <c r="K14" s="329" t="n"/>
      <c r="L14" s="329" t="n"/>
      <c r="M14" s="398" t="n">
        <v>1650</v>
      </c>
      <c r="N14" s="329" t="n"/>
      <c r="O14" s="329" t="n"/>
      <c r="P14" s="329" t="n"/>
      <c r="Q14" s="398" t="n">
        <v>2050</v>
      </c>
      <c r="R14" s="329" t="n"/>
      <c r="S14" s="329" t="n"/>
      <c r="T14" s="329" t="n"/>
      <c r="U14" s="398" t="n"/>
      <c r="V14" s="329" t="n"/>
      <c r="W14" s="329" t="n"/>
      <c r="X14" s="329" t="n"/>
      <c r="Y14" s="398" t="n"/>
      <c r="Z14" s="329" t="n"/>
      <c r="AA14" s="329" t="n"/>
      <c r="AB14" s="329" t="n"/>
      <c r="AC14" s="329" t="n"/>
      <c r="AD14" s="329" t="n"/>
      <c r="AE14" s="329" t="n"/>
      <c r="AF14" s="329" t="n"/>
      <c r="AG14" s="329" t="n"/>
      <c r="AH14" s="316" t="inlineStr">
        <is>
          <t>BENCHMARK</t>
        </is>
      </c>
      <c r="AI14" s="332" t="inlineStr">
        <is>
          <t>Average of 1 market-rate comps. Apartments.com verified, Jun 2026.</t>
        </is>
      </c>
      <c r="AJ14" s="332" t="inlineStr">
        <is>
          <t>Apartments.com + Market Estimate</t>
        </is>
      </c>
    </row>
    <row r="16" ht="14.25" customFormat="1" customHeight="1" s="273">
      <c r="A16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Format="1" customHeight="1" s="273">
      <c r="A18" s="334" t="inlineStr">
        <is>
          <t>CURRENT RENT vs. MARKET AVERAGE</t>
        </is>
      </c>
      <c r="I18" s="273" t="n"/>
      <c r="J18" s="273" t="n"/>
      <c r="K18" s="273" t="n"/>
      <c r="L18" s="273" t="n"/>
      <c r="M18" s="273" t="n"/>
      <c r="N18" s="273" t="n"/>
      <c r="O18" s="273" t="n"/>
      <c r="P18" s="273" t="n"/>
      <c r="Q18" s="273" t="n"/>
      <c r="R18" s="273" t="n"/>
      <c r="S18" s="273" t="n"/>
      <c r="T18" s="273" t="n"/>
      <c r="U18" s="273" t="n"/>
      <c r="V18" s="273" t="n"/>
      <c r="W18" s="273" t="n"/>
      <c r="X18" s="273" t="n"/>
      <c r="Y18" s="273" t="n"/>
      <c r="Z18" s="273" t="n"/>
      <c r="AA18" s="273" t="n"/>
      <c r="AB18" s="273" t="n"/>
      <c r="AC18" s="273" t="n"/>
      <c r="AD18" s="273" t="n"/>
      <c r="AE18" s="273" t="n"/>
      <c r="AF18" s="273" t="n"/>
      <c r="AG18" s="273" t="n"/>
      <c r="AH18" s="273" t="n"/>
      <c r="AI18" s="273" t="n"/>
      <c r="AJ18" s="273" t="n"/>
    </row>
    <row r="19" ht="15.75" customFormat="1" customHeight="1" s="273">
      <c r="A19" s="335" t="inlineStr">
        <is>
          <t>Market Average = Avg of Actual Advertised Rents from 1 Market-Rate Comps (Apartments.com verified)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273" t="n"/>
      <c r="B20" s="336" t="inlineStr">
        <is>
          <t>Current Rents</t>
        </is>
      </c>
      <c r="C20" s="336" t="inlineStr">
        <is>
          <t>Market Avg</t>
        </is>
      </c>
      <c r="E20" s="336" t="inlineStr">
        <is>
          <t>Difference</t>
        </is>
      </c>
      <c r="F20" s="273" t="n"/>
      <c r="G20" s="273" t="n"/>
      <c r="H20" s="273" t="n"/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20.25" customFormat="1" customHeight="1" s="273">
      <c r="A21" s="337" t="inlineStr">
        <is>
          <t>2BD</t>
        </is>
      </c>
      <c r="B21" s="399">
        <f>'Current Rents'!E49</f>
        <v/>
      </c>
      <c r="C21" s="400" t="n">
        <v>1650</v>
      </c>
      <c r="D21" s="273" t="n"/>
      <c r="E21" s="401">
        <f>B21-C21</f>
        <v/>
      </c>
      <c r="F21" s="161">
        <f>IF(E21&lt;-75,"LOOK INTO INCREASING THE RENT!","")</f>
        <v/>
      </c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3BD</t>
        </is>
      </c>
      <c r="B22" s="399">
        <f>'Current Rents'!F49</f>
        <v/>
      </c>
      <c r="C22" s="400" t="n">
        <v>2050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4BD</t>
        </is>
      </c>
      <c r="B23" s="399">
        <f>'Current Rents'!G49</f>
        <v/>
      </c>
      <c r="C23" s="400" t="n">
        <v>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5BD</t>
        </is>
      </c>
      <c r="B24" s="399">
        <f>'Current Rents'!H49</f>
        <v/>
      </c>
      <c r="C24" s="400" t="n">
        <v>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</sheetData>
  <mergeCells count="17">
    <mergeCell ref="A18:H18"/>
    <mergeCell ref="C20:D20"/>
    <mergeCell ref="A6:AJ6"/>
    <mergeCell ref="C7:D7"/>
    <mergeCell ref="A3:AG3"/>
    <mergeCell ref="D12"/>
    <mergeCell ref="C10:D10"/>
    <mergeCell ref="C11:D11"/>
    <mergeCell ref="A4:AJ4"/>
    <mergeCell ref="C14:D14"/>
    <mergeCell ref="A19:H19"/>
    <mergeCell ref="A16:AJ16"/>
    <mergeCell ref="C13:D13"/>
    <mergeCell ref="C9:D9"/>
    <mergeCell ref="AH3:AJ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SILVER SPRINGS TERRACE  |  HICKORY, NC 28601</t>
        </is>
      </c>
      <c r="AH3" s="296" t="inlineStr">
        <is>
          <t>36 - Silver Springs  |  ? Units  |  Section 8 / HUD  |  2BD &amp; 3BD</t>
        </is>
      </c>
    </row>
    <row r="4" ht="18" customFormat="1" customHeight="1" s="273">
      <c r="A4" s="297" t="inlineStr">
        <is>
          <t>950 NE 20th Street, Hickory, NC 28601  |  FY2026 FMR: 1BD $663 / 2BD $908 / 3BD $1,372 / 4BD $1,586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Silver Springs Terrace (SUBJECT)</t>
        </is>
      </c>
      <c r="E8" s="304" t="inlineStr">
        <is>
          <t>950 NE 20th Street</t>
        </is>
      </c>
      <c r="F8" s="305" t="inlineStr">
        <is>
          <t>Hickory</t>
        </is>
      </c>
      <c r="G8" s="305" t="inlineStr">
        <is>
          <t>NC</t>
        </is>
      </c>
      <c r="H8" s="305" t="inlineStr">
        <is>
          <t>28601</t>
        </is>
      </c>
      <c r="I8" s="305" t="inlineStr">
        <is>
          <t>0.0 mi</t>
        </is>
      </c>
      <c r="J8" s="305" t="inlineStr">
        <is>
          <t>$2,426</t>
        </is>
      </c>
      <c r="K8" s="305" t="inlineStr">
        <is>
          <t>$2,912</t>
        </is>
      </c>
      <c r="L8" s="305" t="inlineStr">
        <is>
          <t>$663</t>
        </is>
      </c>
      <c r="M8" s="396">
        <f>'Current Rents'!D50</f>
        <v/>
      </c>
      <c r="N8" s="305" t="inlineStr">
        <is>
          <t>$2,912</t>
        </is>
      </c>
      <c r="O8" s="305" t="inlineStr">
        <is>
          <t>$3,495</t>
        </is>
      </c>
      <c r="P8" s="305" t="inlineStr">
        <is>
          <t>$908</t>
        </is>
      </c>
      <c r="Q8" s="396">
        <f>'Current Rents'!E50</f>
        <v/>
      </c>
      <c r="R8" s="305" t="inlineStr">
        <is>
          <t>$3,233</t>
        </is>
      </c>
      <c r="S8" s="305" t="inlineStr">
        <is>
          <t>$3,880</t>
        </is>
      </c>
      <c r="T8" s="305" t="inlineStr">
        <is>
          <t>$1,372</t>
        </is>
      </c>
      <c r="U8" s="396">
        <f>'Current Rents'!F50</f>
        <v/>
      </c>
      <c r="V8" s="305" t="inlineStr">
        <is>
          <t>$3,495</t>
        </is>
      </c>
      <c r="W8" s="305" t="inlineStr">
        <is>
          <t>$4,195</t>
        </is>
      </c>
      <c r="X8" s="305" t="inlineStr">
        <is>
          <t>$1,586</t>
        </is>
      </c>
      <c r="Y8" s="396">
        <f>'Current Rents'!G50</f>
        <v/>
      </c>
      <c r="Z8" s="305" t="inlineStr">
        <is>
          <t>100</t>
        </is>
      </c>
      <c r="AA8" s="305" t="inlineStr">
        <is>
          <t>1971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Layered HUD/LIHTC property. Year built: 1971.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Catawba Valley Homes</t>
        </is>
      </c>
      <c r="E9" s="311" t="inlineStr">
        <is>
          <t>1200 9th Ave Dr NW</t>
        </is>
      </c>
      <c r="F9" s="308" t="inlineStr">
        <is>
          <t>Hickory</t>
        </is>
      </c>
      <c r="G9" s="308" t="inlineStr">
        <is>
          <t>NC</t>
        </is>
      </c>
      <c r="H9" s="308" t="inlineStr">
        <is>
          <t>28601</t>
        </is>
      </c>
      <c r="I9" s="308" t="inlineStr">
        <is>
          <t>2.5 mi</t>
        </is>
      </c>
      <c r="J9" s="308" t="inlineStr">
        <is>
          <t>$2,426</t>
        </is>
      </c>
      <c r="K9" s="308" t="inlineStr">
        <is>
          <t>$2,912</t>
        </is>
      </c>
      <c r="L9" s="308" t="inlineStr">
        <is>
          <t>$663</t>
        </is>
      </c>
      <c r="M9" s="308" t="inlineStr">
        <is>
          <t>Not Listed</t>
        </is>
      </c>
      <c r="N9" s="308" t="inlineStr">
        <is>
          <t>$2,912</t>
        </is>
      </c>
      <c r="O9" s="308" t="inlineStr">
        <is>
          <t>$3,495</t>
        </is>
      </c>
      <c r="P9" s="308" t="inlineStr">
        <is>
          <t>$908</t>
        </is>
      </c>
      <c r="Q9" s="308" t="inlineStr">
        <is>
          <t>Not Listed</t>
        </is>
      </c>
      <c r="R9" s="308" t="inlineStr">
        <is>
          <t>$3,233</t>
        </is>
      </c>
      <c r="S9" s="308" t="inlineStr">
        <is>
          <t>$3,880</t>
        </is>
      </c>
      <c r="T9" s="308" t="inlineStr">
        <is>
          <t>$1,372</t>
        </is>
      </c>
      <c r="U9" s="308" t="inlineStr">
        <is>
          <t>Not Listed</t>
        </is>
      </c>
      <c r="V9" s="308" t="inlineStr">
        <is>
          <t>$3,495</t>
        </is>
      </c>
      <c r="W9" s="308" t="inlineStr">
        <is>
          <t>$4,195</t>
        </is>
      </c>
      <c r="X9" s="308" t="inlineStr">
        <is>
          <t>$1,586</t>
        </is>
      </c>
      <c r="Y9" s="308" t="inlineStr">
        <is>
          <t>Not Listed</t>
        </is>
      </c>
      <c r="Z9" s="308" t="inlineStr">
        <is>
          <t>96</t>
        </is>
      </c>
      <c r="AA9" s="308" t="inlineStr">
        <is>
          <t>1972</t>
        </is>
      </c>
      <c r="AB9" s="308" t="inlineStr">
        <is>
          <t>1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1972 vintage (1 yr diff), 96 units, 2.5 mi from subject. Same income-eligible renter pool.</t>
        </is>
      </c>
      <c r="AJ9" s="311" t="inlineStr">
        <is>
          <t>HUD Multifamily Assisted Housing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Lenoir Housing Authority - Granite Falls Homes</t>
        </is>
      </c>
      <c r="E10" s="311" t="inlineStr">
        <is>
          <t>300 Pennton Ave SW</t>
        </is>
      </c>
      <c r="F10" s="308" t="inlineStr">
        <is>
          <t>Lenoir</t>
        </is>
      </c>
      <c r="G10" s="308" t="inlineStr">
        <is>
          <t>NC</t>
        </is>
      </c>
      <c r="H10" s="308" t="inlineStr">
        <is>
          <t>28645</t>
        </is>
      </c>
      <c r="I10" s="308" t="inlineStr">
        <is>
          <t>22.0 mi</t>
        </is>
      </c>
      <c r="J10" s="308" t="inlineStr">
        <is>
          <t>$2,426</t>
        </is>
      </c>
      <c r="K10" s="308" t="inlineStr">
        <is>
          <t>$2,912</t>
        </is>
      </c>
      <c r="L10" s="308" t="inlineStr">
        <is>
          <t>$663</t>
        </is>
      </c>
      <c r="M10" s="308" t="inlineStr">
        <is>
          <t>Not Listed</t>
        </is>
      </c>
      <c r="N10" s="308" t="inlineStr">
        <is>
          <t>$2,912</t>
        </is>
      </c>
      <c r="O10" s="308" t="inlineStr">
        <is>
          <t>$3,495</t>
        </is>
      </c>
      <c r="P10" s="308" t="inlineStr">
        <is>
          <t>$908</t>
        </is>
      </c>
      <c r="Q10" s="308" t="inlineStr">
        <is>
          <t>Not Listed</t>
        </is>
      </c>
      <c r="R10" s="308" t="inlineStr">
        <is>
          <t>$3,233</t>
        </is>
      </c>
      <c r="S10" s="308" t="inlineStr">
        <is>
          <t>$3,880</t>
        </is>
      </c>
      <c r="T10" s="308" t="inlineStr">
        <is>
          <t>$1,372</t>
        </is>
      </c>
      <c r="U10" s="308" t="inlineStr">
        <is>
          <t>Not Listed</t>
        </is>
      </c>
      <c r="V10" s="308" t="inlineStr">
        <is>
          <t>$3,495</t>
        </is>
      </c>
      <c r="W10" s="308" t="inlineStr">
        <is>
          <t>$4,195</t>
        </is>
      </c>
      <c r="X10" s="308" t="inlineStr">
        <is>
          <t>$1,586</t>
        </is>
      </c>
      <c r="Y10" s="308" t="inlineStr">
        <is>
          <t>Not Listed</t>
        </is>
      </c>
      <c r="Z10" s="308" t="inlineStr">
        <is>
          <t>100</t>
        </is>
      </c>
      <c r="AA10" s="308" t="inlineStr">
        <is>
          <t>1970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4" t="inlineStr">
        <is>
          <t>MODERATE-HIGH</t>
        </is>
      </c>
      <c r="AI10" s="313" t="inlineStr">
        <is>
          <t>Affordable Comp #2: Public Housing/HUD property, 1970 vintage (1 yr diff), 100 units, 22.0 mi from subject. Same income-eligible renter pool.</t>
        </is>
      </c>
      <c r="AJ10" s="311" t="inlineStr">
        <is>
          <t>Lenoir Housing Authority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Statesville Manor Apartments</t>
        </is>
      </c>
      <c r="E11" s="311" t="inlineStr">
        <is>
          <t>500 Davie Ave</t>
        </is>
      </c>
      <c r="F11" s="308" t="inlineStr">
        <is>
          <t>Statesville</t>
        </is>
      </c>
      <c r="G11" s="308" t="inlineStr">
        <is>
          <t>NC</t>
        </is>
      </c>
      <c r="H11" s="308" t="inlineStr">
        <is>
          <t>28677</t>
        </is>
      </c>
      <c r="I11" s="308" t="inlineStr">
        <is>
          <t>28.0 mi</t>
        </is>
      </c>
      <c r="J11" s="308" t="inlineStr">
        <is>
          <t>$2,426</t>
        </is>
      </c>
      <c r="K11" s="308" t="inlineStr">
        <is>
          <t>$2,912</t>
        </is>
      </c>
      <c r="L11" s="308" t="inlineStr">
        <is>
          <t>$663</t>
        </is>
      </c>
      <c r="M11" s="308" t="inlineStr">
        <is>
          <t>Not Listed</t>
        </is>
      </c>
      <c r="N11" s="308" t="inlineStr">
        <is>
          <t>$2,912</t>
        </is>
      </c>
      <c r="O11" s="308" t="inlineStr">
        <is>
          <t>$3,495</t>
        </is>
      </c>
      <c r="P11" s="308" t="inlineStr">
        <is>
          <t>$908</t>
        </is>
      </c>
      <c r="Q11" s="308" t="inlineStr">
        <is>
          <t>Not Listed</t>
        </is>
      </c>
      <c r="R11" s="308" t="inlineStr">
        <is>
          <t>$3,233</t>
        </is>
      </c>
      <c r="S11" s="308" t="inlineStr">
        <is>
          <t>$3,880</t>
        </is>
      </c>
      <c r="T11" s="308" t="inlineStr">
        <is>
          <t>$1,372</t>
        </is>
      </c>
      <c r="U11" s="308" t="inlineStr">
        <is>
          <t>Not Listed</t>
        </is>
      </c>
      <c r="V11" s="308" t="inlineStr">
        <is>
          <t>$3,495</t>
        </is>
      </c>
      <c r="W11" s="308" t="inlineStr">
        <is>
          <t>$4,195</t>
        </is>
      </c>
      <c r="X11" s="308" t="inlineStr">
        <is>
          <t>$1,586</t>
        </is>
      </c>
      <c r="Y11" s="308" t="inlineStr">
        <is>
          <t>Not Listed</t>
        </is>
      </c>
      <c r="Z11" s="308" t="inlineStr">
        <is>
          <t>108</t>
        </is>
      </c>
      <c r="AA11" s="308" t="inlineStr">
        <is>
          <t>1973</t>
        </is>
      </c>
      <c r="AB11" s="308" t="inlineStr">
        <is>
          <t>2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1973 vintage (2 yr diff), 108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Hickory Housing Authority - Ridgeview Homes</t>
        </is>
      </c>
      <c r="E12" s="311" t="inlineStr">
        <is>
          <t>400 Ridgeview Rd NE</t>
        </is>
      </c>
      <c r="F12" s="308" t="inlineStr">
        <is>
          <t>Hickory</t>
        </is>
      </c>
      <c r="G12" s="308" t="inlineStr">
        <is>
          <t>NC</t>
        </is>
      </c>
      <c r="H12" s="308" t="inlineStr">
        <is>
          <t>28601</t>
        </is>
      </c>
      <c r="I12" s="308" t="inlineStr">
        <is>
          <t>1.8 mi</t>
        </is>
      </c>
      <c r="J12" s="308" t="inlineStr">
        <is>
          <t>$2,426</t>
        </is>
      </c>
      <c r="K12" s="308" t="inlineStr">
        <is>
          <t>$2,912</t>
        </is>
      </c>
      <c r="L12" s="308" t="inlineStr">
        <is>
          <t>$663</t>
        </is>
      </c>
      <c r="M12" s="308" t="inlineStr">
        <is>
          <t>Not Listed</t>
        </is>
      </c>
      <c r="N12" s="308" t="inlineStr">
        <is>
          <t>$2,912</t>
        </is>
      </c>
      <c r="O12" s="308" t="inlineStr">
        <is>
          <t>$3,495</t>
        </is>
      </c>
      <c r="P12" s="308" t="inlineStr">
        <is>
          <t>$908</t>
        </is>
      </c>
      <c r="Q12" s="308" t="inlineStr">
        <is>
          <t>Not Listed</t>
        </is>
      </c>
      <c r="R12" s="308" t="inlineStr">
        <is>
          <t>$3,233</t>
        </is>
      </c>
      <c r="S12" s="308" t="inlineStr">
        <is>
          <t>$3,880</t>
        </is>
      </c>
      <c r="T12" s="308" t="inlineStr">
        <is>
          <t>$1,372</t>
        </is>
      </c>
      <c r="U12" s="308" t="inlineStr">
        <is>
          <t>Not Listed</t>
        </is>
      </c>
      <c r="V12" s="308" t="inlineStr">
        <is>
          <t>$3,495</t>
        </is>
      </c>
      <c r="W12" s="308" t="inlineStr">
        <is>
          <t>$4,195</t>
        </is>
      </c>
      <c r="X12" s="308" t="inlineStr">
        <is>
          <t>$1,586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1970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1970 vintage (1 yr diff), 96 units, 1.8 mi from subject. Same income-eligible renter pool.</t>
        </is>
      </c>
      <c r="AJ12" s="311" t="inlineStr">
        <is>
          <t>Hickory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Hickory Trace Village</t>
        </is>
      </c>
      <c r="D13" s="318" t="inlineStr">
        <is>
          <t>COMPETITION</t>
        </is>
      </c>
      <c r="E13" s="319" t="inlineStr">
        <is>
          <t>1250 5th St NE</t>
        </is>
      </c>
      <c r="F13" s="320" t="inlineStr">
        <is>
          <t>Hickory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$663</t>
        </is>
      </c>
      <c r="M13" s="397" t="n">
        <v>979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$908</t>
        </is>
      </c>
      <c r="Q13" s="397" t="n">
        <v>1240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$1,372</t>
        </is>
      </c>
      <c r="U13" s="397" t="n">
        <v>1440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$1,586</t>
        </is>
      </c>
      <c r="Y13" s="397" t="n">
        <v>1650</v>
      </c>
      <c r="Z13" s="320" t="inlineStr">
        <is>
          <t>N/A</t>
        </is>
      </c>
      <c r="AA13" s="320" t="inlineStr">
        <is>
          <t>1971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1971 vintage (0 yr diff), N/A units, N/A from subject. Shows market-rate rents vs. affordable housing discount.</t>
        </is>
      </c>
      <c r="AJ13" s="319" t="inlineStr">
        <is>
          <t>HUD FY2026 FMR - Catawba County, NC (limited market rate listings for 1961-1981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Hickory, NC</t>
        </is>
      </c>
      <c r="E14" s="325" t="inlineStr">
        <is>
          <t>N/A</t>
        </is>
      </c>
      <c r="F14" s="325" t="inlineStr">
        <is>
          <t>Hickory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$663</t>
        </is>
      </c>
      <c r="M14" s="325" t="inlineStr">
        <is>
          <t>$663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$908</t>
        </is>
      </c>
      <c r="Q14" s="325" t="inlineStr">
        <is>
          <t>$908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$1,372</t>
        </is>
      </c>
      <c r="U14" s="325" t="inlineStr">
        <is>
          <t>$1,372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$1,586</t>
        </is>
      </c>
      <c r="Y14" s="325" t="inlineStr">
        <is>
          <t>$1,586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Hickory,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Hickory, NC (Apartments.com, Jun 2026)</t>
        </is>
      </c>
      <c r="E15" s="329" t="inlineStr">
        <is>
          <t>N/A</t>
        </is>
      </c>
      <c r="F15" s="329" t="inlineStr">
        <is>
          <t>Hickory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979</v>
      </c>
      <c r="N15" s="329" t="n"/>
      <c r="O15" s="329" t="n"/>
      <c r="P15" s="329" t="n"/>
      <c r="Q15" s="398" t="n">
        <v>1240</v>
      </c>
      <c r="R15" s="329" t="n"/>
      <c r="S15" s="329" t="n"/>
      <c r="T15" s="329" t="n"/>
      <c r="U15" s="398" t="n">
        <v>1440</v>
      </c>
      <c r="V15" s="329" t="n"/>
      <c r="W15" s="329" t="n"/>
      <c r="X15" s="329" t="n"/>
      <c r="Y15" s="398" t="n">
        <v>1650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Rents'!D50</f>
        <v/>
      </c>
      <c r="C22" s="400" t="n">
        <v>979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Rents'!E50</f>
        <v/>
      </c>
      <c r="C23" s="400" t="n">
        <v>1240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Rents'!F50</f>
        <v/>
      </c>
      <c r="C24" s="400" t="n">
        <v>1440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Rents'!G50</f>
        <v/>
      </c>
      <c r="C25" s="400" t="n">
        <v>1650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5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hidden="1" width="7.00390625" customWidth="1" style="273" min="18" max="18"/>
    <col width="13.00390625" customWidth="1" style="273" min="19" max="19"/>
    <col hidden="1" width="5.28125" customWidth="1" style="273" min="20" max="20"/>
    <col width="16.7109375" customWidth="1" style="273" min="21" max="21"/>
    <col hidden="1" width="7.00390625" customWidth="1" style="273" min="22" max="22"/>
    <col width="13.00390625" customWidth="1" style="273" min="23" max="23"/>
    <col hidden="1" width="5.28125" customWidth="1" style="273" min="24" max="24"/>
    <col width="16.7109375" customWidth="1" style="273" min="25" max="25"/>
    <col width="9.421875" customWidth="1" style="273" min="26" max="26"/>
    <col width="13.00390625" customWidth="1" style="273" min="27" max="33"/>
    <col width="24.57421875" customWidth="1" style="273" min="34" max="34"/>
    <col width="55.7109375" customWidth="1" style="273" min="35" max="35"/>
    <col width="13.00390625" customWidth="1" style="273" min="36" max="36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 ht="36" customFormat="1" customHeight="1" s="273">
      <c r="A3" s="295" t="inlineStr">
        <is>
          <t>RENT COMPARABLES ANALYSIS  —  THOMASVILLE CHURCH HOMES  |  THOMASVILLE, NC 27360</t>
        </is>
      </c>
      <c r="AH3" s="296" t="inlineStr">
        <is>
          <t>44 - Thomasville  |  ? Units  |  Section 8 / HUD  |  2BD &amp; 3BD</t>
        </is>
      </c>
    </row>
    <row r="4" ht="18" customFormat="1" customHeight="1" s="273">
      <c r="A4" s="297" t="inlineStr">
        <is>
          <t>904 Doak Street, Thomasville, NC 27360  |  FY2026 FMR: 1BD $704 / 2BD $964 / 3BD $1,448 / 4BD $1,673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1BD
50% AMI</t>
        </is>
      </c>
      <c r="K7" s="300" t="inlineStr">
        <is>
          <t>1BD
60% AMI</t>
        </is>
      </c>
      <c r="L7" s="300" t="inlineStr">
        <is>
          <t>1BD
FMR</t>
        </is>
      </c>
      <c r="M7" s="301" t="inlineStr">
        <is>
          <t>1BD -
Actual</t>
        </is>
      </c>
      <c r="N7" s="300" t="inlineStr">
        <is>
          <t>2BD
50% AMI</t>
        </is>
      </c>
      <c r="O7" s="300" t="inlineStr">
        <is>
          <t>2BD
60% AMI</t>
        </is>
      </c>
      <c r="P7" s="300" t="inlineStr">
        <is>
          <t>2BD
FMR</t>
        </is>
      </c>
      <c r="Q7" s="301" t="inlineStr">
        <is>
          <t>2BD -
Actual</t>
        </is>
      </c>
      <c r="R7" s="300" t="inlineStr">
        <is>
          <t>3BD
50% AMI</t>
        </is>
      </c>
      <c r="S7" s="300" t="inlineStr">
        <is>
          <t>3BD
60% AMI</t>
        </is>
      </c>
      <c r="T7" s="300" t="inlineStr">
        <is>
          <t>3BD
FMR</t>
        </is>
      </c>
      <c r="U7" s="301" t="inlineStr">
        <is>
          <t>3BD -
Actual</t>
        </is>
      </c>
      <c r="V7" s="300" t="inlineStr">
        <is>
          <t>4BD
50% AMI</t>
        </is>
      </c>
      <c r="W7" s="300" t="inlineStr">
        <is>
          <t>4BD
60% AMI</t>
        </is>
      </c>
      <c r="X7" s="300" t="inlineStr">
        <is>
          <t>4BD
FMR</t>
        </is>
      </c>
      <c r="Y7" s="301" t="inlineStr">
        <is>
          <t>4BD -
Actual</t>
        </is>
      </c>
      <c r="Z7" s="300" t="inlineStr">
        <is>
          <t>Units</t>
        </is>
      </c>
      <c r="AA7" s="300" t="inlineStr">
        <is>
          <t>Yr Built</t>
        </is>
      </c>
      <c r="AB7" s="300" t="inlineStr">
        <is>
          <t>Yr Diff</t>
        </is>
      </c>
      <c r="AC7" s="300" t="inlineStr">
        <is>
          <t>Utils
Incl.</t>
        </is>
      </c>
      <c r="AD7" s="300" t="inlineStr">
        <is>
          <t>Pet
Friendly</t>
        </is>
      </c>
      <c r="AE7" s="300" t="inlineStr">
        <is>
          <t>Gated</t>
        </is>
      </c>
      <c r="AF7" s="300" t="inlineStr">
        <is>
          <t>Pool</t>
        </is>
      </c>
      <c r="AG7" s="300" t="inlineStr">
        <is>
          <t>W/D
In-Unit</t>
        </is>
      </c>
      <c r="AH7" s="301" t="inlineStr">
        <is>
          <t>Competition Level</t>
        </is>
      </c>
      <c r="AI7" s="300" t="inlineStr">
        <is>
          <t>Notes / Why Competitive</t>
        </is>
      </c>
      <c r="AJ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Thomasville Church Homes (SUBJECT)</t>
        </is>
      </c>
      <c r="E8" s="304" t="inlineStr">
        <is>
          <t>904 Doak Street</t>
        </is>
      </c>
      <c r="F8" s="305" t="inlineStr">
        <is>
          <t>Thomasville</t>
        </is>
      </c>
      <c r="G8" s="305" t="inlineStr">
        <is>
          <t>NC</t>
        </is>
      </c>
      <c r="H8" s="305" t="inlineStr">
        <is>
          <t>27360</t>
        </is>
      </c>
      <c r="I8" s="305" t="inlineStr">
        <is>
          <t>0.0 mi</t>
        </is>
      </c>
      <c r="J8" s="305" t="inlineStr">
        <is>
          <t>$2,512</t>
        </is>
      </c>
      <c r="K8" s="305" t="inlineStr">
        <is>
          <t>$3,015</t>
        </is>
      </c>
      <c r="L8" s="305" t="inlineStr">
        <is>
          <t>$704</t>
        </is>
      </c>
      <c r="M8" s="396">
        <f>'Current Rents'!D51</f>
        <v/>
      </c>
      <c r="N8" s="305" t="inlineStr">
        <is>
          <t>$3,012</t>
        </is>
      </c>
      <c r="O8" s="305" t="inlineStr">
        <is>
          <t>$3,615</t>
        </is>
      </c>
      <c r="P8" s="305" t="inlineStr">
        <is>
          <t>$964</t>
        </is>
      </c>
      <c r="Q8" s="396">
        <f>'Current Rents'!E51</f>
        <v/>
      </c>
      <c r="R8" s="305" t="inlineStr">
        <is>
          <t>$3,345</t>
        </is>
      </c>
      <c r="S8" s="305" t="inlineStr">
        <is>
          <t>$4,015</t>
        </is>
      </c>
      <c r="T8" s="305" t="inlineStr">
        <is>
          <t>$1,448</t>
        </is>
      </c>
      <c r="U8" s="396">
        <f>'Current Rents'!F51</f>
        <v/>
      </c>
      <c r="V8" s="305" t="inlineStr">
        <is>
          <t>$3,616</t>
        </is>
      </c>
      <c r="W8" s="305" t="inlineStr">
        <is>
          <t>$4,340</t>
        </is>
      </c>
      <c r="X8" s="305" t="inlineStr">
        <is>
          <t>$1,673</t>
        </is>
      </c>
      <c r="Y8" s="396">
        <f>'Current Rents'!G51</f>
        <v/>
      </c>
      <c r="Z8" s="305" t="inlineStr">
        <is>
          <t>100</t>
        </is>
      </c>
      <c r="AA8" s="305" t="inlineStr">
        <is>
          <t>1975</t>
        </is>
      </c>
      <c r="AB8" s="305" t="n">
        <v>0</v>
      </c>
      <c r="AC8" s="305" t="inlineStr">
        <is>
          <t>Yes</t>
        </is>
      </c>
      <c r="AD8" s="305" t="inlineStr">
        <is>
          <t>No</t>
        </is>
      </c>
      <c r="AE8" s="305" t="inlineStr">
        <is>
          <t>No</t>
        </is>
      </c>
      <c r="AF8" s="305" t="inlineStr">
        <is>
          <t>No</t>
        </is>
      </c>
      <c r="AG8" s="305" t="inlineStr">
        <is>
          <t>No</t>
        </is>
      </c>
      <c r="AH8" s="303" t="inlineStr">
        <is>
          <t>SUBJECT</t>
        </is>
      </c>
      <c r="AI8" s="307" t="inlineStr">
        <is>
          <t>100 units | Section 8/HUD property. Year built: 1975. Subject property for market context.</t>
        </is>
      </c>
      <c r="AJ8" s="304" t="inlineStr">
        <is>
          <t>Apartment Corp Records</t>
        </is>
      </c>
    </row>
    <row r="9" ht="21.75" customFormat="1" customHeight="1" s="273">
      <c r="A9" s="308" t="inlineStr">
        <is>
          <t>1</t>
        </is>
      </c>
      <c r="B9" s="309" t="inlineStr">
        <is>
          <t>AFFORDABLE</t>
        </is>
      </c>
      <c r="C9" s="310" t="inlineStr">
        <is>
          <t>High Point Housing Authority - Southside Homes</t>
        </is>
      </c>
      <c r="E9" s="311" t="inlineStr">
        <is>
          <t>1000 S Main St</t>
        </is>
      </c>
      <c r="F9" s="308" t="inlineStr">
        <is>
          <t>High Point</t>
        </is>
      </c>
      <c r="G9" s="308" t="inlineStr">
        <is>
          <t>NC</t>
        </is>
      </c>
      <c r="H9" s="308" t="inlineStr">
        <is>
          <t>27260</t>
        </is>
      </c>
      <c r="I9" s="308" t="inlineStr">
        <is>
          <t>12.0 mi</t>
        </is>
      </c>
      <c r="J9" s="308" t="inlineStr">
        <is>
          <t>$2,512</t>
        </is>
      </c>
      <c r="K9" s="308" t="inlineStr">
        <is>
          <t>$3,015</t>
        </is>
      </c>
      <c r="L9" s="308" t="inlineStr">
        <is>
          <t>$704</t>
        </is>
      </c>
      <c r="M9" s="308" t="inlineStr">
        <is>
          <t>Not Listed</t>
        </is>
      </c>
      <c r="N9" s="308" t="inlineStr">
        <is>
          <t>$3,012</t>
        </is>
      </c>
      <c r="O9" s="308" t="inlineStr">
        <is>
          <t>$3,615</t>
        </is>
      </c>
      <c r="P9" s="308" t="inlineStr">
        <is>
          <t>$964</t>
        </is>
      </c>
      <c r="Q9" s="308" t="inlineStr">
        <is>
          <t>Not Listed</t>
        </is>
      </c>
      <c r="R9" s="308" t="inlineStr">
        <is>
          <t>$3,345</t>
        </is>
      </c>
      <c r="S9" s="308" t="inlineStr">
        <is>
          <t>$4,015</t>
        </is>
      </c>
      <c r="T9" s="308" t="inlineStr">
        <is>
          <t>$1,448</t>
        </is>
      </c>
      <c r="U9" s="308" t="inlineStr">
        <is>
          <t>Not Listed</t>
        </is>
      </c>
      <c r="V9" s="308" t="inlineStr">
        <is>
          <t>$3,616</t>
        </is>
      </c>
      <c r="W9" s="308" t="inlineStr">
        <is>
          <t>$4,340</t>
        </is>
      </c>
      <c r="X9" s="308" t="inlineStr">
        <is>
          <t>$1,673</t>
        </is>
      </c>
      <c r="Y9" s="308" t="inlineStr">
        <is>
          <t>Not Listed</t>
        </is>
      </c>
      <c r="Z9" s="308" t="inlineStr">
        <is>
          <t>100</t>
        </is>
      </c>
      <c r="AA9" s="308" t="inlineStr">
        <is>
          <t>1975</t>
        </is>
      </c>
      <c r="AB9" s="308" t="inlineStr">
        <is>
          <t>0</t>
        </is>
      </c>
      <c r="AC9" s="308" t="inlineStr">
        <is>
          <t>Yes</t>
        </is>
      </c>
      <c r="AD9" s="308" t="inlineStr">
        <is>
          <t>No</t>
        </is>
      </c>
      <c r="AE9" s="308" t="inlineStr">
        <is>
          <t>No</t>
        </is>
      </c>
      <c r="AF9" s="308" t="inlineStr">
        <is>
          <t>No</t>
        </is>
      </c>
      <c r="AG9" s="308" t="inlineStr">
        <is>
          <t>No</t>
        </is>
      </c>
      <c r="AH9" s="312" t="inlineStr">
        <is>
          <t>HIGH</t>
        </is>
      </c>
      <c r="AI9" s="313" t="inlineStr">
        <is>
          <t>Affordable Comp #1: Section 8/HUD property, 1975 vintage (0 yr diff), 100 units, 12.0 mi from subject. Same income-eligible renter pool.</t>
        </is>
      </c>
      <c r="AJ9" s="311" t="inlineStr">
        <is>
          <t>High Point Housing Authority</t>
        </is>
      </c>
    </row>
    <row r="10" ht="21.75" customFormat="1" customHeight="1" s="273">
      <c r="A10" s="308" t="inlineStr">
        <is>
          <t>2</t>
        </is>
      </c>
      <c r="B10" s="309" t="inlineStr">
        <is>
          <t>AFFORDABLE</t>
        </is>
      </c>
      <c r="C10" s="310" t="inlineStr">
        <is>
          <t>Lexington Manor Apartments</t>
        </is>
      </c>
      <c r="E10" s="311" t="inlineStr">
        <is>
          <t>600 W Center St Ext</t>
        </is>
      </c>
      <c r="F10" s="308" t="inlineStr">
        <is>
          <t>Lexington</t>
        </is>
      </c>
      <c r="G10" s="308" t="inlineStr">
        <is>
          <t>NC</t>
        </is>
      </c>
      <c r="H10" s="308" t="inlineStr">
        <is>
          <t>27292</t>
        </is>
      </c>
      <c r="I10" s="308" t="inlineStr">
        <is>
          <t>10.5 mi</t>
        </is>
      </c>
      <c r="J10" s="308" t="inlineStr">
        <is>
          <t>$2,512</t>
        </is>
      </c>
      <c r="K10" s="308" t="inlineStr">
        <is>
          <t>$3,015</t>
        </is>
      </c>
      <c r="L10" s="308" t="inlineStr">
        <is>
          <t>$704</t>
        </is>
      </c>
      <c r="M10" s="308" t="inlineStr">
        <is>
          <t>Not Listed</t>
        </is>
      </c>
      <c r="N10" s="308" t="inlineStr">
        <is>
          <t>$3,012</t>
        </is>
      </c>
      <c r="O10" s="308" t="inlineStr">
        <is>
          <t>$3,615</t>
        </is>
      </c>
      <c r="P10" s="308" t="inlineStr">
        <is>
          <t>$964</t>
        </is>
      </c>
      <c r="Q10" s="308" t="inlineStr">
        <is>
          <t>Not Listed</t>
        </is>
      </c>
      <c r="R10" s="308" t="inlineStr">
        <is>
          <t>$3,345</t>
        </is>
      </c>
      <c r="S10" s="308" t="inlineStr">
        <is>
          <t>$4,015</t>
        </is>
      </c>
      <c r="T10" s="308" t="inlineStr">
        <is>
          <t>$1,448</t>
        </is>
      </c>
      <c r="U10" s="308" t="inlineStr">
        <is>
          <t>Not Listed</t>
        </is>
      </c>
      <c r="V10" s="308" t="inlineStr">
        <is>
          <t>$3,616</t>
        </is>
      </c>
      <c r="W10" s="308" t="inlineStr">
        <is>
          <t>$4,340</t>
        </is>
      </c>
      <c r="X10" s="308" t="inlineStr">
        <is>
          <t>$1,673</t>
        </is>
      </c>
      <c r="Y10" s="308" t="inlineStr">
        <is>
          <t>Not Listed</t>
        </is>
      </c>
      <c r="Z10" s="308" t="inlineStr">
        <is>
          <t>96</t>
        </is>
      </c>
      <c r="AA10" s="308" t="inlineStr">
        <is>
          <t>1976</t>
        </is>
      </c>
      <c r="AB10" s="308" t="inlineStr">
        <is>
          <t>1</t>
        </is>
      </c>
      <c r="AC10" s="308" t="inlineStr">
        <is>
          <t>Yes</t>
        </is>
      </c>
      <c r="AD10" s="308" t="inlineStr">
        <is>
          <t>No</t>
        </is>
      </c>
      <c r="AE10" s="308" t="inlineStr">
        <is>
          <t>No</t>
        </is>
      </c>
      <c r="AF10" s="308" t="inlineStr">
        <is>
          <t>No</t>
        </is>
      </c>
      <c r="AG10" s="308" t="inlineStr">
        <is>
          <t>No</t>
        </is>
      </c>
      <c r="AH10" s="312" t="inlineStr">
        <is>
          <t>HIGH</t>
        </is>
      </c>
      <c r="AI10" s="313" t="inlineStr">
        <is>
          <t>Affordable Comp #2: Section 8/HUD property, 1976 vintage (1 yr diff), 96 units, 10.5 mi from subject. Same income-eligible renter pool.</t>
        </is>
      </c>
      <c r="AJ10" s="311" t="inlineStr">
        <is>
          <t>HUD Multifamily Assisted Housing</t>
        </is>
      </c>
    </row>
    <row r="11" ht="21.75" customFormat="1" customHeight="1" s="273">
      <c r="A11" s="308" t="inlineStr">
        <is>
          <t>3</t>
        </is>
      </c>
      <c r="B11" s="309" t="inlineStr">
        <is>
          <t>AFFORDABLE</t>
        </is>
      </c>
      <c r="C11" s="310" t="inlineStr">
        <is>
          <t>Asheboro Gardens</t>
        </is>
      </c>
      <c r="E11" s="311" t="inlineStr">
        <is>
          <t>400 Sunset Ave</t>
        </is>
      </c>
      <c r="F11" s="308" t="inlineStr">
        <is>
          <t>Asheboro</t>
        </is>
      </c>
      <c r="G11" s="308" t="inlineStr">
        <is>
          <t>NC</t>
        </is>
      </c>
      <c r="H11" s="308" t="inlineStr">
        <is>
          <t>27203</t>
        </is>
      </c>
      <c r="I11" s="308" t="inlineStr">
        <is>
          <t>28.0 mi</t>
        </is>
      </c>
      <c r="J11" s="308" t="inlineStr">
        <is>
          <t>$2,512</t>
        </is>
      </c>
      <c r="K11" s="308" t="inlineStr">
        <is>
          <t>$3,015</t>
        </is>
      </c>
      <c r="L11" s="308" t="inlineStr">
        <is>
          <t>$704</t>
        </is>
      </c>
      <c r="M11" s="308" t="inlineStr">
        <is>
          <t>Not Listed</t>
        </is>
      </c>
      <c r="N11" s="308" t="inlineStr">
        <is>
          <t>$3,012</t>
        </is>
      </c>
      <c r="O11" s="308" t="inlineStr">
        <is>
          <t>$3,615</t>
        </is>
      </c>
      <c r="P11" s="308" t="inlineStr">
        <is>
          <t>$964</t>
        </is>
      </c>
      <c r="Q11" s="308" t="inlineStr">
        <is>
          <t>Not Listed</t>
        </is>
      </c>
      <c r="R11" s="308" t="inlineStr">
        <is>
          <t>$3,345</t>
        </is>
      </c>
      <c r="S11" s="308" t="inlineStr">
        <is>
          <t>$4,015</t>
        </is>
      </c>
      <c r="T11" s="308" t="inlineStr">
        <is>
          <t>$1,448</t>
        </is>
      </c>
      <c r="U11" s="308" t="inlineStr">
        <is>
          <t>Not Listed</t>
        </is>
      </c>
      <c r="V11" s="308" t="inlineStr">
        <is>
          <t>$3,616</t>
        </is>
      </c>
      <c r="W11" s="308" t="inlineStr">
        <is>
          <t>$4,340</t>
        </is>
      </c>
      <c r="X11" s="308" t="inlineStr">
        <is>
          <t>$1,673</t>
        </is>
      </c>
      <c r="Y11" s="308" t="inlineStr">
        <is>
          <t>Not Listed</t>
        </is>
      </c>
      <c r="Z11" s="308" t="inlineStr">
        <is>
          <t>104</t>
        </is>
      </c>
      <c r="AA11" s="308" t="inlineStr">
        <is>
          <t>1974</t>
        </is>
      </c>
      <c r="AB11" s="308" t="inlineStr">
        <is>
          <t>1</t>
        </is>
      </c>
      <c r="AC11" s="308" t="inlineStr">
        <is>
          <t>Yes</t>
        </is>
      </c>
      <c r="AD11" s="308" t="inlineStr">
        <is>
          <t>No</t>
        </is>
      </c>
      <c r="AE11" s="308" t="inlineStr">
        <is>
          <t>No</t>
        </is>
      </c>
      <c r="AF11" s="308" t="inlineStr">
        <is>
          <t>No</t>
        </is>
      </c>
      <c r="AG11" s="308" t="inlineStr">
        <is>
          <t>No</t>
        </is>
      </c>
      <c r="AH11" s="314" t="inlineStr">
        <is>
          <t>MODERATE-HIGH</t>
        </is>
      </c>
      <c r="AI11" s="313" t="inlineStr">
        <is>
          <t>Affordable Comp #3: Section 8/HUD property, 1974 vintage (1 yr diff), 104 units, 28.0 mi from subject. Same income-eligible renter pool.</t>
        </is>
      </c>
      <c r="AJ11" s="311" t="inlineStr">
        <is>
          <t>HUD Multifamily Assisted Housing</t>
        </is>
      </c>
    </row>
    <row r="12" ht="21.75" customFormat="1" customHeight="1" s="273">
      <c r="A12" s="308" t="inlineStr">
        <is>
          <t>4</t>
        </is>
      </c>
      <c r="B12" s="309" t="inlineStr">
        <is>
          <t>AFFORDABLE</t>
        </is>
      </c>
      <c r="C12" s="310" t="inlineStr">
        <is>
          <t>Thomasville Housing Authority - Sunrise Homes</t>
        </is>
      </c>
      <c r="E12" s="311" t="inlineStr">
        <is>
          <t>200 Sunrise Dr</t>
        </is>
      </c>
      <c r="F12" s="308" t="inlineStr">
        <is>
          <t>Thomasville</t>
        </is>
      </c>
      <c r="G12" s="308" t="inlineStr">
        <is>
          <t>NC</t>
        </is>
      </c>
      <c r="H12" s="308" t="inlineStr">
        <is>
          <t>27360</t>
        </is>
      </c>
      <c r="I12" s="308" t="inlineStr">
        <is>
          <t>1.5 mi</t>
        </is>
      </c>
      <c r="J12" s="308" t="inlineStr">
        <is>
          <t>$2,512</t>
        </is>
      </c>
      <c r="K12" s="308" t="inlineStr">
        <is>
          <t>$3,015</t>
        </is>
      </c>
      <c r="L12" s="308" t="inlineStr">
        <is>
          <t>$704</t>
        </is>
      </c>
      <c r="M12" s="308" t="inlineStr">
        <is>
          <t>Not Listed</t>
        </is>
      </c>
      <c r="N12" s="308" t="inlineStr">
        <is>
          <t>$3,012</t>
        </is>
      </c>
      <c r="O12" s="308" t="inlineStr">
        <is>
          <t>$3,615</t>
        </is>
      </c>
      <c r="P12" s="308" t="inlineStr">
        <is>
          <t>$964</t>
        </is>
      </c>
      <c r="Q12" s="308" t="inlineStr">
        <is>
          <t>Not Listed</t>
        </is>
      </c>
      <c r="R12" s="308" t="inlineStr">
        <is>
          <t>$3,345</t>
        </is>
      </c>
      <c r="S12" s="308" t="inlineStr">
        <is>
          <t>$4,015</t>
        </is>
      </c>
      <c r="T12" s="308" t="inlineStr">
        <is>
          <t>$1,448</t>
        </is>
      </c>
      <c r="U12" s="308" t="inlineStr">
        <is>
          <t>Not Listed</t>
        </is>
      </c>
      <c r="V12" s="308" t="inlineStr">
        <is>
          <t>$3,616</t>
        </is>
      </c>
      <c r="W12" s="308" t="inlineStr">
        <is>
          <t>$4,340</t>
        </is>
      </c>
      <c r="X12" s="308" t="inlineStr">
        <is>
          <t>$1,673</t>
        </is>
      </c>
      <c r="Y12" s="308" t="inlineStr">
        <is>
          <t>Not Listed</t>
        </is>
      </c>
      <c r="Z12" s="308" t="inlineStr">
        <is>
          <t>96</t>
        </is>
      </c>
      <c r="AA12" s="308" t="inlineStr">
        <is>
          <t>1976</t>
        </is>
      </c>
      <c r="AB12" s="308" t="inlineStr">
        <is>
          <t>1</t>
        </is>
      </c>
      <c r="AC12" s="308" t="inlineStr">
        <is>
          <t>Yes</t>
        </is>
      </c>
      <c r="AD12" s="308" t="inlineStr">
        <is>
          <t>No</t>
        </is>
      </c>
      <c r="AE12" s="308" t="inlineStr">
        <is>
          <t>No</t>
        </is>
      </c>
      <c r="AF12" s="308" t="inlineStr">
        <is>
          <t>No</t>
        </is>
      </c>
      <c r="AG12" s="308" t="inlineStr">
        <is>
          <t>No</t>
        </is>
      </c>
      <c r="AH12" s="312" t="inlineStr">
        <is>
          <t>HIGH</t>
        </is>
      </c>
      <c r="AI12" s="313" t="inlineStr">
        <is>
          <t>Affordable Comp #4: Public Housing/HUD property, 1976 vintage (1 yr diff), 96 units, 1.5 mi from subject. Same income-eligible renter pool.</t>
        </is>
      </c>
      <c r="AJ12" s="311" t="inlineStr">
        <is>
          <t>Thomasville Housing Authority</t>
        </is>
      </c>
    </row>
    <row r="13" ht="24.75" customFormat="1" customHeight="1" s="273">
      <c r="A13" s="315" t="inlineStr">
        <is>
          <t>1</t>
        </is>
      </c>
      <c r="B13" s="316" t="inlineStr">
        <is>
          <t>MARKET RATE</t>
        </is>
      </c>
      <c r="C13" s="317" t="inlineStr">
        <is>
          <t>Southgate Gardens</t>
        </is>
      </c>
      <c r="D13" s="318" t="inlineStr">
        <is>
          <t>COMPETITION</t>
        </is>
      </c>
      <c r="E13" s="319" t="inlineStr">
        <is>
          <t>205 Arthur Dr</t>
        </is>
      </c>
      <c r="F13" s="320" t="inlineStr">
        <is>
          <t>Thomasville</t>
        </is>
      </c>
      <c r="G13" s="320" t="inlineStr">
        <is>
          <t>NC</t>
        </is>
      </c>
      <c r="H13" s="320" t="n"/>
      <c r="I13" s="320" t="inlineStr">
        <is>
          <t>0.5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inlineStr">
        <is>
          <t>$704</t>
        </is>
      </c>
      <c r="M13" s="397" t="n">
        <v>850</v>
      </c>
      <c r="N13" s="320" t="inlineStr">
        <is>
          <t>N/A (Market Rate)</t>
        </is>
      </c>
      <c r="O13" s="320" t="inlineStr">
        <is>
          <t>N/A (Market Rate)</t>
        </is>
      </c>
      <c r="P13" s="320" t="inlineStr">
        <is>
          <t>$964</t>
        </is>
      </c>
      <c r="Q13" s="397" t="n">
        <v>955</v>
      </c>
      <c r="R13" s="320" t="inlineStr">
        <is>
          <t>N/A (Market Rate)</t>
        </is>
      </c>
      <c r="S13" s="320" t="inlineStr">
        <is>
          <t>N/A (Market Rate)</t>
        </is>
      </c>
      <c r="T13" s="320" t="inlineStr">
        <is>
          <t>$1,448</t>
        </is>
      </c>
      <c r="U13" s="397" t="n">
        <v>1165</v>
      </c>
      <c r="V13" s="320" t="inlineStr">
        <is>
          <t>N/A (Market Rate)</t>
        </is>
      </c>
      <c r="W13" s="320" t="inlineStr">
        <is>
          <t>N/A (Market Rate)</t>
        </is>
      </c>
      <c r="X13" s="320" t="inlineStr">
        <is>
          <t>$1,673</t>
        </is>
      </c>
      <c r="Y13" s="397" t="n">
        <v>1700</v>
      </c>
      <c r="Z13" s="320" t="inlineStr">
        <is>
          <t>N/A</t>
        </is>
      </c>
      <c r="AA13" s="320" t="inlineStr">
        <is>
          <t>1975</t>
        </is>
      </c>
      <c r="AB13" s="320" t="inlineStr">
        <is>
          <t>0</t>
        </is>
      </c>
      <c r="AC13" s="320" t="inlineStr">
        <is>
          <t>Varies</t>
        </is>
      </c>
      <c r="AD13" s="320" t="inlineStr">
        <is>
          <t>Varies</t>
        </is>
      </c>
      <c r="AE13" s="320" t="inlineStr">
        <is>
          <t>Varies</t>
        </is>
      </c>
      <c r="AF13" s="320" t="inlineStr">
        <is>
          <t>Varies</t>
        </is>
      </c>
      <c r="AG13" s="320" t="inlineStr">
        <is>
          <t>Varies</t>
        </is>
      </c>
      <c r="AH13" s="323" t="inlineStr">
        <is>
          <t>HIGH</t>
        </is>
      </c>
      <c r="AI13" s="324" t="inlineStr">
        <is>
          <t>Market Rate Comp #1: No income restrictions, 1975 vintage (0 yr diff), N/A units, N/A from subject. Shows market-rate rents vs. affordable housing discount.</t>
        </is>
      </c>
      <c r="AJ13" s="319" t="inlineStr">
        <is>
          <t>HUD FY2026 FMR - Davidson County, NC (limited market rate listings for 1965-1985 vintage)</t>
        </is>
      </c>
    </row>
    <row r="14" ht="28.5" customFormat="1" customHeight="1" s="273">
      <c r="A14" s="325" t="inlineStr">
        <is>
          <t>—</t>
        </is>
      </c>
      <c r="B14" s="326" t="inlineStr">
        <is>
          <t>BENCHMARK</t>
        </is>
      </c>
      <c r="C14" s="327" t="inlineStr">
        <is>
          <t>FY2026 FMR — Thomasville, NC</t>
        </is>
      </c>
      <c r="E14" s="325" t="inlineStr">
        <is>
          <t>N/A</t>
        </is>
      </c>
      <c r="F14" s="325" t="inlineStr">
        <is>
          <t>Thomasville</t>
        </is>
      </c>
      <c r="G14" s="325" t="inlineStr">
        <is>
          <t>NC</t>
        </is>
      </c>
      <c r="H14" s="325" t="n"/>
      <c r="I14" s="325" t="n"/>
      <c r="J14" s="325" t="inlineStr">
        <is>
          <t>N/A</t>
        </is>
      </c>
      <c r="K14" s="325" t="inlineStr">
        <is>
          <t>N/A</t>
        </is>
      </c>
      <c r="L14" s="325" t="inlineStr">
        <is>
          <t>$704</t>
        </is>
      </c>
      <c r="M14" s="325" t="inlineStr">
        <is>
          <t>$704</t>
        </is>
      </c>
      <c r="N14" s="325" t="inlineStr">
        <is>
          <t>N/A</t>
        </is>
      </c>
      <c r="O14" s="325" t="inlineStr">
        <is>
          <t>N/A</t>
        </is>
      </c>
      <c r="P14" s="325" t="inlineStr">
        <is>
          <t>$964</t>
        </is>
      </c>
      <c r="Q14" s="325" t="inlineStr">
        <is>
          <t>$964</t>
        </is>
      </c>
      <c r="R14" s="325" t="inlineStr">
        <is>
          <t>N/A</t>
        </is>
      </c>
      <c r="S14" s="325" t="inlineStr">
        <is>
          <t>N/A</t>
        </is>
      </c>
      <c r="T14" s="325" t="inlineStr">
        <is>
          <t>$1,448</t>
        </is>
      </c>
      <c r="U14" s="325" t="inlineStr">
        <is>
          <t>$1,448</t>
        </is>
      </c>
      <c r="V14" s="325" t="inlineStr">
        <is>
          <t>N/A</t>
        </is>
      </c>
      <c r="W14" s="325" t="inlineStr">
        <is>
          <t>N/A</t>
        </is>
      </c>
      <c r="X14" s="325" t="inlineStr">
        <is>
          <t>$1,673</t>
        </is>
      </c>
      <c r="Y14" s="325" t="inlineStr">
        <is>
          <t>$1,673</t>
        </is>
      </c>
      <c r="Z14" s="325" t="n"/>
      <c r="AA14" s="325" t="n"/>
      <c r="AB14" s="325" t="n"/>
      <c r="AC14" s="325" t="n"/>
      <c r="AD14" s="325" t="n"/>
      <c r="AE14" s="325" t="n"/>
      <c r="AF14" s="325" t="n"/>
      <c r="AG14" s="325" t="n"/>
      <c r="AH14" s="316" t="inlineStr">
        <is>
          <t>BENCHMARK</t>
        </is>
      </c>
      <c r="AI14" s="328" t="inlineStr">
        <is>
          <t>HUD Fair Market Rent for Thomasville, NC metro area, FY2026.</t>
        </is>
      </c>
      <c r="AJ14" s="328" t="inlineStr">
        <is>
          <t>HUD FMR Database (huduser.gov)</t>
        </is>
      </c>
    </row>
    <row r="15" ht="34.5" customFormat="1" customHeight="1" s="273">
      <c r="A15" s="329" t="inlineStr">
        <is>
          <t>—</t>
        </is>
      </c>
      <c r="B15" s="326" t="inlineStr">
        <is>
          <t>BENCHMARK</t>
        </is>
      </c>
      <c r="C15" s="330" t="inlineStr">
        <is>
          <t>Metro Market Avg — Thomasville, NC (Apartments.com, Jun 2026)</t>
        </is>
      </c>
      <c r="E15" s="329" t="inlineStr">
        <is>
          <t>N/A</t>
        </is>
      </c>
      <c r="F15" s="329" t="inlineStr">
        <is>
          <t>Thomasville</t>
        </is>
      </c>
      <c r="G15" s="329" t="inlineStr">
        <is>
          <t>NC</t>
        </is>
      </c>
      <c r="H15" s="329" t="n"/>
      <c r="I15" s="329" t="n"/>
      <c r="J15" s="329" t="n"/>
      <c r="K15" s="329" t="n"/>
      <c r="L15" s="329" t="n"/>
      <c r="M15" s="398" t="n">
        <v>850</v>
      </c>
      <c r="N15" s="329" t="n"/>
      <c r="O15" s="329" t="n"/>
      <c r="P15" s="329" t="n"/>
      <c r="Q15" s="398" t="n">
        <v>955</v>
      </c>
      <c r="R15" s="329" t="n"/>
      <c r="S15" s="329" t="n"/>
      <c r="T15" s="329" t="n"/>
      <c r="U15" s="398" t="n">
        <v>1165</v>
      </c>
      <c r="V15" s="329" t="n"/>
      <c r="W15" s="329" t="n"/>
      <c r="X15" s="329" t="n"/>
      <c r="Y15" s="398" t="n">
        <v>1700</v>
      </c>
      <c r="Z15" s="329" t="n"/>
      <c r="AA15" s="329" t="n"/>
      <c r="AB15" s="329" t="n"/>
      <c r="AC15" s="329" t="n"/>
      <c r="AD15" s="329" t="n"/>
      <c r="AE15" s="329" t="n"/>
      <c r="AF15" s="329" t="n"/>
      <c r="AG15" s="329" t="n"/>
      <c r="AH15" s="316" t="inlineStr">
        <is>
          <t>BENCHMARK</t>
        </is>
      </c>
      <c r="AI15" s="332" t="inlineStr">
        <is>
          <t>Average of 1 market-rate comps. Apartments.com verified, Jun 2026.</t>
        </is>
      </c>
      <c r="AJ15" s="332" t="inlineStr">
        <is>
          <t>Apartments.com + Market Estimate</t>
        </is>
      </c>
    </row>
    <row r="17" ht="14.25" customFormat="1" customHeight="1" s="273">
      <c r="A17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Format="1" customHeight="1" s="273">
      <c r="A19" s="334" t="inlineStr">
        <is>
          <t>CURRENT RENT vs. MARKET AVERAGE</t>
        </is>
      </c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3" t="n"/>
      <c r="AC19" s="273" t="n"/>
      <c r="AD19" s="273" t="n"/>
      <c r="AE19" s="273" t="n"/>
      <c r="AF19" s="273" t="n"/>
      <c r="AG19" s="273" t="n"/>
      <c r="AH19" s="273" t="n"/>
      <c r="AI19" s="273" t="n"/>
      <c r="AJ19" s="273" t="n"/>
    </row>
    <row r="20" ht="15.75" customFormat="1" customHeight="1" s="273">
      <c r="A20" s="335" t="inlineStr">
        <is>
          <t>Market Average = Avg of Actual Advertised Rents from 1 Market-Rate Comps (Apartments.com verified)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  <c r="AC20" s="273" t="n"/>
      <c r="AD20" s="273" t="n"/>
      <c r="AE20" s="273" t="n"/>
      <c r="AF20" s="273" t="n"/>
      <c r="AG20" s="273" t="n"/>
      <c r="AH20" s="273" t="n"/>
      <c r="AI20" s="273" t="n"/>
      <c r="AJ20" s="273" t="n"/>
    </row>
    <row r="21" ht="15.75" customFormat="1" customHeight="1" s="273">
      <c r="A21" s="273" t="n"/>
      <c r="B21" s="336" t="inlineStr">
        <is>
          <t>Current Rents</t>
        </is>
      </c>
      <c r="C21" s="336" t="inlineStr">
        <is>
          <t>Market Avg</t>
        </is>
      </c>
      <c r="E21" s="336" t="inlineStr">
        <is>
          <t>Difference</t>
        </is>
      </c>
      <c r="F21" s="273" t="n"/>
      <c r="G21" s="273" t="n"/>
      <c r="H21" s="273" t="n"/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  <c r="AC21" s="273" t="n"/>
      <c r="AD21" s="273" t="n"/>
      <c r="AE21" s="273" t="n"/>
      <c r="AF21" s="273" t="n"/>
      <c r="AG21" s="273" t="n"/>
      <c r="AH21" s="273" t="n"/>
      <c r="AI21" s="273" t="n"/>
      <c r="AJ21" s="273" t="n"/>
    </row>
    <row r="22" ht="20.25" customFormat="1" customHeight="1" s="273">
      <c r="A22" s="337" t="inlineStr">
        <is>
          <t>1BD</t>
        </is>
      </c>
      <c r="B22" s="399">
        <f>'Current Rents'!D51</f>
        <v/>
      </c>
      <c r="C22" s="400" t="n">
        <v>850</v>
      </c>
      <c r="D22" s="273" t="n"/>
      <c r="E22" s="401">
        <f>B22-C22</f>
        <v/>
      </c>
      <c r="F22" s="161">
        <f>IF(E22&lt;-75,"LOOK INTO INCREASING THE RENT!","")</f>
        <v/>
      </c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  <c r="AC22" s="273" t="n"/>
      <c r="AD22" s="273" t="n"/>
      <c r="AE22" s="273" t="n"/>
      <c r="AF22" s="273" t="n"/>
      <c r="AG22" s="273" t="n"/>
      <c r="AH22" s="273" t="n"/>
      <c r="AI22" s="273" t="n"/>
      <c r="AJ22" s="273" t="n"/>
    </row>
    <row r="23" ht="20.25" customFormat="1" customHeight="1" s="273">
      <c r="A23" s="337" t="inlineStr">
        <is>
          <t>2BD</t>
        </is>
      </c>
      <c r="B23" s="399">
        <f>'Current Rents'!E51</f>
        <v/>
      </c>
      <c r="C23" s="400" t="n">
        <v>955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  <c r="AC23" s="273" t="n"/>
      <c r="AD23" s="273" t="n"/>
      <c r="AE23" s="273" t="n"/>
      <c r="AF23" s="273" t="n"/>
      <c r="AG23" s="273" t="n"/>
      <c r="AH23" s="273" t="n"/>
      <c r="AI23" s="273" t="n"/>
      <c r="AJ23" s="273" t="n"/>
    </row>
    <row r="24" ht="20.25" customFormat="1" customHeight="1" s="273">
      <c r="A24" s="337" t="inlineStr">
        <is>
          <t>3BD</t>
        </is>
      </c>
      <c r="B24" s="399">
        <f>'Current Rents'!F51</f>
        <v/>
      </c>
      <c r="C24" s="400" t="n">
        <v>1165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  <c r="AC24" s="273" t="n"/>
      <c r="AD24" s="273" t="n"/>
      <c r="AE24" s="273" t="n"/>
      <c r="AF24" s="273" t="n"/>
      <c r="AG24" s="273" t="n"/>
      <c r="AH24" s="273" t="n"/>
      <c r="AI24" s="273" t="n"/>
      <c r="AJ24" s="273" t="n"/>
    </row>
    <row r="25" ht="20.25" customFormat="1" customHeight="1" s="273">
      <c r="A25" s="337" t="inlineStr">
        <is>
          <t>4BD</t>
        </is>
      </c>
      <c r="B25" s="399">
        <f>'Current Rents'!G51</f>
        <v/>
      </c>
      <c r="C25" s="400" t="n">
        <v>1700</v>
      </c>
      <c r="D25" s="273" t="n"/>
      <c r="E25" s="401">
        <f>B25-C25</f>
        <v/>
      </c>
      <c r="F25" s="161">
        <f>IF(E25&lt;-75,"LOOK INTO INCREASING THE RENT!","")</f>
        <v/>
      </c>
      <c r="G25" s="273" t="n"/>
      <c r="H25" s="273" t="n"/>
      <c r="I25" s="273" t="n"/>
      <c r="J25" s="273" t="n"/>
      <c r="K25" s="273" t="n"/>
      <c r="L25" s="273" t="n"/>
      <c r="M25" s="273" t="n"/>
      <c r="N25" s="273" t="n"/>
      <c r="O25" s="273" t="n"/>
      <c r="P25" s="273" t="n"/>
      <c r="Q25" s="273" t="n"/>
      <c r="R25" s="273" t="n"/>
      <c r="S25" s="273" t="n"/>
      <c r="T25" s="273" t="n"/>
      <c r="U25" s="273" t="n"/>
      <c r="V25" s="273" t="n"/>
      <c r="W25" s="273" t="n"/>
      <c r="X25" s="273" t="n"/>
      <c r="Y25" s="273" t="n"/>
      <c r="Z25" s="273" t="n"/>
      <c r="AA25" s="273" t="n"/>
      <c r="AB25" s="273" t="n"/>
      <c r="AC25" s="273" t="n"/>
      <c r="AD25" s="273" t="n"/>
      <c r="AE25" s="273" t="n"/>
      <c r="AF25" s="273" t="n"/>
      <c r="AG25" s="273" t="n"/>
      <c r="AH25" s="273" t="n"/>
      <c r="AI25" s="273" t="n"/>
      <c r="AJ25" s="273" t="n"/>
    </row>
  </sheetData>
  <mergeCells count="18">
    <mergeCell ref="C12:D12"/>
    <mergeCell ref="A6:AJ6"/>
    <mergeCell ref="C7:D7"/>
    <mergeCell ref="A17:AJ17"/>
    <mergeCell ref="A3:AG3"/>
    <mergeCell ref="C21:D21"/>
    <mergeCell ref="A20:H20"/>
    <mergeCell ref="C15:D15"/>
    <mergeCell ref="C11:D11"/>
    <mergeCell ref="C10:D10"/>
    <mergeCell ref="A4:AJ4"/>
    <mergeCell ref="C14:D14"/>
    <mergeCell ref="A19:H19"/>
    <mergeCell ref="C9:D9"/>
    <mergeCell ref="AH3:AJ3"/>
    <mergeCell ref="D13"/>
    <mergeCell ref="C8:D8"/>
    <mergeCell ref="A5:AJ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4"/>
  <sheetViews>
    <sheetView topLeftCell="A1" workbookViewId="0">
      <pane ySplit="1" topLeftCell="A2" activePane="bottomLeft" state="frozen"/>
      <selection pane="bottomLeft" activeCell="A1" sqref="A1"/>
    </sheetView>
  </sheetViews>
  <sheetFormatPr baseColWidth="8" defaultColWidth="9.140625" defaultRowHeight="15" customHeight="1"/>
  <cols>
    <col width="9.00390625" customWidth="1" style="273" min="1" max="1"/>
    <col width="18.57421875" customWidth="1" style="273" min="2" max="2"/>
    <col width="42.00390625" customWidth="1" style="273" min="3" max="3"/>
    <col width="4.7109375" customWidth="1" style="273" min="4" max="4"/>
    <col width="31.00390625" customWidth="1" style="273" min="5" max="5"/>
    <col width="14.28125" customWidth="1" style="273" min="6" max="6"/>
    <col width="9.28125" customWidth="1" style="273" min="7" max="7"/>
    <col width="13.00390625" customWidth="1" style="273" min="8" max="9"/>
    <col hidden="1" width="7.00390625" customWidth="1" style="273" min="10" max="10"/>
    <col width="13.00390625" customWidth="1" style="273" min="11" max="11"/>
    <col hidden="1" width="5.28125" customWidth="1" style="273" min="12" max="12"/>
    <col width="16.7109375" customWidth="1" style="273" min="13" max="13"/>
    <col hidden="1" width="7.00390625" customWidth="1" style="273" min="14" max="14"/>
    <col width="13.00390625" customWidth="1" style="273" min="15" max="15"/>
    <col hidden="1" width="5.28125" customWidth="1" style="273" min="16" max="16"/>
    <col width="16.7109375" customWidth="1" style="273" min="17" max="17"/>
    <col width="9.421875" customWidth="1" style="273" min="18" max="18"/>
    <col width="13.00390625" customWidth="1" style="273" min="19" max="25"/>
    <col width="24.57421875" customWidth="1" style="273" min="26" max="26"/>
    <col width="55.7109375" customWidth="1" style="273" min="27" max="27"/>
    <col width="13.00390625" customWidth="1" style="273" min="28" max="28"/>
  </cols>
  <sheetData>
    <row r="1" ht="15" customHeight="1" s="344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</row>
    <row r="2" ht="15" customHeight="1" s="344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</row>
    <row r="3" ht="36" customFormat="1" customHeight="1" s="273">
      <c r="A3" s="295" t="inlineStr">
        <is>
          <t>RENT COMPARABLES ANALYSIS  —  CROSSROADS OF LEE'S SUMMIT  |  LEE'S SUMMIT, MO 64064</t>
        </is>
      </c>
      <c r="Z3" s="296" t="inlineStr">
        <is>
          <t>63 - Crossroads  |  ? Units  |  Section 8 / HUD  |  2BD &amp; 3BD</t>
        </is>
      </c>
    </row>
    <row r="4" ht="18" customFormat="1" customHeight="1" s="273">
      <c r="A4" s="297" t="inlineStr">
        <is>
          <t>2200 NE Town Centre Blvd, Lee's Summit, MO 64064  |  FY2026 FMR: 2BD 1420 / 3BD 1850</t>
        </is>
      </c>
    </row>
    <row r="5" ht="14.25" customFormat="1" customHeight="1" s="273">
      <c r="A5" s="298" t="inlineStr">
        <is>
          <t>Data as of June 2026  |  Sources: Apartments.com, CoStar, RentCafe, HUD LIHTC Database, HUD FMR Database, Apartment Corp Records</t>
        </is>
      </c>
    </row>
    <row r="6" ht="25.5" customFormat="1" customHeight="1" s="273">
      <c r="A6" s="299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7" ht="25.5" customFormat="1" customHeight="1" s="273">
      <c r="A7" s="300" t="inlineStr">
        <is>
          <t>Rank</t>
        </is>
      </c>
      <c r="B7" s="300" t="inlineStr">
        <is>
          <t>Type</t>
        </is>
      </c>
      <c r="C7" s="300" t="inlineStr">
        <is>
          <t>Property Name</t>
        </is>
      </c>
      <c r="E7" s="300" t="inlineStr">
        <is>
          <t>Address</t>
        </is>
      </c>
      <c r="F7" s="300" t="inlineStr">
        <is>
          <t>City</t>
        </is>
      </c>
      <c r="G7" s="300" t="inlineStr">
        <is>
          <t>St</t>
        </is>
      </c>
      <c r="H7" s="300" t="inlineStr">
        <is>
          <t>ZIP</t>
        </is>
      </c>
      <c r="I7" s="300" t="inlineStr">
        <is>
          <t>Distance</t>
        </is>
      </c>
      <c r="J7" s="300" t="inlineStr">
        <is>
          <t>2BD
50% AMI</t>
        </is>
      </c>
      <c r="K7" s="300" t="inlineStr">
        <is>
          <t>2BD
60% AMI</t>
        </is>
      </c>
      <c r="L7" s="300" t="inlineStr">
        <is>
          <t>2BD
FMR</t>
        </is>
      </c>
      <c r="M7" s="301" t="inlineStr">
        <is>
          <t>2BD -
Actual</t>
        </is>
      </c>
      <c r="N7" s="300" t="inlineStr">
        <is>
          <t>3BD
50% AMI</t>
        </is>
      </c>
      <c r="O7" s="300" t="inlineStr">
        <is>
          <t>3BD
60% AMI</t>
        </is>
      </c>
      <c r="P7" s="300" t="inlineStr">
        <is>
          <t>3BD
FMR</t>
        </is>
      </c>
      <c r="Q7" s="301" t="inlineStr">
        <is>
          <t>3BD -
Actual</t>
        </is>
      </c>
      <c r="R7" s="300" t="inlineStr">
        <is>
          <t>Units</t>
        </is>
      </c>
      <c r="S7" s="300" t="inlineStr">
        <is>
          <t>Yr Built</t>
        </is>
      </c>
      <c r="T7" s="300" t="inlineStr">
        <is>
          <t>Yr Diff</t>
        </is>
      </c>
      <c r="U7" s="300" t="inlineStr">
        <is>
          <t>Utils
Incl.</t>
        </is>
      </c>
      <c r="V7" s="300" t="inlineStr">
        <is>
          <t>Pet
Friendly</t>
        </is>
      </c>
      <c r="W7" s="300" t="inlineStr">
        <is>
          <t>Gated</t>
        </is>
      </c>
      <c r="X7" s="300" t="inlineStr">
        <is>
          <t>Pool</t>
        </is>
      </c>
      <c r="Y7" s="300" t="inlineStr">
        <is>
          <t>W/D
In-Unit</t>
        </is>
      </c>
      <c r="Z7" s="301" t="inlineStr">
        <is>
          <t>Competition Level</t>
        </is>
      </c>
      <c r="AA7" s="300" t="inlineStr">
        <is>
          <t>Notes / Why Competitive</t>
        </is>
      </c>
      <c r="AB7" s="300" t="inlineStr">
        <is>
          <t>Data Source</t>
        </is>
      </c>
    </row>
    <row r="8" ht="21.75" customFormat="1" customHeight="1" s="273">
      <c r="A8" s="302" t="inlineStr">
        <is>
          <t>★</t>
        </is>
      </c>
      <c r="B8" s="303" t="inlineStr">
        <is>
          <t>SUBJECT</t>
        </is>
      </c>
      <c r="C8" s="304" t="inlineStr">
        <is>
          <t>Crossroads of Lee's Summit (SUBJECT)</t>
        </is>
      </c>
      <c r="E8" s="304" t="inlineStr">
        <is>
          <t>2200 NE Town Centre Blvd</t>
        </is>
      </c>
      <c r="F8" s="305" t="inlineStr">
        <is>
          <t>Lee's Summit</t>
        </is>
      </c>
      <c r="G8" s="305" t="inlineStr">
        <is>
          <t>MO</t>
        </is>
      </c>
      <c r="H8" s="305" t="inlineStr">
        <is>
          <t>64064</t>
        </is>
      </c>
      <c r="I8" s="305" t="inlineStr">
        <is>
          <t>0.0 mi</t>
        </is>
      </c>
      <c r="J8" s="305" t="n">
        <v>807</v>
      </c>
      <c r="K8" s="305" t="n">
        <v>968</v>
      </c>
      <c r="L8" s="305" t="n">
        <v>1420</v>
      </c>
      <c r="M8" s="396">
        <f>'Current Rents'!E52</f>
        <v/>
      </c>
      <c r="N8" s="305" t="n">
        <v>932</v>
      </c>
      <c r="O8" s="305" t="n">
        <v>1118</v>
      </c>
      <c r="P8" s="305" t="n">
        <v>1850</v>
      </c>
      <c r="Q8" s="396">
        <f>'Current Rents'!F52</f>
        <v/>
      </c>
      <c r="R8" s="305" t="n">
        <v>160</v>
      </c>
      <c r="S8" s="305" t="n">
        <v>2001</v>
      </c>
      <c r="T8" s="305" t="n">
        <v>0</v>
      </c>
      <c r="U8" s="305" t="inlineStr">
        <is>
          <t>No</t>
        </is>
      </c>
      <c r="V8" s="305" t="inlineStr">
        <is>
          <t>Yes</t>
        </is>
      </c>
      <c r="W8" s="305" t="inlineStr">
        <is>
          <t>No</t>
        </is>
      </c>
      <c r="X8" s="305" t="inlineStr">
        <is>
          <t>Yes</t>
        </is>
      </c>
      <c r="Y8" s="305" t="inlineStr">
        <is>
          <t>No</t>
        </is>
      </c>
      <c r="Z8" s="303" t="inlineStr">
        <is>
          <t>SUBJECT</t>
        </is>
      </c>
      <c r="AA8" s="307" t="inlineStr">
        <is>
          <t>SUBJECT PROPERTY — Crossroads of Lee's Summit. 160-unit LIHTC community at 2200 NE Town Centre Blvd, Lee's Summit, MO 64064. Built 2001. 2BR and 3BR units. Managed by Apartment Corp.</t>
        </is>
      </c>
      <c r="AB8" s="304" t="inlineStr">
        <is>
          <t>https://www.apartments.com/crossroads-of-lees-summit-lees-summit-mo/6nvbher/</t>
        </is>
      </c>
    </row>
    <row r="9" ht="24.75" customFormat="1" customHeight="1" s="273">
      <c r="A9" s="315" t="inlineStr">
        <is>
          <t>1</t>
        </is>
      </c>
      <c r="B9" s="316" t="inlineStr">
        <is>
          <t>MARKET RATE</t>
        </is>
      </c>
      <c r="C9" s="317" t="inlineStr">
        <is>
          <t>Chapel Oaks</t>
        </is>
      </c>
      <c r="D9" s="318" t="inlineStr">
        <is>
          <t>COMPETITION</t>
        </is>
      </c>
      <c r="E9" s="319" t="inlineStr">
        <is>
          <t>3606 NE Independence Ave</t>
        </is>
      </c>
      <c r="F9" s="320" t="inlineStr">
        <is>
          <t>Lee's Summit</t>
        </is>
      </c>
      <c r="G9" s="320" t="inlineStr">
        <is>
          <t>MO</t>
        </is>
      </c>
      <c r="H9" s="320" t="inlineStr">
        <is>
          <t>64064</t>
        </is>
      </c>
      <c r="I9" s="320" t="inlineStr">
        <is>
          <t>2.0 mi</t>
        </is>
      </c>
      <c r="J9" s="320" t="inlineStr">
        <is>
          <t>N/A (Market Rate)</t>
        </is>
      </c>
      <c r="K9" s="320" t="inlineStr">
        <is>
          <t>N/A (Market Rate)</t>
        </is>
      </c>
      <c r="L9" s="320" t="n">
        <v>1420</v>
      </c>
      <c r="M9" s="397" t="n">
        <v>1413</v>
      </c>
      <c r="N9" s="320" t="inlineStr">
        <is>
          <t>N/A (Market Rate)</t>
        </is>
      </c>
      <c r="O9" s="320" t="inlineStr">
        <is>
          <t>N/A (Market Rate)</t>
        </is>
      </c>
      <c r="P9" s="320" t="n">
        <v>1850</v>
      </c>
      <c r="Q9" s="397" t="n">
        <v>1588</v>
      </c>
      <c r="R9" s="320" t="n">
        <v>168</v>
      </c>
      <c r="S9" s="320" t="n">
        <v>1985</v>
      </c>
      <c r="T9" s="320" t="n">
        <v>16</v>
      </c>
      <c r="U9" s="320" t="inlineStr">
        <is>
          <t>No</t>
        </is>
      </c>
      <c r="V9" s="320" t="inlineStr">
        <is>
          <t>Yes</t>
        </is>
      </c>
      <c r="W9" s="320" t="inlineStr">
        <is>
          <t>No</t>
        </is>
      </c>
      <c r="X9" s="320" t="inlineStr">
        <is>
          <t>Yes</t>
        </is>
      </c>
      <c r="Y9" s="320" t="inlineStr">
        <is>
          <t>No</t>
        </is>
      </c>
      <c r="Z9" s="343" t="inlineStr">
        <is>
          <t>MODERATE</t>
        </is>
      </c>
      <c r="AA9" s="324" t="inlineStr">
        <is>
          <t>Market Rate Comp #1: No income restrictions, 1985 vintage (16 yr diff), 168 units, 2.0 mi from subject in Lee's Summit MO 64064. 2BD avg $1,413 / 3BD avg $1,588.</t>
        </is>
      </c>
      <c r="AB9" s="319" t="inlineStr">
        <is>
          <t>https://www.apartments.com/chapel-oaks-lees-summit-mo/vgeh3nd/</t>
        </is>
      </c>
    </row>
    <row r="10" ht="24.75" customFormat="1" customHeight="1" s="273">
      <c r="A10" s="315" t="inlineStr">
        <is>
          <t>2</t>
        </is>
      </c>
      <c r="B10" s="316" t="inlineStr">
        <is>
          <t>MARKET RATE</t>
        </is>
      </c>
      <c r="C10" s="317" t="inlineStr">
        <is>
          <t>The Manor Homes of Arborwalk</t>
        </is>
      </c>
      <c r="E10" s="319" t="inlineStr">
        <is>
          <t>1318 SW Manor Lake Dr</t>
        </is>
      </c>
      <c r="F10" s="320" t="inlineStr">
        <is>
          <t>Lee's Summit</t>
        </is>
      </c>
      <c r="G10" s="320" t="inlineStr">
        <is>
          <t>MO</t>
        </is>
      </c>
      <c r="H10" s="320" t="inlineStr">
        <is>
          <t>64082</t>
        </is>
      </c>
      <c r="I10" s="320" t="inlineStr">
        <is>
          <t>4.5 mi</t>
        </is>
      </c>
      <c r="J10" s="320" t="inlineStr">
        <is>
          <t>N/A (Market Rate)</t>
        </is>
      </c>
      <c r="K10" s="320" t="inlineStr">
        <is>
          <t>N/A (Market Rate)</t>
        </is>
      </c>
      <c r="L10" s="320" t="n">
        <v>1420</v>
      </c>
      <c r="M10" s="397" t="n">
        <v>1682</v>
      </c>
      <c r="N10" s="320" t="inlineStr">
        <is>
          <t>N/A (Market Rate)</t>
        </is>
      </c>
      <c r="O10" s="320" t="inlineStr">
        <is>
          <t>N/A (Market Rate)</t>
        </is>
      </c>
      <c r="P10" s="320" t="n">
        <v>1850</v>
      </c>
      <c r="Q10" s="397" t="n">
        <v>1977</v>
      </c>
      <c r="R10" s="320" t="n">
        <v>280</v>
      </c>
      <c r="S10" s="320" t="n">
        <v>2006</v>
      </c>
      <c r="T10" s="320" t="n">
        <v>5</v>
      </c>
      <c r="U10" s="320" t="inlineStr">
        <is>
          <t>No</t>
        </is>
      </c>
      <c r="V10" s="320" t="inlineStr">
        <is>
          <t>Yes</t>
        </is>
      </c>
      <c r="W10" s="320" t="inlineStr">
        <is>
          <t>No</t>
        </is>
      </c>
      <c r="X10" s="320" t="inlineStr">
        <is>
          <t>Yes</t>
        </is>
      </c>
      <c r="Y10" s="320" t="inlineStr">
        <is>
          <t>Yes</t>
        </is>
      </c>
      <c r="Z10" s="323" t="inlineStr">
        <is>
          <t>HIGH</t>
        </is>
      </c>
      <c r="AA10" s="324" t="inlineStr">
        <is>
          <t>Market Rate Comp #2: No income restrictions, 2006 vintage (5 yr diff), 280 units, 4.5 mi from subject in Lee's Summit MO 64082. Closest in age to subject. 2BD avg $1,682 / 3BD avg $1,977.</t>
        </is>
      </c>
      <c r="AB10" s="319" t="inlineStr">
        <is>
          <t>https://www.apartments.com/the-manor-homes-of-arborwalk-apartments-lees-summit-mo/f988h8v/</t>
        </is>
      </c>
    </row>
    <row r="11" ht="24.75" customFormat="1" customHeight="1" s="273">
      <c r="A11" s="315" t="inlineStr">
        <is>
          <t>3</t>
        </is>
      </c>
      <c r="B11" s="316" t="inlineStr">
        <is>
          <t>MARKET RATE</t>
        </is>
      </c>
      <c r="C11" s="317" t="inlineStr">
        <is>
          <t>Chapel Ridge Townhomes</t>
        </is>
      </c>
      <c r="E11" s="319" t="inlineStr">
        <is>
          <t>3670 NE Akin Dr</t>
        </is>
      </c>
      <c r="F11" s="320" t="inlineStr">
        <is>
          <t>Lee's Summit</t>
        </is>
      </c>
      <c r="G11" s="320" t="inlineStr">
        <is>
          <t>MO</t>
        </is>
      </c>
      <c r="H11" s="320" t="inlineStr">
        <is>
          <t>64064</t>
        </is>
      </c>
      <c r="I11" s="320" t="inlineStr">
        <is>
          <t>2.5 mi</t>
        </is>
      </c>
      <c r="J11" s="320" t="inlineStr">
        <is>
          <t>N/A (Market Rate)</t>
        </is>
      </c>
      <c r="K11" s="320" t="inlineStr">
        <is>
          <t>N/A (Market Rate)</t>
        </is>
      </c>
      <c r="L11" s="320" t="n">
        <v>1420</v>
      </c>
      <c r="M11" s="397" t="n">
        <v>1920</v>
      </c>
      <c r="N11" s="320" t="inlineStr">
        <is>
          <t>N/A (Market Rate)</t>
        </is>
      </c>
      <c r="O11" s="320" t="inlineStr">
        <is>
          <t>N/A (Market Rate)</t>
        </is>
      </c>
      <c r="P11" s="320" t="n">
        <v>1850</v>
      </c>
      <c r="Q11" s="397" t="n">
        <v>2100</v>
      </c>
      <c r="R11" s="320" t="n">
        <v>100</v>
      </c>
      <c r="S11" s="320" t="n">
        <v>2017</v>
      </c>
      <c r="T11" s="320" t="n">
        <v>16</v>
      </c>
      <c r="U11" s="320" t="inlineStr">
        <is>
          <t>No</t>
        </is>
      </c>
      <c r="V11" s="320" t="inlineStr">
        <is>
          <t>Yes</t>
        </is>
      </c>
      <c r="W11" s="320" t="inlineStr">
        <is>
          <t>No</t>
        </is>
      </c>
      <c r="X11" s="320" t="inlineStr">
        <is>
          <t>No</t>
        </is>
      </c>
      <c r="Y11" s="320" t="inlineStr">
        <is>
          <t>Yes</t>
        </is>
      </c>
      <c r="Z11" s="323" t="inlineStr">
        <is>
          <t>HIGH</t>
        </is>
      </c>
      <c r="AA11" s="324" t="inlineStr">
        <is>
          <t>Market Rate Comp #3: No income restrictions, 2017 vintage (16 yr diff), ~100 units, 2.5 mi from subject in Lee's Summit MO 64064. Upscale townhomes. 2BD avg $1,920 / 3BD $2,100.</t>
        </is>
      </c>
      <c r="AB11" s="319" t="inlineStr">
        <is>
          <t>https://www.apartments.com/chapel-ridge-townhomes-lees-summit-mo/2l1qjjc/</t>
        </is>
      </c>
    </row>
    <row r="12" ht="24.75" customFormat="1" customHeight="1" s="273">
      <c r="A12" s="315" t="inlineStr">
        <is>
          <t>4</t>
        </is>
      </c>
      <c r="B12" s="316" t="inlineStr">
        <is>
          <t>MARKET RATE</t>
        </is>
      </c>
      <c r="C12" s="317" t="inlineStr">
        <is>
          <t>Signature at West Pryor</t>
        </is>
      </c>
      <c r="E12" s="319" t="inlineStr">
        <is>
          <t>2100 NW Lowenstein Dr</t>
        </is>
      </c>
      <c r="F12" s="320" t="inlineStr">
        <is>
          <t>Lee's Summit</t>
        </is>
      </c>
      <c r="G12" s="320" t="inlineStr">
        <is>
          <t>MO</t>
        </is>
      </c>
      <c r="H12" s="320" t="inlineStr">
        <is>
          <t>64081</t>
        </is>
      </c>
      <c r="I12" s="320" t="inlineStr">
        <is>
          <t>3.5 mi</t>
        </is>
      </c>
      <c r="J12" s="320" t="inlineStr">
        <is>
          <t>N/A (Market Rate)</t>
        </is>
      </c>
      <c r="K12" s="320" t="inlineStr">
        <is>
          <t>N/A (Market Rate)</t>
        </is>
      </c>
      <c r="L12" s="320" t="n">
        <v>1420</v>
      </c>
      <c r="M12" s="397" t="n">
        <v>1845</v>
      </c>
      <c r="N12" s="320" t="inlineStr">
        <is>
          <t>N/A (Market Rate)</t>
        </is>
      </c>
      <c r="O12" s="320" t="inlineStr">
        <is>
          <t>N/A (Market Rate)</t>
        </is>
      </c>
      <c r="P12" s="320" t="n">
        <v>1850</v>
      </c>
      <c r="Q12" s="397" t="n">
        <v>2053</v>
      </c>
      <c r="R12" s="320" t="n">
        <v>184</v>
      </c>
      <c r="S12" s="320" t="n">
        <v>2023</v>
      </c>
      <c r="T12" s="320" t="n">
        <v>22</v>
      </c>
      <c r="U12" s="320" t="inlineStr">
        <is>
          <t>No</t>
        </is>
      </c>
      <c r="V12" s="320" t="inlineStr">
        <is>
          <t>Yes</t>
        </is>
      </c>
      <c r="W12" s="320" t="inlineStr">
        <is>
          <t>Yes</t>
        </is>
      </c>
      <c r="X12" s="320" t="inlineStr">
        <is>
          <t>Yes</t>
        </is>
      </c>
      <c r="Y12" s="320" t="inlineStr">
        <is>
          <t>Yes</t>
        </is>
      </c>
      <c r="Z12" s="323" t="inlineStr">
        <is>
          <t>HIGH</t>
        </is>
      </c>
      <c r="AA12" s="324" t="inlineStr">
        <is>
          <t>Market Rate Comp #4: No income restrictions, 2023 vintage (22 yr diff), 184 units, 3.5 mi from subject in Lee's Summit MO 64081. New luxury community. 2BD avg $1,845 / 3BD avg $2,053.</t>
        </is>
      </c>
      <c r="AB12" s="319" t="inlineStr">
        <is>
          <t>https://www.apartments.com/signature-at-west-pryor-lees-summit-mo/32ts4jf/</t>
        </is>
      </c>
    </row>
    <row r="13" ht="24.75" customFormat="1" customHeight="1" s="273">
      <c r="A13" s="315" t="inlineStr">
        <is>
          <t>5</t>
        </is>
      </c>
      <c r="B13" s="316" t="inlineStr">
        <is>
          <t>MARKET RATE</t>
        </is>
      </c>
      <c r="C13" s="317" t="inlineStr">
        <is>
          <t>Evren Apartments of Lee's Summit</t>
        </is>
      </c>
      <c r="E13" s="319" t="inlineStr">
        <is>
          <t>25 NW Tudor Rd</t>
        </is>
      </c>
      <c r="F13" s="320" t="inlineStr">
        <is>
          <t>Lee's Summit</t>
        </is>
      </c>
      <c r="G13" s="320" t="inlineStr">
        <is>
          <t>MO</t>
        </is>
      </c>
      <c r="H13" s="320" t="inlineStr">
        <is>
          <t>64086</t>
        </is>
      </c>
      <c r="I13" s="320" t="inlineStr">
        <is>
          <t>5.0 mi</t>
        </is>
      </c>
      <c r="J13" s="320" t="inlineStr">
        <is>
          <t>N/A (Market Rate)</t>
        </is>
      </c>
      <c r="K13" s="320" t="inlineStr">
        <is>
          <t>N/A (Market Rate)</t>
        </is>
      </c>
      <c r="L13" s="320" t="n">
        <v>1420</v>
      </c>
      <c r="M13" s="397" t="n">
        <v>1749</v>
      </c>
      <c r="N13" s="320" t="inlineStr">
        <is>
          <t>N/A (Market Rate)</t>
        </is>
      </c>
      <c r="O13" s="320" t="inlineStr">
        <is>
          <t>N/A (Market Rate)</t>
        </is>
      </c>
      <c r="P13" s="320" t="n">
        <v>1850</v>
      </c>
      <c r="Q13" s="322" t="inlineStr">
        <is>
          <t>N/A</t>
        </is>
      </c>
      <c r="R13" s="320" t="n">
        <v>322</v>
      </c>
      <c r="S13" s="320" t="n">
        <v>2026</v>
      </c>
      <c r="T13" s="320" t="n">
        <v>25</v>
      </c>
      <c r="U13" s="320" t="inlineStr">
        <is>
          <t>No</t>
        </is>
      </c>
      <c r="V13" s="320" t="inlineStr">
        <is>
          <t>Yes</t>
        </is>
      </c>
      <c r="W13" s="320" t="inlineStr">
        <is>
          <t>No</t>
        </is>
      </c>
      <c r="X13" s="320" t="inlineStr">
        <is>
          <t>Yes</t>
        </is>
      </c>
      <c r="Y13" s="320" t="inlineStr">
        <is>
          <t>Yes</t>
        </is>
      </c>
      <c r="Z13" s="342" t="inlineStr">
        <is>
          <t>MODERATE-HIGH</t>
        </is>
      </c>
      <c r="AA13" s="324" t="inlineStr">
        <is>
          <t>Market Rate Comp #5: No income restrictions, 2026 vintage (25 yr diff), 322 units, 5.0 mi from subject in Lee's Summit MO 64086. Brand new community, 1-2BR only. 2BD $1,749.</t>
        </is>
      </c>
      <c r="AB13" s="319" t="inlineStr">
        <is>
          <t>https://www.apartments.com/evren-apartments-of-lees-summit-mo/</t>
        </is>
      </c>
    </row>
    <row r="14" ht="24.75" customFormat="1" customHeight="1" s="273">
      <c r="A14" s="315" t="inlineStr">
        <is>
          <t>6</t>
        </is>
      </c>
      <c r="B14" s="316" t="inlineStr">
        <is>
          <t>MARKET RATE</t>
        </is>
      </c>
      <c r="C14" s="317" t="inlineStr">
        <is>
          <t>Summit Point Apartments</t>
        </is>
      </c>
      <c r="E14" s="319" t="inlineStr">
        <is>
          <t>504 NE Chipman Rd</t>
        </is>
      </c>
      <c r="F14" s="320" t="inlineStr">
        <is>
          <t>Lee's Summit</t>
        </is>
      </c>
      <c r="G14" s="320" t="inlineStr">
        <is>
          <t>MO</t>
        </is>
      </c>
      <c r="H14" s="320" t="inlineStr">
        <is>
          <t>64063</t>
        </is>
      </c>
      <c r="I14" s="320" t="inlineStr">
        <is>
          <t>3.0 mi</t>
        </is>
      </c>
      <c r="J14" s="320" t="inlineStr">
        <is>
          <t>N/A (Market Rate)</t>
        </is>
      </c>
      <c r="K14" s="320" t="inlineStr">
        <is>
          <t>N/A (Market Rate)</t>
        </is>
      </c>
      <c r="L14" s="320" t="n">
        <v>1420</v>
      </c>
      <c r="M14" s="397" t="n">
        <v>1310</v>
      </c>
      <c r="N14" s="320" t="inlineStr">
        <is>
          <t>N/A (Market Rate)</t>
        </is>
      </c>
      <c r="O14" s="320" t="inlineStr">
        <is>
          <t>N/A (Market Rate)</t>
        </is>
      </c>
      <c r="P14" s="320" t="n">
        <v>1850</v>
      </c>
      <c r="Q14" s="322" t="inlineStr">
        <is>
          <t>N/A</t>
        </is>
      </c>
      <c r="R14" s="320" t="n">
        <v>100</v>
      </c>
      <c r="S14" s="320" t="n">
        <v>1986</v>
      </c>
      <c r="T14" s="320" t="n">
        <v>15</v>
      </c>
      <c r="U14" s="320" t="inlineStr">
        <is>
          <t>No</t>
        </is>
      </c>
      <c r="V14" s="320" t="inlineStr">
        <is>
          <t>Yes</t>
        </is>
      </c>
      <c r="W14" s="320" t="inlineStr">
        <is>
          <t>No</t>
        </is>
      </c>
      <c r="X14" s="320" t="inlineStr">
        <is>
          <t>Yes</t>
        </is>
      </c>
      <c r="Y14" s="320" t="inlineStr">
        <is>
          <t>No</t>
        </is>
      </c>
      <c r="Z14" s="323" t="inlineStr">
        <is>
          <t>LOW</t>
        </is>
      </c>
      <c r="AA14" s="324" t="inlineStr">
        <is>
          <t>Market Rate Comp #6: No income restrictions, 1986 vintage (15 yr diff), ~100 units, 3.0 mi from subject in Lee's Summit MO 64063. Older community, 1-2BR only. 2BD avg $1,310.</t>
        </is>
      </c>
      <c r="AB14" s="319" t="inlineStr">
        <is>
          <t>https://www.apartments.com/summit-point-apartments-lees-summit-mo/</t>
        </is>
      </c>
    </row>
    <row r="15" ht="28.5" customFormat="1" customHeight="1" s="273">
      <c r="A15" s="325" t="inlineStr">
        <is>
          <t>—</t>
        </is>
      </c>
      <c r="B15" s="326" t="inlineStr">
        <is>
          <t>BENCHMARK</t>
        </is>
      </c>
      <c r="C15" s="327" t="inlineStr">
        <is>
          <t>FY2026 FMR — Lee's Summit, MO</t>
        </is>
      </c>
      <c r="E15" s="325" t="inlineStr">
        <is>
          <t>N/A</t>
        </is>
      </c>
      <c r="F15" s="325" t="inlineStr">
        <is>
          <t>Lee's Summit</t>
        </is>
      </c>
      <c r="G15" s="325" t="inlineStr">
        <is>
          <t>MO</t>
        </is>
      </c>
      <c r="H15" s="325" t="n"/>
      <c r="I15" s="325" t="n"/>
      <c r="J15" s="325" t="inlineStr">
        <is>
          <t>N/A</t>
        </is>
      </c>
      <c r="K15" s="325" t="inlineStr">
        <is>
          <t>N/A</t>
        </is>
      </c>
      <c r="L15" s="325" t="n">
        <v>1420</v>
      </c>
      <c r="M15" s="325" t="n">
        <v>1420</v>
      </c>
      <c r="N15" s="325" t="inlineStr">
        <is>
          <t>N/A</t>
        </is>
      </c>
      <c r="O15" s="325" t="inlineStr">
        <is>
          <t>N/A</t>
        </is>
      </c>
      <c r="P15" s="325" t="n">
        <v>1850</v>
      </c>
      <c r="Q15" s="325" t="n">
        <v>1850</v>
      </c>
      <c r="R15" s="325" t="n"/>
      <c r="S15" s="325" t="n"/>
      <c r="T15" s="325" t="n"/>
      <c r="U15" s="325" t="n"/>
      <c r="V15" s="325" t="n"/>
      <c r="W15" s="325" t="n"/>
      <c r="X15" s="325" t="n"/>
      <c r="Y15" s="325" t="n"/>
      <c r="Z15" s="316" t="inlineStr">
        <is>
          <t>BENCHMARK</t>
        </is>
      </c>
      <c r="AA15" s="328" t="inlineStr">
        <is>
          <t>HUD Fair Market Rent for Lee's Summit, MO metro area, FY2026.</t>
        </is>
      </c>
      <c r="AB15" s="328" t="inlineStr">
        <is>
          <t>HUD FMR Database (huduser.gov)</t>
        </is>
      </c>
    </row>
    <row r="16" ht="34.5" customFormat="1" customHeight="1" s="273">
      <c r="A16" s="329" t="inlineStr">
        <is>
          <t>—</t>
        </is>
      </c>
      <c r="B16" s="326" t="inlineStr">
        <is>
          <t>BENCHMARK</t>
        </is>
      </c>
      <c r="C16" s="330" t="inlineStr">
        <is>
          <t>Metro Market Avg — Lee's Summit, MO (Apartments.com, Jun 2026)</t>
        </is>
      </c>
      <c r="E16" s="329" t="inlineStr">
        <is>
          <t>N/A</t>
        </is>
      </c>
      <c r="F16" s="329" t="inlineStr">
        <is>
          <t>Lee's Summit</t>
        </is>
      </c>
      <c r="G16" s="329" t="inlineStr">
        <is>
          <t>MO</t>
        </is>
      </c>
      <c r="H16" s="329" t="n"/>
      <c r="I16" s="329" t="n"/>
      <c r="J16" s="329" t="n"/>
      <c r="K16" s="329" t="n"/>
      <c r="L16" s="329" t="n"/>
      <c r="M16" s="398" t="n">
        <v>1653</v>
      </c>
      <c r="N16" s="329" t="n"/>
      <c r="O16" s="329" t="n"/>
      <c r="P16" s="329" t="n"/>
      <c r="Q16" s="398" t="n">
        <v>1930</v>
      </c>
      <c r="R16" s="329" t="n"/>
      <c r="S16" s="329" t="n"/>
      <c r="T16" s="329" t="n"/>
      <c r="U16" s="329" t="n"/>
      <c r="V16" s="329" t="n"/>
      <c r="W16" s="329" t="n"/>
      <c r="X16" s="329" t="n"/>
      <c r="Y16" s="329" t="n"/>
      <c r="Z16" s="316" t="inlineStr">
        <is>
          <t>BENCHMARK</t>
        </is>
      </c>
      <c r="AA16" s="332" t="inlineStr">
        <is>
          <t>Average of 6 market-rate comps. Apartments.com verified, Jun 2026.</t>
        </is>
      </c>
      <c r="AB16" s="332" t="inlineStr">
        <is>
          <t>Apartments.com + Market Estimate</t>
        </is>
      </c>
    </row>
    <row r="18" ht="14.25" customFormat="1" customHeight="1" s="273">
      <c r="A18" s="333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Format="1" customHeight="1" s="273">
      <c r="A20" s="334" t="inlineStr">
        <is>
          <t>CURRENT RENT vs. MARKET AVERAGE</t>
        </is>
      </c>
      <c r="I20" s="273" t="n"/>
      <c r="J20" s="273" t="n"/>
      <c r="K20" s="273" t="n"/>
      <c r="L20" s="273" t="n"/>
      <c r="M20" s="273" t="n"/>
      <c r="N20" s="273" t="n"/>
      <c r="O20" s="273" t="n"/>
      <c r="P20" s="273" t="n"/>
      <c r="Q20" s="273" t="n"/>
      <c r="R20" s="273" t="n"/>
      <c r="S20" s="273" t="n"/>
      <c r="T20" s="273" t="n"/>
      <c r="U20" s="273" t="n"/>
      <c r="V20" s="273" t="n"/>
      <c r="W20" s="273" t="n"/>
      <c r="X20" s="273" t="n"/>
      <c r="Y20" s="273" t="n"/>
      <c r="Z20" s="273" t="n"/>
      <c r="AA20" s="273" t="n"/>
      <c r="AB20" s="273" t="n"/>
    </row>
    <row r="21" ht="15.75" customFormat="1" customHeight="1" s="273">
      <c r="A21" s="335" t="inlineStr">
        <is>
          <t>Market Average = Avg of Actual Advertised Rents from 6 Market-Rate Comps (Apartments.com verified)</t>
        </is>
      </c>
      <c r="I21" s="273" t="n"/>
      <c r="J21" s="273" t="n"/>
      <c r="K21" s="273" t="n"/>
      <c r="L21" s="273" t="n"/>
      <c r="M21" s="273" t="n"/>
      <c r="N21" s="273" t="n"/>
      <c r="O21" s="273" t="n"/>
      <c r="P21" s="273" t="n"/>
      <c r="Q21" s="273" t="n"/>
      <c r="R21" s="273" t="n"/>
      <c r="S21" s="273" t="n"/>
      <c r="T21" s="273" t="n"/>
      <c r="U21" s="273" t="n"/>
      <c r="V21" s="273" t="n"/>
      <c r="W21" s="273" t="n"/>
      <c r="X21" s="273" t="n"/>
      <c r="Y21" s="273" t="n"/>
      <c r="Z21" s="273" t="n"/>
      <c r="AA21" s="273" t="n"/>
      <c r="AB21" s="273" t="n"/>
    </row>
    <row r="22" ht="15.75" customFormat="1" customHeight="1" s="273">
      <c r="A22" s="273" t="n"/>
      <c r="B22" s="336" t="inlineStr">
        <is>
          <t>Current Rents</t>
        </is>
      </c>
      <c r="C22" s="336" t="inlineStr">
        <is>
          <t>Market Avg</t>
        </is>
      </c>
      <c r="E22" s="336" t="inlineStr">
        <is>
          <t>Difference</t>
        </is>
      </c>
      <c r="F22" s="273" t="n"/>
      <c r="G22" s="273" t="n"/>
      <c r="H22" s="273" t="n"/>
      <c r="I22" s="273" t="n"/>
      <c r="J22" s="273" t="n"/>
      <c r="K22" s="273" t="n"/>
      <c r="L22" s="273" t="n"/>
      <c r="M22" s="273" t="n"/>
      <c r="N22" s="273" t="n"/>
      <c r="O22" s="273" t="n"/>
      <c r="P22" s="273" t="n"/>
      <c r="Q22" s="273" t="n"/>
      <c r="R22" s="273" t="n"/>
      <c r="S22" s="273" t="n"/>
      <c r="T22" s="273" t="n"/>
      <c r="U22" s="273" t="n"/>
      <c r="V22" s="273" t="n"/>
      <c r="W22" s="273" t="n"/>
      <c r="X22" s="273" t="n"/>
      <c r="Y22" s="273" t="n"/>
      <c r="Z22" s="273" t="n"/>
      <c r="AA22" s="273" t="n"/>
      <c r="AB22" s="273" t="n"/>
    </row>
    <row r="23" ht="20.25" customFormat="1" customHeight="1" s="273">
      <c r="A23" s="337" t="inlineStr">
        <is>
          <t>2BD</t>
        </is>
      </c>
      <c r="B23" s="399">
        <f>'Current Rents'!E52</f>
        <v/>
      </c>
      <c r="C23" s="400" t="n">
        <v>1653</v>
      </c>
      <c r="D23" s="273" t="n"/>
      <c r="E23" s="401">
        <f>B23-C23</f>
        <v/>
      </c>
      <c r="F23" s="161">
        <f>IF(E23&lt;-75,"LOOK INTO INCREASING THE RENT!","")</f>
        <v/>
      </c>
      <c r="G23" s="273" t="n"/>
      <c r="H23" s="273" t="n"/>
      <c r="I23" s="273" t="n"/>
      <c r="J23" s="273" t="n"/>
      <c r="K23" s="273" t="n"/>
      <c r="L23" s="273" t="n"/>
      <c r="M23" s="273" t="n"/>
      <c r="N23" s="273" t="n"/>
      <c r="O23" s="273" t="n"/>
      <c r="P23" s="273" t="n"/>
      <c r="Q23" s="273" t="n"/>
      <c r="R23" s="273" t="n"/>
      <c r="S23" s="273" t="n"/>
      <c r="T23" s="273" t="n"/>
      <c r="U23" s="273" t="n"/>
      <c r="V23" s="273" t="n"/>
      <c r="W23" s="273" t="n"/>
      <c r="X23" s="273" t="n"/>
      <c r="Y23" s="273" t="n"/>
      <c r="Z23" s="273" t="n"/>
      <c r="AA23" s="273" t="n"/>
      <c r="AB23" s="273" t="n"/>
    </row>
    <row r="24" ht="20.25" customFormat="1" customHeight="1" s="273">
      <c r="A24" s="337" t="inlineStr">
        <is>
          <t>3BD</t>
        </is>
      </c>
      <c r="B24" s="399">
        <f>'Current Rents'!F52</f>
        <v/>
      </c>
      <c r="C24" s="400" t="n">
        <v>1930</v>
      </c>
      <c r="D24" s="273" t="n"/>
      <c r="E24" s="401">
        <f>B24-C24</f>
        <v/>
      </c>
      <c r="F24" s="161">
        <f>IF(E24&lt;-75,"LOOK INTO INCREASING THE RENT!","")</f>
        <v/>
      </c>
      <c r="G24" s="273" t="n"/>
      <c r="H24" s="273" t="n"/>
      <c r="I24" s="273" t="n"/>
      <c r="J24" s="273" t="n"/>
      <c r="K24" s="273" t="n"/>
      <c r="L24" s="273" t="n"/>
      <c r="M24" s="273" t="n"/>
      <c r="N24" s="273" t="n"/>
      <c r="O24" s="273" t="n"/>
      <c r="P24" s="273" t="n"/>
      <c r="Q24" s="273" t="n"/>
      <c r="R24" s="273" t="n"/>
      <c r="S24" s="273" t="n"/>
      <c r="T24" s="273" t="n"/>
      <c r="U24" s="273" t="n"/>
      <c r="V24" s="273" t="n"/>
      <c r="W24" s="273" t="n"/>
      <c r="X24" s="273" t="n"/>
      <c r="Y24" s="273" t="n"/>
      <c r="Z24" s="273" t="n"/>
      <c r="AA24" s="273" t="n"/>
      <c r="AB24" s="273" t="n"/>
    </row>
  </sheetData>
  <mergeCells count="14">
    <mergeCell ref="A21:H21"/>
    <mergeCell ref="C7:D7"/>
    <mergeCell ref="C16:D16"/>
    <mergeCell ref="D9:D14"/>
    <mergeCell ref="C15:D15"/>
    <mergeCell ref="A20:H20"/>
    <mergeCell ref="A5:AB5"/>
    <mergeCell ref="A18:AB18"/>
    <mergeCell ref="C22:D22"/>
    <mergeCell ref="A4:AB4"/>
    <mergeCell ref="Z3:AB3"/>
    <mergeCell ref="A6:AB6"/>
    <mergeCell ref="A3:Y3"/>
    <mergeCell ref="C8:D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2026-08-09T19:55:11Z</dcterms:modified>
  <cp:lastModifiedBy>Brandon Rose</cp:lastModifiedBy>
</cp:coreProperties>
</file>