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0" yWindow="825" windowWidth="39645" windowHeight="18540" tabRatio="600" firstSheet="0" activeTab="1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odels --&gt;" sheetId="3" state="visible" r:id="rId3"/>
    <sheet xmlns:r="http://schemas.openxmlformats.org/officeDocument/2006/relationships" name="Scenario 0" sheetId="4" state="visible" r:id="rId4"/>
    <sheet xmlns:r="http://schemas.openxmlformats.org/officeDocument/2006/relationships" name="Scenario 1" sheetId="5" state="visible" r:id="rId5"/>
    <sheet xmlns:r="http://schemas.openxmlformats.org/officeDocument/2006/relationships" name="Scenario 2" sheetId="6" state="visible" r:id="rId6"/>
    <sheet xmlns:r="http://schemas.openxmlformats.org/officeDocument/2006/relationships" name="Scenario 3" sheetId="7" state="visible" r:id="rId7"/>
    <sheet xmlns:r="http://schemas.openxmlformats.org/officeDocument/2006/relationships" name="Scenario 4" sheetId="8" state="visible" r:id="rId8"/>
    <sheet xmlns:r="http://schemas.openxmlformats.org/officeDocument/2006/relationships" name="Rent Roll Calcs --&gt;" sheetId="9" state="visible" r:id="rId9"/>
    <sheet xmlns:r="http://schemas.openxmlformats.org/officeDocument/2006/relationships" name="Unit Mix" sheetId="10" state="visible" r:id="rId10"/>
    <sheet xmlns:r="http://schemas.openxmlformats.org/officeDocument/2006/relationships" name="Rent Roll" sheetId="11" state="visible" r:id="rId11"/>
    <sheet xmlns:r="http://schemas.openxmlformats.org/officeDocument/2006/relationships" name="Summary Outputs --&gt;" sheetId="12" state="visible" r:id="rId12"/>
    <sheet xmlns:r="http://schemas.openxmlformats.org/officeDocument/2006/relationships" name="Op Ex per Unit" sheetId="13" state="visible" r:id="rId13"/>
    <sheet xmlns:r="http://schemas.openxmlformats.org/officeDocument/2006/relationships" name="Return Summary" sheetId="14" state="visible" r:id="rId14"/>
    <sheet xmlns:r="http://schemas.openxmlformats.org/officeDocument/2006/relationships" name="Waterfall --&gt;" sheetId="15" state="visible" r:id="rId15"/>
    <sheet xmlns:r="http://schemas.openxmlformats.org/officeDocument/2006/relationships" name="Partnership Terms + Fees" sheetId="16" state="visible" r:id="rId16"/>
    <sheet xmlns:r="http://schemas.openxmlformats.org/officeDocument/2006/relationships" name="Promote Cash Flow" sheetId="17" state="visible" r:id="rId17"/>
    <sheet xmlns:r="http://schemas.openxmlformats.org/officeDocument/2006/relationships" name="Waterfall Summary" sheetId="18" state="visible" r:id="rId18"/>
    <sheet xmlns:r="http://schemas.openxmlformats.org/officeDocument/2006/relationships" name="T-12 and Financials --&gt;" sheetId="19" state="visible" r:id="rId19"/>
  </sheets>
  <definedNames>
    <definedName name="_" hidden="1">#REF!</definedName>
    <definedName name="__" hidden="1">#REF!</definedName>
    <definedName name="___" hidden="1">#REF!</definedName>
    <definedName name="____" hidden="1">#REF!</definedName>
    <definedName name="___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a1" hidden="1">{"Assump",#N/A,TRUE,"Proforma";"first",#N/A,TRUE,"Proforma";"second",#N/A,TRUE,"Proforma";"lease1",#N/A,TRUE,"Proforma";"lease2",#N/A,TRUE,"Proforma"}</definedName>
    <definedName name="________________jo2" hidden="1">{#N/A,#N/A,FALSE,"DCF-COM";#N/A,#N/A,FALSE,"VAC-COM"}</definedName>
    <definedName name="________________jo3" hidden="1">{"CASHFLOW",#N/A,FALSE,"Northpointe"}</definedName>
    <definedName name="________________jo4" hidden="1">{#N/A,#N/A,FALSE,"SHEET1";#N/A,#N/A,FALSE,"SHEET2";#N/A,#N/A,FALSE,"SHEET3";#N/A,#N/A,FALSE,"SHEET4"}</definedName>
    <definedName name="_______________a1" hidden="1">{"Assump",#N/A,TRUE,"Proforma";"first",#N/A,TRUE,"Proforma";"second",#N/A,TRUE,"Proforma";"lease1",#N/A,TRUE,"Proforma";"lease2",#N/A,TRUE,"Proforma"}</definedName>
    <definedName name="_______________jo2" hidden="1">{#N/A,#N/A,FALSE,"DCF-COM";#N/A,#N/A,FALSE,"VAC-COM"}</definedName>
    <definedName name="_______________jo3" hidden="1">{"CASHFLOW",#N/A,FALSE,"Northpointe"}</definedName>
    <definedName name="_______________jo4" hidden="1">{#N/A,#N/A,FALSE,"SHEET1";#N/A,#N/A,FALSE,"SHEET2";#N/A,#N/A,FALSE,"SHEET3";#N/A,#N/A,FALSE,"SHEET4"}</definedName>
    <definedName name="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a1" hidden="1">{"Assump",#N/A,TRUE,"Proforma";"first",#N/A,TRUE,"Proforma";"second",#N/A,TRUE,"Proforma";"lease1",#N/A,TRUE,"Proforma";"lease2",#N/A,TRUE,"Proforma"}</definedName>
    <definedName name="______________jo2" hidden="1">{#N/A,#N/A,FALSE,"DCF-COM";#N/A,#N/A,FALSE,"VAC-COM"}</definedName>
    <definedName name="______________jo3" hidden="1">{"CASHFLOW",#N/A,FALSE,"Northpointe"}</definedName>
    <definedName name="______________jo4" hidden="1">{#N/A,#N/A,FALSE,"SHEET1";#N/A,#N/A,FALSE,"SHEET2";#N/A,#N/A,FALSE,"SHEET3";#N/A,#N/A,FALSE,"SHEET4"}</definedName>
    <definedName name="_____________a1" hidden="1">{"Assump",#N/A,TRUE,"Proforma";"first",#N/A,TRUE,"Proforma";"second",#N/A,TRUE,"Proforma";"lease1",#N/A,TRUE,"Proforma";"lease2",#N/A,TRUE,"Proforma"}</definedName>
    <definedName name="_____________jo2" hidden="1">{#N/A,#N/A,FALSE,"DCF-COM";#N/A,#N/A,FALSE,"VAC-COM"}</definedName>
    <definedName name="_____________jo3" hidden="1">{"CASHFLOW",#N/A,FALSE,"Northpointe"}</definedName>
    <definedName name="_____________jo4" hidden="1">{#N/A,#N/A,FALSE,"SHEET1";#N/A,#N/A,FALSE,"SHEET2";#N/A,#N/A,FALSE,"SHEET3";#N/A,#N/A,FALSE,"SHEET4"}</definedName>
    <definedName name="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a1" hidden="1">{"Assump",#N/A,TRUE,"Proforma";"first",#N/A,TRUE,"Proforma";"second",#N/A,TRUE,"Proforma";"lease1",#N/A,TRUE,"Proforma";"lease2",#N/A,TRUE,"Proforma"}</definedName>
    <definedName name="____________jo2" hidden="1">{#N/A,#N/A,FALSE,"DCF-COM";#N/A,#N/A,FALSE,"VAC-COM"}</definedName>
    <definedName name="____________jo3" hidden="1">{"CASHFLOW",#N/A,FALSE,"Northpointe"}</definedName>
    <definedName name="____________jo4" hidden="1">{#N/A,#N/A,FALSE,"SHEET1";#N/A,#N/A,FALSE,"SHEET2";#N/A,#N/A,FALSE,"SHEET3";#N/A,#N/A,FALSE,"SHEET4"}</definedName>
    <definedName name="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a1" hidden="1">{"Assump",#N/A,TRUE,"Proforma";"first",#N/A,TRUE,"Proforma";"second",#N/A,TRUE,"Proforma";"lease1",#N/A,TRUE,"Proforma";"lease2",#N/A,TRUE,"Proforma"}</definedName>
    <definedName name="___________jo2" hidden="1">{#N/A,#N/A,FALSE,"DCF-COM";#N/A,#N/A,FALSE,"VAC-COM"}</definedName>
    <definedName name="___________jo3" hidden="1">{"CASHFLOW",#N/A,FALSE,"Northpointe"}</definedName>
    <definedName name="___________jo4" hidden="1">{#N/A,#N/A,FALSE,"SHEET1";#N/A,#N/A,FALSE,"SHEET2";#N/A,#N/A,FALSE,"SHEET3";#N/A,#N/A,FALSE,"SHEET4"}</definedName>
    <definedName name="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a1" hidden="1">{"Assump",#N/A,TRUE,"Proforma";"first",#N/A,TRUE,"Proforma";"second",#N/A,TRUE,"Proforma";"lease1",#N/A,TRUE,"Proforma";"lease2",#N/A,TRUE,"Proforma"}</definedName>
    <definedName name="_________jo2" hidden="1">{#N/A,#N/A,FALSE,"DCF-COM";#N/A,#N/A,FALSE,"VAC-COM"}</definedName>
    <definedName name="_________jo3" hidden="1">{"CASHFLOW",#N/A,FALSE,"Northpointe"}</definedName>
    <definedName name="_________jo4" hidden="1">{#N/A,#N/A,FALSE,"SHEET1";#N/A,#N/A,FALSE,"SHEET2";#N/A,#N/A,FALSE,"SHEET3";#N/A,#N/A,FALSE,"SHEET4"}</definedName>
    <definedName name="_________key1" hidden="1">#REF!</definedName>
    <definedName name="_________key2" hidden="1">#REF!</definedName>
    <definedName name="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a1" hidden="1">{"Assump",#N/A,TRUE,"Proforma";"first",#N/A,TRUE,"Proforma";"second",#N/A,TRUE,"Proforma";"lease1",#N/A,TRUE,"Proforma";"lease2",#N/A,TRUE,"Proforma"}</definedName>
    <definedName name="________jo2" hidden="1">{#N/A,#N/A,FALSE,"DCF-COM";#N/A,#N/A,FALSE,"VAC-COM"}</definedName>
    <definedName name="________jo3" hidden="1">{"CASHFLOW",#N/A,FALSE,"Northpointe"}</definedName>
    <definedName name="________jo4" hidden="1">{#N/A,#N/A,FALSE,"SHEET1";#N/A,#N/A,FALSE,"SHEET2";#N/A,#N/A,FALSE,"SHEET3";#N/A,#N/A,FALSE,"SHEET4"}</definedName>
    <definedName name="________key1" hidden="1">#REF!</definedName>
    <definedName name="________key2" hidden="1">#REF!</definedName>
    <definedName name="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a1" hidden="1">{"Assump",#N/A,TRUE,"Proforma";"first",#N/A,TRUE,"Proforma";"second",#N/A,TRUE,"Proforma";"lease1",#N/A,TRUE,"Proforma";"lease2",#N/A,TRUE,"Proforma"}</definedName>
    <definedName name="_______jo2" hidden="1">{#N/A,#N/A,FALSE,"DCF-COM";#N/A,#N/A,FALSE,"VAC-COM"}</definedName>
    <definedName name="_______jo3" hidden="1">{"CASHFLOW",#N/A,FALSE,"Northpointe"}</definedName>
    <definedName name="_______jo4" hidden="1">{#N/A,#N/A,FALSE,"SHEET1";#N/A,#N/A,FALSE,"SHEET2";#N/A,#N/A,FALSE,"SHEET3";#N/A,#N/A,FALSE,"SHEET4"}</definedName>
    <definedName name="_______key1" hidden="1">#REF!</definedName>
    <definedName name="_______key2" hidden="1">#REF!</definedName>
    <definedName name="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a1" hidden="1">{"Assump",#N/A,TRUE,"Proforma";"first",#N/A,TRUE,"Proforma";"second",#N/A,TRUE,"Proforma";"lease1",#N/A,TRUE,"Proforma";"lease2",#N/A,TRUE,"Proforma"}</definedName>
    <definedName name="______jo2" hidden="1">{#N/A,#N/A,FALSE,"DCF-COM";#N/A,#N/A,FALSE,"VAC-COM"}</definedName>
    <definedName name="______jo3" hidden="1">{"CASHFLOW",#N/A,FALSE,"Northpointe"}</definedName>
    <definedName name="______jo4" hidden="1">{#N/A,#N/A,FALSE,"SHEET1";#N/A,#N/A,FALSE,"SHEET2";#N/A,#N/A,FALSE,"SHEET3";#N/A,#N/A,FALSE,"SHEET4"}</definedName>
    <definedName name="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a1" hidden="1">{"Assump",#N/A,TRUE,"Proforma";"first",#N/A,TRUE,"Proforma";"second",#N/A,TRUE,"Proforma";"lease1",#N/A,TRUE,"Proforma";"lease2",#N/A,TRUE,"Proforma"}</definedName>
    <definedName name="_____al1" hidden="1">{"sheet a",#N/A,FALSE,"A";"sheet b 1",#N/A,FALSE,"B";"sheet b 2",#N/A,FALSE,"B"}</definedName>
    <definedName name="_____jo2" hidden="1">{#N/A,#N/A,FALSE,"DCF-COM";#N/A,#N/A,FALSE,"VAC-COM"}</definedName>
    <definedName name="_____jo3" hidden="1">{"CASHFLOW",#N/A,FALSE,"Northpointe"}</definedName>
    <definedName name="_____jo4" hidden="1">{#N/A,#N/A,FALSE,"SHEET1";#N/A,#N/A,FALSE,"SHEET2";#N/A,#N/A,FALSE,"SHEET3";#N/A,#N/A,FALSE,"SHEET4"}</definedName>
    <definedName name="_____key1" hidden="1">#REF!</definedName>
    <definedName name="_____key2" hidden="1">#REF!</definedName>
    <definedName name="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wrn1" hidden="1">{"schedule1",#N/A,FALSE,"Sheet1";"schedule2",#N/A,FALSE,"Sheet1";"schedule3",#N/A,FALSE,"Sheet1";"schedule4",#N/A,FALSE,"Sheet1";"schedule5",#N/A,FALSE,"Sheet1";"schedule6",#N/A,FALSE,"Sheet1"}</definedName>
    <definedName name="____a1" hidden="1">{"Assump",#N/A,TRUE,"Proforma";"first",#N/A,TRUE,"Proforma";"second",#N/A,TRUE,"Proforma";"lease1",#N/A,TRUE,"Proforma";"lease2",#N/A,TRUE,"Proforma"}</definedName>
    <definedName name="____al1" hidden="1">{"sheet a",#N/A,FALSE,"A";"sheet b 1",#N/A,FALSE,"B";"sheet b 2",#N/A,FALSE,"B"}</definedName>
    <definedName name="____jo2" hidden="1">{#N/A,#N/A,FALSE,"DCF-COM";#N/A,#N/A,FALSE,"VAC-COM"}</definedName>
    <definedName name="____jo3" hidden="1">{"CASHFLOW",#N/A,FALSE,"Northpointe"}</definedName>
    <definedName name="____jo4" hidden="1">{#N/A,#N/A,FALSE,"SHEET1";#N/A,#N/A,FALSE,"SHEET2";#N/A,#N/A,FALSE,"SHEET3";#N/A,#N/A,FALSE,"SHEET4"}</definedName>
    <definedName name="____key1" hidden="1">#REF!</definedName>
    <definedName name="____key2" hidden="1">#REF!</definedName>
    <definedName name="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2__123Graph_ACHART_2" hidden="1">#REF!</definedName>
    <definedName name="___a1" hidden="1">{"Assump",#N/A,TRUE,"Proforma";"first",#N/A,TRUE,"Proforma";"second",#N/A,TRUE,"Proforma";"lease1",#N/A,TRUE,"Proforma";"lease2",#N/A,TRUE,"Proforma"}</definedName>
    <definedName name="___al1" hidden="1">{"sheet a",#N/A,FALSE,"A";"sheet b 1",#N/A,FALSE,"B";"sheet b 2",#N/A,FALSE,"B"}</definedName>
    <definedName name="___del1" hidden="1">{"Page1",#N/A,FALSE,"7979";"Page2",#N/A,FALSE,"7979";"Page3",#N/A,FALSE,"7979"}</definedName>
    <definedName name="___JE1299" hidden="1">#REF!</definedName>
    <definedName name="___jo2" hidden="1">{#N/A,#N/A,FALSE,"DCF-COM";#N/A,#N/A,FALSE,"VAC-COM"}</definedName>
    <definedName name="___jo3" hidden="1">{"CASHFLOW",#N/A,FALSE,"Northpointe"}</definedName>
    <definedName name="___jo4" hidden="1">{#N/A,#N/A,FALSE,"SHEET1";#N/A,#N/A,FALSE,"SHEET2";#N/A,#N/A,FALSE,"SHEET3";#N/A,#N/A,FALSE,"SHEET4"}</definedName>
    <definedName name="___key1" hidden="1">#REF!</definedName>
    <definedName name="___key2" hidden="1">#REF!</definedName>
    <definedName name="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wrn1" hidden="1">{"schedule1",#N/A,FALSE,"Sheet1";"schedule2",#N/A,FALSE,"Sheet1";"schedule3",#N/A,FALSE,"Sheet1";"schedule4",#N/A,FALSE,"Sheet1";"schedule5",#N/A,FALSE,"Sheet1";"schedule6",#N/A,FALSE,"Sheet1"}</definedName>
    <definedName name="__1__123Graph_ACHART_1" hidden="1">#REF!</definedName>
    <definedName name="__10__123Graph_XCHART_2" hidden="1">#REF!</definedName>
    <definedName name="__11__123Graph_XCHART_3" hidden="1">#REF!</definedName>
    <definedName name="__123Graph_A" hidden="1">#REF!</definedName>
    <definedName name="__123Graph_ACASHFLOW" hidden="1">#REF!</definedName>
    <definedName name="__123Graph_ACOLLECTIONS" hidden="1">#REF!</definedName>
    <definedName name="__123Graph_ACONC" hidden="1">#REF!</definedName>
    <definedName name="__123Graph_AGRAPH1" hidden="1">#REF!</definedName>
    <definedName name="__123Graph_AOAR" hidden="1">#REF!</definedName>
    <definedName name="__123Graph_AOAREDR" hidden="1">#REF!</definedName>
    <definedName name="__123Graph_ARELACUIN" hidden="1">#REF!</definedName>
    <definedName name="__123Graph_ARELTACUM.PIC" hidden="1">#REF!</definedName>
    <definedName name="__123Graph_B" hidden="1">#REF!</definedName>
    <definedName name="__123Graph_BCASHFLOW" hidden="1">#REF!</definedName>
    <definedName name="__123Graph_BCOLLECTIONS" hidden="1">#REF!</definedName>
    <definedName name="__123Graph_BOAREDR" hidden="1">#REF!</definedName>
    <definedName name="__123Graph_BRELACUIN" hidden="1">#REF!</definedName>
    <definedName name="__123Graph_BRELTACUM.PIC" hidden="1">#REF!</definedName>
    <definedName name="__123Graph_C" hidden="1">#REF!</definedName>
    <definedName name="__123Graph_CCASHFLOW" hidden="1">#REF!</definedName>
    <definedName name="__123Graph_COAREDR" hidden="1">#REF!</definedName>
    <definedName name="__123Graph_CRELACUIN" hidden="1">#REF!</definedName>
    <definedName name="__123Graph_CRELTACUM.PIC" hidden="1">#REF!</definedName>
    <definedName name="__123Graph_D" hidden="1">#REF!</definedName>
    <definedName name="__123Graph_DRELACUIN" hidden="1">#REF!</definedName>
    <definedName name="__123Graph_DRELTACUM.PIC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METPLX" hidden="1">#REF!</definedName>
    <definedName name="__123Graph_LBL_ANDALLAS" hidden="1">#REF!</definedName>
    <definedName name="__123Graph_LBL_B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X" hidden="1">#REF!</definedName>
    <definedName name="__123Graph_XCASHFLOW" hidden="1">#REF!</definedName>
    <definedName name="__123Graph_XCOLLECTIONS" hidden="1">#REF!</definedName>
    <definedName name="__123Graph_XCONC" hidden="1">#REF!</definedName>
    <definedName name="__123Graph_XGRAPH1" hidden="1">#REF!</definedName>
    <definedName name="__123Graph_XOAR" hidden="1">#REF!</definedName>
    <definedName name="__123Graph_XOAREDR" hidden="1">#REF!</definedName>
    <definedName name="__123Graph_XRELACUIN" hidden="1">#REF!</definedName>
    <definedName name="__123Graph_XRELTACUM.PIC" hidden="1">#REF!</definedName>
    <definedName name="__2__123Graph_ACHART_2" hidden="1">#REF!</definedName>
    <definedName name="__3__123Graph_ACHART_3" hidden="1">#REF!</definedName>
    <definedName name="__4__123Graph_BCHART_1" hidden="1">#REF!</definedName>
    <definedName name="__5__123Graph_CCHART_1" hidden="1">#REF!</definedName>
    <definedName name="__6__123Graph_DCHART_1" hidden="1">#REF!</definedName>
    <definedName name="__7__123Graph_ECHART_1" hidden="1">#REF!</definedName>
    <definedName name="__8__123Graph_FCHART_1" hidden="1">#REF!</definedName>
    <definedName name="__9__123Graph_XCHART_1" hidden="1">#REF!</definedName>
    <definedName name="__a1" hidden="1">{"Assump",#N/A,TRUE,"Proforma";"first",#N/A,TRUE,"Proforma";"second",#N/A,TRUE,"Proforma";"lease1",#N/A,TRUE,"Proforma";"lease2",#N/A,TRUE,"Proforma"}</definedName>
    <definedName name="__adv2" hidden="1">{"Proforma",#N/A,FALSE,"Sheet1"}</definedName>
    <definedName name="__adv3" hidden="1">{"Proforma",#N/A,FALSE,"Sheet1"}</definedName>
    <definedName name="__adv4" hidden="1">{"Proforma",#N/A,FALSE,"Sheet1"}</definedName>
    <definedName name="__del1" hidden="1">{"Page1",#N/A,FALSE,"7979";"Page2",#N/A,FALSE,"7979";"Page3",#N/A,FALSE,"7979"}</definedName>
    <definedName name="__FDS_HYPERLINK_TOGGLE_STATE__" hidden="1">"ON"</definedName>
    <definedName name="__FT08" hidden="1">"3OYHDJRF05V1IN1D1R6C32J5E"</definedName>
    <definedName name="__gig1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__IntlFixup" hidden="1">TRUE</definedName>
    <definedName name="__IntlFixupTable" hidden="1">#REF!</definedName>
    <definedName name="__JE1299" hidden="1">#REF!</definedName>
    <definedName name="__jo2" hidden="1">{#N/A,#N/A,FALSE,"DCF-COM";#N/A,#N/A,FALSE,"VAC-COM"}</definedName>
    <definedName name="__jo3" hidden="1">{"CASHFLOW",#N/A,FALSE,"Northpointe"}</definedName>
    <definedName name="__jo4" hidden="1">{#N/A,#N/A,FALSE,"SHEET1";#N/A,#N/A,FALSE,"SHEET2";#N/A,#N/A,FALSE,"SHEET3";#N/A,#N/A,FALSE,"SHEET4"}</definedName>
    <definedName name="__key1" hidden="1">#REF!</definedName>
    <definedName name="__key2" hidden="1">#REF!</definedName>
    <definedName name="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xlnm.Print_Area">#REF!</definedName>
    <definedName name="_1__123Graph_ACHART_1" hidden="1">#REF!</definedName>
    <definedName name="_1__123Graph_ACHART_2" hidden="1">#REF!</definedName>
    <definedName name="_1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_0ACwvu.Pag" hidden="1">#REF!</definedName>
    <definedName name="_10__123Graph_ACHART_6" hidden="1">#REF!</definedName>
    <definedName name="_10__123Graph_BCHART_5" hidden="1">#REF!</definedName>
    <definedName name="_10__123Graph_BGRAFICO_20" hidden="1">#REF!</definedName>
    <definedName name="_10__123Graph_CCHART_3" hidden="1">#REF!</definedName>
    <definedName name="_10__123Graph_XCHART_1" hidden="1">#REF!</definedName>
    <definedName name="_10__123Graph_XCHART_2" hidden="1">#REF!</definedName>
    <definedName name="_10__FDSAUDITLINK__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00__123Graph_DCHART_17" hidden="1">#REF!</definedName>
    <definedName name="_11__123Graph_BCHART_6" hidden="1">#REF!</definedName>
    <definedName name="_11__123Graph_BGRAFICO_7" hidden="1">#REF!</definedName>
    <definedName name="_11__123Graph_DCHART_1" hidden="1">#REF!</definedName>
    <definedName name="_11__123Graph_XCHART_3" hidden="1">#REF!</definedName>
    <definedName name="_11__FDSAUDITLINK__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2__123Graph_ACHART_7" hidden="1">#REF!</definedName>
    <definedName name="_12__123Graph_BCHART_7" hidden="1">#REF!</definedName>
    <definedName name="_12__123Graph_BGRAFICO_8" hidden="1">#REF!</definedName>
    <definedName name="_12__123Graph_ECHART_1" hidden="1">#REF!</definedName>
    <definedName name="_12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3__123Graph_CCHART_4" hidden="1">#REF!</definedName>
    <definedName name="_13__123Graph_CGRAFICO_20" hidden="1">#REF!</definedName>
    <definedName name="_13__123Graph_FCHART_1" hidden="1">#REF!</definedName>
    <definedName name="_14__123Graph_BCHART_4" hidden="1">#REF!</definedName>
    <definedName name="_14__123Graph_LBL_ACHART_2" hidden="1">#REF!</definedName>
    <definedName name="_14__123Graph_XCHART_5" hidden="1">#REF!</definedName>
    <definedName name="_15__123Graph_DGRAFICO_20" hidden="1">#REF!</definedName>
    <definedName name="_15__123Graph_LBL_ACHART_3" hidden="1">#REF!</definedName>
    <definedName name="_15__123Graph_XCHART_6" hidden="1">#REF!</definedName>
    <definedName name="_150__123Graph_XCHART_15" hidden="1">#REF!</definedName>
    <definedName name="_16__123Graph_BCHART_5" hidden="1">#REF!</definedName>
    <definedName name="_16__123Graph_EGRAFICO_20" hidden="1">#REF!</definedName>
    <definedName name="_16__123Graph_LBL_ACHART_4" hidden="1">#REF!</definedName>
    <definedName name="_16__123Graph_XCHART_7" hidden="1">#REF!</definedName>
    <definedName name="_17__123Graph_FGRAFICO_20" hidden="1">#REF!</definedName>
    <definedName name="_17__123Graph_LBL_BCHART_2" hidden="1">#REF!</definedName>
    <definedName name="_18__123Graph_BCHART_6" hidden="1">#REF!</definedName>
    <definedName name="_18__123Graph_LBL_BCHART_3" hidden="1">#REF!</definedName>
    <definedName name="_19__123Graph_LBL_ACHART_3" hidden="1">#REF!</definedName>
    <definedName name="_19__123Graph_LBL_CCHART_2" hidden="1">#REF!</definedName>
    <definedName name="_2__123Graph_A5_15" hidden="1">#REF!</definedName>
    <definedName name="_2__123Graph_ACHART_1" hidden="1">#REF!</definedName>
    <definedName name="_2__123Graph_ACHART_2" hidden="1">#REF!</definedName>
    <definedName name="_2__123Graph_ACHART_3I" hidden="1">#REF!</definedName>
    <definedName name="_2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_0Swvu.Pag" hidden="1">#REF!</definedName>
    <definedName name="_20__123Graph_ACHART_5" hidden="1">#REF!</definedName>
    <definedName name="_20__123Graph_BCHART_7" hidden="1">#REF!</definedName>
    <definedName name="_20__123Graph_LBL_AGRAFICO_20" hidden="1">#REF!</definedName>
    <definedName name="_20__123Graph_LBL_CCHART_3" hidden="1">#REF!</definedName>
    <definedName name="_21__123Graph_ACHART_4" hidden="1">#REF!</definedName>
    <definedName name="_21__123Graph_LBL_BGRAFICO_20" hidden="1">#REF!</definedName>
    <definedName name="_21_0_S" hidden="1">#REF!</definedName>
    <definedName name="_22__123Graph_ACHART_4" hidden="1">#REF!</definedName>
    <definedName name="_22__123Graph_ACHART_5" hidden="1">#REF!</definedName>
    <definedName name="_22__123Graph_CCHART_4" hidden="1">#REF!</definedName>
    <definedName name="_22__123Graph_LBL_CGRAFICO_20" hidden="1">#REF!</definedName>
    <definedName name="_23__123Graph_ACHART_6" hidden="1">#REF!</definedName>
    <definedName name="_24__123Graph_ACHART_5" hidden="1">#REF!</definedName>
    <definedName name="_24__123Graph_ACHART_7" hidden="1">#REF!</definedName>
    <definedName name="_24__123Graph_LBL_DGRAFICO_20" hidden="1">#REF!</definedName>
    <definedName name="_24__123Graph_XCHART_5" hidden="1">#REF!</definedName>
    <definedName name="_25__123Graph_BCHART_4" hidden="1">#REF!</definedName>
    <definedName name="_25__123Graph_LBL_EGRAFICO_20" hidden="1">#REF!</definedName>
    <definedName name="_26__123Graph_ACHART_6" hidden="1">#REF!</definedName>
    <definedName name="_26__123Graph_BCHART_5" hidden="1">#REF!</definedName>
    <definedName name="_26__123Graph_LBL_FGRAFICO_20" hidden="1">#REF!</definedName>
    <definedName name="_26__123Graph_XCHART_6" hidden="1">#REF!</definedName>
    <definedName name="_27__123Graph_BCHART_6" hidden="1">#REF!</definedName>
    <definedName name="_27__123Graph_XGRAFICO_8" hidden="1">#REF!</definedName>
    <definedName name="_28__123Graph_ACHART_7" hidden="1">#REF!</definedName>
    <definedName name="_28__123Graph_BCHART_7" hidden="1">#REF!</definedName>
    <definedName name="_28__123Graph_XCHART_7" hidden="1">#REF!</definedName>
    <definedName name="_28_0Rwvu.Pag" hidden="1">#REF!</definedName>
    <definedName name="_29__123Graph_CCHART_4" hidden="1">#REF!</definedName>
    <definedName name="_2F" hidden="1">#REF!</definedName>
    <definedName name="_3__123Graph_ACHART_2" hidden="1">#REF!</definedName>
    <definedName name="_3__123Graph_ACHART_3" hidden="1">#REF!</definedName>
    <definedName name="_3__123Graph_ACHART_3I" hidden="1">#REF!</definedName>
    <definedName name="_3__123Graph_BCHART_1" hidden="1">#REF!</definedName>
    <definedName name="_3__123Graph_LBL_ACHART_1" hidden="1">#REF!</definedName>
    <definedName name="_3__FDSAUDITLINK__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0__123Graph_BCHART_4" hidden="1">#REF!</definedName>
    <definedName name="_30__123Graph_BCHART_6" hidden="1">#REF!</definedName>
    <definedName name="_30__123Graph_XCHART_5" hidden="1">#REF!</definedName>
    <definedName name="_31__123Graph_XCHART_6" hidden="1">#REF!</definedName>
    <definedName name="_32__123Graph_BCHART_5" hidden="1">#REF!</definedName>
    <definedName name="_32__123Graph_XCHART_7" hidden="1">#REF!</definedName>
    <definedName name="_34__123Graph_BCHART_6" hidden="1">#REF!</definedName>
    <definedName name="_36__123Graph_BCHART_7" hidden="1">#REF!</definedName>
    <definedName name="_38__123Graph_CCHART_4" hidden="1">#REF!</definedName>
    <definedName name="_4__123Graph_ACHART_3" hidden="1">#REF!</definedName>
    <definedName name="_4__123Graph_ACHART_4" hidden="1">#REF!</definedName>
    <definedName name="_4__123Graph_BCHART_1" hidden="1">#REF!</definedName>
    <definedName name="_4__123Graph_LBL_ACHART_1" hidden="1">#REF!</definedName>
    <definedName name="_4__123Graph_LBL_ACHART_3I" hidden="1">#REF!</definedName>
    <definedName name="_4__123Graph_X5_15" hidden="1">#REF!</definedName>
    <definedName name="_4__123Graph_XCHART_1" hidden="1">#REF!</definedName>
    <definedName name="_4__FDSAUDITLINK__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40__123Graph_XCHART_5" hidden="1">#REF!</definedName>
    <definedName name="_42__123Graph_XCHART_6" hidden="1">#REF!</definedName>
    <definedName name="_44__123Graph_XCHART_7" hidden="1">#REF!</definedName>
    <definedName name="_5__123Graph_ACHART_4" hidden="1">#REF!</definedName>
    <definedName name="_5__123Graph_AGRAFICO_20" hidden="1">#REF!</definedName>
    <definedName name="_5__123Graph_BCHART_1" hidden="1">#REF!</definedName>
    <definedName name="_5__123Graph_CCHART_1" hidden="1">#REF!</definedName>
    <definedName name="_5__123Graph_LBL_ACHART_3I" hidden="1">#REF!</definedName>
    <definedName name="_5__123Graph_XCHART_1" hidden="1">#REF!</definedName>
    <definedName name="_5__123Graph_XCHART_2" hidden="1">#REF!</definedName>
    <definedName name="_5__FDSAUDITLINK__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50__123Graph_BCHART_16" hidden="1">#REF!</definedName>
    <definedName name="_6__123Graph_ACHART_4" hidden="1">#REF!</definedName>
    <definedName name="_6__123Graph_ACHART_5" hidden="1">#REF!</definedName>
    <definedName name="_6__123Graph_AGRAFICO_7" hidden="1">#REF!</definedName>
    <definedName name="_6__123Graph_BCHART_2" hidden="1">#REF!</definedName>
    <definedName name="_6__123Graph_DCHART_1" hidden="1">#REF!</definedName>
    <definedName name="_6__123Graph_XCHART_1" hidden="1">#REF!</definedName>
    <definedName name="_6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6_0_Table2_" hidden="1">#REF!</definedName>
    <definedName name="_7__123Graph_ACHART_6" hidden="1">#REF!</definedName>
    <definedName name="_7__123Graph_AGRAFICO_8" hidden="1">#REF!</definedName>
    <definedName name="_7__123Graph_BCHART_3" hidden="1">#REF!</definedName>
    <definedName name="_7__123Graph_ECHART_1" hidden="1">#REF!</definedName>
    <definedName name="_7__FDSAUDITLINK__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7_0_Table2_" hidden="1">#REF!</definedName>
    <definedName name="_8__123Graph_ACHART_5" hidden="1">#REF!</definedName>
    <definedName name="_8__123Graph_ACHART_7" hidden="1">#REF!</definedName>
    <definedName name="_8__123Graph_CCHART_1" hidden="1">#REF!</definedName>
    <definedName name="_8__123Graph_FCHART_1" hidden="1">#REF!</definedName>
    <definedName name="_8__FDSAUDITLINK__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9__123Graph_BCHART_3" hidden="1">#REF!</definedName>
    <definedName name="_9__123Graph_BCHART_4" hidden="1">#REF!</definedName>
    <definedName name="_9__123Graph_CCHART_2" hidden="1">#REF!</definedName>
    <definedName name="_9__123Graph_XCHART_1" hidden="1">#REF!</definedName>
    <definedName name="_9__FDSAUDITLINK__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a1" hidden="1">{"Assump",#N/A,TRUE,"Proforma";"first",#N/A,TRUE,"Proforma";"second",#N/A,TRUE,"Proforma";"lease1",#N/A,TRUE,"Proforma";"lease2",#N/A,TRUE,"Proforma"}</definedName>
    <definedName name="_adv2" hidden="1">{"Proforma",#N/A,FALSE,"Sheet1"}</definedName>
    <definedName name="_adv3" hidden="1">{"Proforma",#N/A,FALSE,"Sheet1"}</definedName>
    <definedName name="_adv4" hidden="1">{"Proforma",#N/A,FALSE,"Sheet1"}</definedName>
    <definedName name="_bdm.00A30EEC70914950886ACA1DA54ED705.edm" hidden="1">#REF!</definedName>
    <definedName name="_bdm.04C024BA2CA647408B384C4E8434AF11.edm" hidden="1">#REF!</definedName>
    <definedName name="_bdm.0E3CBD3E264B41B28F3F526873678CBA.edm" hidden="1">#REF!</definedName>
    <definedName name="_bdm.1EE47C4AA0064280819CC19BB4690A1F.edm" hidden="1">#REF!</definedName>
    <definedName name="_bdm.1FA5713C12A349E887E6CE04DE7000C5.edm" hidden="1">#REF!</definedName>
    <definedName name="_bdm.294AA496D34A43399372281D01706956.edm" hidden="1">#REF!</definedName>
    <definedName name="_bdm.2CCD44ACE8EF422D88045C2A0F5B824C.edm" hidden="1">#REF!</definedName>
    <definedName name="_bdm.2F2B2B5E0A7F41A5A5153533F14B2F3B.edm" hidden="1">#REF!</definedName>
    <definedName name="_bdm.3288F7267AD84412A6BBE42C27EAAEDF.edm" hidden="1">#REF!</definedName>
    <definedName name="_bdm.396E33553A8446A8AA4873AE62900D27.edm" hidden="1">#REF!</definedName>
    <definedName name="_bdm.3FF9BF0CD07843B6B0C473B9EA33B256.edm" hidden="1">#REF!</definedName>
    <definedName name="_bdm.41BB7010280A4F17A60A7A2EC65762F2.edm" hidden="1">#REF!</definedName>
    <definedName name="_bdm.4A5C97D8A8B4461BB06808C9781CCA97.edm" hidden="1">#REF!</definedName>
    <definedName name="_bdm.4CC45777DB794402B638D2F5A2762696.edm" hidden="1">#REF!</definedName>
    <definedName name="_bdm.506BB95D5FF74692ACB6C4DCCF0C02A1.edm" hidden="1">#REF!</definedName>
    <definedName name="_bdm.532855C8713A4ED2BE65859A52DE38A6.edm" hidden="1">#REF!</definedName>
    <definedName name="_bdm.5A06B77531BB40EAB24074C943DCD22A.edm" hidden="1">#REF!</definedName>
    <definedName name="_bdm.5AD944435AAB4E59BE5754CEE8639177.edm" hidden="1">#REF!</definedName>
    <definedName name="_bdm.5B01567551CF4D0F9516DB9616A4CC65.edm" hidden="1">#REF!</definedName>
    <definedName name="_bdm.5CF81FEE6E9A4189820ECA41DD31C6C1.edm" hidden="1">#REF!</definedName>
    <definedName name="_bdm.60D496C198B94FE88AAC240F81DA2AE4.edm" hidden="1">#REF!</definedName>
    <definedName name="_bdm.63CE9CF74A934A2CABE43E0C9A5325A7.edm" hidden="1">#REF!</definedName>
    <definedName name="_bdm.654C8EDA268E41A0BB9FEA30B24668CE.edm" hidden="1">#REF!</definedName>
    <definedName name="_bdm.6854F5B3A1074E21A7E29A900CF9C0FD.edm" hidden="1">#REF!</definedName>
    <definedName name="_bdm.6F69026AB7F74852B6E976FF69BD3B79.edm" hidden="1">#REF!</definedName>
    <definedName name="_bdm.7356D19C508E45D5BCA036988C40826A.edm" hidden="1">#REF!</definedName>
    <definedName name="_bdm.763E9B061D824965ABE00FECE1C119CE.edm" hidden="1">#REF!</definedName>
    <definedName name="_bdm.8DCCCB4B2BC14C1AA84A9FF8A30B1264.edm" hidden="1">#REF!</definedName>
    <definedName name="_bdm.91A0B11909A947559083CFFAB8CC725C.edm" hidden="1">#REF!</definedName>
    <definedName name="_bdm.A247B1D77986400F9A61095B26F4A68A.edm" hidden="1">#REF!</definedName>
    <definedName name="_bdm.A2D7D32E999A42C693AC64234B320B5F.edm" hidden="1">#REF!</definedName>
    <definedName name="_bdm.A3A75D4C593949B9B996FE51C9585838.edm" hidden="1">#REF!</definedName>
    <definedName name="_bdm.AB5EC28A3C6F4DBBB2909BDAFC1FA969.edm" hidden="1">#REF!</definedName>
    <definedName name="_bdm.B238B0BF07174C20BE49BB50D2EFA2EF.edm" hidden="1">#REF!</definedName>
    <definedName name="_bdm.B31F0C67559C40CFBA36A3D04EB3FD7C.edm" hidden="1">#REF!</definedName>
    <definedName name="_bdm.C6B7218D518D4DEFBDE91D23E5344CC7.edm" hidden="1">#REF!</definedName>
    <definedName name="_bdm.C92855286E524CC6AA6FE531BB1AC235.edm" hidden="1">#REF!</definedName>
    <definedName name="_bdm.D0423E6A4FFC436AA4D38948B7D7A19E.edm" hidden="1">#REF!</definedName>
    <definedName name="_bdm.D2CCADD4FC5B49ACA9EC2095F713590B.edm" hidden="1">#REF!</definedName>
    <definedName name="_bdm.E43160091D894E4682594BC359201658.edm" hidden="1">#REF!</definedName>
    <definedName name="_bdm.E6EAF6EA2CB94A3988683635710F111D.edm" hidden="1">#REF!</definedName>
    <definedName name="_bdm.E82B9A19CF4343EC9674771C65B0EBE1.edm" hidden="1">#REF!</definedName>
    <definedName name="_bdm.E9E307659C3C4FBF897790A0D326B4A8.edm" hidden="1">#REF!</definedName>
    <definedName name="_bdm.E9EE559E6F4248D18E2D4C03DF8C296A.edm" hidden="1">#REF!</definedName>
    <definedName name="_bdm.ECD7CD27800F4C01A85872A2A17ACFFB.edm" hidden="1">#REF!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l1" hidden="1">{"Page1",#N/A,FALSE,"7979";"Page2",#N/A,FALSE,"7979";"Page3",#N/A,FALSE,"7979"}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Bin" hidden="1">#REF!</definedName>
    <definedName name="_Dist_Values" hidden="1">#REF!</definedName>
    <definedName name="_DSP50" hidden="1">OFFSET(#REF!,0,0,COUNTA(#REF!)-2)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1" hidden="1">#REF!</definedName>
    <definedName name="_Fill" hidden="1">#REF!</definedName>
    <definedName name="_Fill_HO" hidden="1">#REF!</definedName>
    <definedName name="_Fill2" hidden="1">#REF!</definedName>
    <definedName name="_FT08" hidden="1">"3OYHDJRF05V1IN1D1R6C32J5E"</definedName>
    <definedName name="_gf1" hidden="1">{"incomemth",#N/A,TRUE,"forecast00";"incomepercentmth",#N/A,TRUE,"forecast00";"balancemth",#N/A,TRUE,"forecast00";"cashmth",#N/A,TRUE,"forecast00";"covenantmth",#N/A,TRUE,"forecast00"}</definedName>
    <definedName name="_gig1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_JE1299" hidden="1">#REF!</definedName>
    <definedName name="_jo2" hidden="1">{#N/A,#N/A,FALSE,"DCF-COM";#N/A,#N/A,FALSE,"VAC-COM"}</definedName>
    <definedName name="_jo3" hidden="1">{"CASHFLOW",#N/A,FALSE,"Northpointe"}</definedName>
    <definedName name="_jo4" hidden="1">{#N/A,#N/A,FALSE,"SHEET1";#N/A,#N/A,FALSE,"SHEET2";#N/A,#N/A,FALSE,"SHEET3";#N/A,#N/A,FALSE,"SHEET4"}</definedName>
    <definedName name="_Key1" hidden="1">#REF!</definedName>
    <definedName name="_Key2" hidden="1">#REF!</definedName>
    <definedName name="_Key5" hidden="1">#REF!</definedName>
    <definedName name="_Key6" hidden="1">#REF!</definedName>
    <definedName name="_Key8" hidden="1">#REF!</definedName>
    <definedName name="_Key9" hidden="1">#REF!</definedName>
    <definedName name="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Old11" hidden="1">#REF!</definedName>
    <definedName name="_Old13" hidden="1">#REF!</definedName>
    <definedName name="_Old15" hidden="1">#REF!</definedName>
    <definedName name="_Old5" hidden="1">#REF!</definedName>
    <definedName name="_Old7" hidden="1">#REF!</definedName>
    <definedName name="_Old9" hidden="1">#REF!</definedName>
    <definedName name="_Order1" hidden="1">0</definedName>
    <definedName name="_Order2" hidden="1">255</definedName>
    <definedName name="_pro2" hidden="1">{"Construction Costs",#N/A,FALSE,"Budget";"Income Statement",#N/A,FALSE,"Budget"}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d2" hidden="1">{"MonthlyRentRoll",#N/A,FALSE,"RentRoll"}</definedName>
    <definedName name="_Sort" hidden="1">#REF!</definedName>
    <definedName name="_sort2" hidden="1">#REF!</definedName>
    <definedName name="_Tab2_In2" hidden="1">#REF!</definedName>
    <definedName name="_Table1_In1" hidden="1">#REF!</definedName>
    <definedName name="_Table1_Out" hidden="1">#REF!</definedName>
    <definedName name="_Table2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" hidden="1">{"Output-BaseYear",#N/A,FALSE,"Output"}</definedName>
    <definedName name="a_Key1" hidden="1">#REF!</definedName>
    <definedName name="a_Key2" hidden="1">#REF!</definedName>
    <definedName name="a1a1" hidden="1">{"Assump",#N/A,TRUE,"Proforma";"first",#N/A,TRUE,"Proforma";"second",#N/A,TRUE,"Proforma";"lease1",#N/A,TRUE,"Proforma";"lease2",#N/A,TRUE,"Proforma"}</definedName>
    <definedName name="aa" hidden="1">{"AnnualRentRoll",#N/A,FALSE,"RentRoll"}</definedName>
    <definedName name="aa.2" hidden="1">{#N/A,#N/A,FALSE,"Cashflow Analysis";#N/A,#N/A,FALSE,"Sensitivity Analysis";#N/A,#N/A,FALSE,"PV";#N/A,#N/A,FALSE,"Pro Forma"}</definedName>
    <definedName name="aaa" hidden="1">{"AnnualRentRoll",#N/A,FALSE,"RentRoll"}</definedName>
    <definedName name="AAA_DOCTOPS" hidden="1">"AAA_SET"</definedName>
    <definedName name="AAA_duser" hidden="1">"OFF"</definedName>
    <definedName name="aaaaa" hidden="1">{"Assump",#N/A,TRUE,"Proforma";"first",#N/A,TRUE,"Proforma";"second",#N/A,TRUE,"Proforma";"lease1",#N/A,TRUE,"Proforma";"lease2",#N/A,TRUE,"Proforma"}</definedName>
    <definedName name="aaaaaa1" hidden="1">{#N/A,#N/A,FALSE,"Adm comp";#N/A,#N/A,FALSE,"Adm ajust";"adm",#N/A,FALSE,"Administration";#N/A,#N/A,FALSE,"Adm Bgt 97 vs Prév. 96";#N/A,#N/A,FALSE,"Adm Bgt 97 vs 96"}</definedName>
    <definedName name="aaaaaaa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fa" hidden="1">{"rtn",#N/A,FALSE,"RTN";"tables",#N/A,FALSE,"RTN";"cf",#N/A,FALSE,"CF";"stats",#N/A,FALSE,"Stats";"prop",#N/A,FALSE,"Prop"}</definedName>
    <definedName name="ab" hidden="1">{#N/A,#N/A,TRUE,"Ericsson Stadium PCD ";#N/A,#N/A,TRUE,"Ericsson Stadium IOR"}</definedName>
    <definedName name="ab_condo" hidden="1">{#N/A,#N/A,TRUE,"Ericsson Stadium PCD ";#N/A,#N/A,TRUE,"Ericsson Stadium IOR"}</definedName>
    <definedName name="abc" hidden="1">{"Construction_Short",#N/A,FALSE,"Construction"}</definedName>
    <definedName name="Access_Button" hidden="1">"Loan_Front_End_Input_List"</definedName>
    <definedName name="AccessDatabase" hidden="1">"\\Tc-atl-2\investment\Office &amp; Industrial\Principal Capital\Southhall\Southhall Center.mdb"</definedName>
    <definedName name="ACwvu.activo." hidden="1">#REF!</definedName>
    <definedName name="ACwvu.CAM._.RECOVERIES." hidden="1">#REF!</definedName>
    <definedName name="ACwvu.CAM._.TABLE." hidden="1">#REF!</definedName>
    <definedName name="ACwvu.ingresos." hidden="1">#REF!</definedName>
    <definedName name="ACwvu.INSURANCE._.RECOVERIES." hidden="1">#REF!</definedName>
    <definedName name="ACwvu.MINIMUM._.RENT." hidden="1">#REF!</definedName>
    <definedName name="ACwvu.OCCUPANCY._.ANALYSIS." hidden="1">#REF!</definedName>
    <definedName name="ACwvu.PERCENTAGE._.RENT." hidden="1">#REF!</definedName>
    <definedName name="ACwvu.TAX._.RECOVERIES." hidden="1">#REF!</definedName>
    <definedName name="ACwvu.WAT." hidden="1">#REF!</definedName>
    <definedName name="AD" hidden="1">{#N/A,#N/A,FALSE,"Adm comp";#N/A,#N/A,FALSE,"Adm ajust";"adm",#N/A,FALSE,"Administration";#N/A,#N/A,FALSE,"Adm Bgt 97 vs Prév. 96";#N/A,#N/A,FALSE,"Adm Bgt 97 vs 96"}</definedName>
    <definedName name="ADAD" hidden="1">{#N/A,#N/A,FALSE,"Adm comp";#N/A,#N/A,FALSE,"Adm ajust";"adm",#N/A,FALSE,"Administration";#N/A,#N/A,FALSE,"Adm Bgt 97 vs Prév. 96";#N/A,#N/A,FALSE,"Adm Bgt 97 vs 96"}</definedName>
    <definedName name="Add_Budget_Selection">#REF!</definedName>
    <definedName name="adf" hidden="1">{#N/A,#N/A,FALSE,"SCHEDULE G"}</definedName>
    <definedName name="adfa" hidden="1">{"cap_structure",#N/A,FALSE,"Graph-Mkt Cap";"price",#N/A,FALSE,"Graph-Price";"ebit",#N/A,FALSE,"Graph-EBITDA";"ebitda",#N/A,FALSE,"Graph-EBITDA"}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MAMD" hidden="1">{#N/A,#N/A,FALSE,"Adm comp";#N/A,#N/A,FALSE,"Adm ajust";"adm",#N/A,FALSE,"Administration";#N/A,#N/A,FALSE,"Adm Bgt 97 vs Prév. 96";#N/A,#N/A,FALSE,"Adm Bgt 97 vs 96"}</definedName>
    <definedName name="ads" hidden="1">{"inputs raw data",#N/A,TRUE,"INPUT"}</definedName>
    <definedName name="ADSA" hidden="1">{#N/A,#N/A,FALSE,"Adm comp";#N/A,#N/A,FALSE,"Adm ajust";"adm",#N/A,FALSE,"Administration";#N/A,#N/A,FALSE,"Adm Bgt 97 vs Prév. 96";#N/A,#N/A,FALSE,"Adm Bgt 97 vs 96"}</definedName>
    <definedName name="ADSFA" hidden="1">{"inputs raw data",#N/A,TRUE,"INPUT"}</definedName>
    <definedName name="adssa" hidden="1">{"Page1",#N/A,FALSE,"Summary";"Page2",#N/A,FALSE,"Summary";"Page3",#N/A,FALSE,"Summary";"Page4",#N/A,FALSE,"Summary"}</definedName>
    <definedName name="adv" hidden="1">{"Proforma",#N/A,FALSE,"Sheet1"}</definedName>
    <definedName name="AEWEW" hidden="1">{"inputs raw data",#N/A,TRUE,"INPUT"}</definedName>
    <definedName name="afd" hidden="1">#REF!</definedName>
    <definedName name="afdfadsf" hidden="1">{#N/A,#N/A,FALSE,"RENT ROLL"}</definedName>
    <definedName name="afe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gf" hidden="1">{#N/A,#N/A,FALSE,"ExecSum";#N/A,#N/A,FALSE,"total summary";#N/A,#N/A,FALSE,"Budget";#N/A,#N/A,FALSE,"CashFlow"}</definedName>
    <definedName name="AJSXBDEI" hidden="1">{#N/A,#N/A,FALSE,"Min compa cad";#N/A,#N/A,FALSE,"Min CAN Equité ";#N/A,#N/A,FALSE,"Analyse can"}</definedName>
    <definedName name="AKKQIW" hidden="1">{#N/A,#N/A,FALSE,"Adm comp";#N/A,#N/A,FALSE,"Adm ajust";"adm",#N/A,FALSE,"Administration";#N/A,#N/A,FALSE,"Adm Bgt 97 vs Prév. 96";#N/A,#N/A,FALSE,"Adm Bgt 97 vs 96"}</definedName>
    <definedName name="AKQI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SJD" hidden="1">{#N/A,#N/A,FALSE,"Min compa cad";#N/A,#N/A,FALSE,"Min CAN Equité ";#N/A,#N/A,FALSE,"Analyse can"}</definedName>
    <definedName name="ALKSKDJ" hidden="1">{#N/A,#N/A,FALSE,"Centres";#N/A,#N/A,FALSE,"Partenariats";#N/A,#N/A,FALSE,"P.Diverses";#N/A,#N/A,FALSE,"Adm";#N/A,#N/A,FALSE,"Autres R-D";#N/A,#N/A,FALSE,"Intérêts"}</definedName>
    <definedName name="ALSKDJFH" hidden="1">{#N/A,#N/A,FALSE,"Min compa cad";#N/A,#N/A,FALSE,"Min CAN Equité ";#N/A,#N/A,FALSE,"Analyse can"}</definedName>
    <definedName name="Analysis_End_Date">#REF!</definedName>
    <definedName name="Analysis_End_Month">#REF!</definedName>
    <definedName name="Analysis_Length_Months">#REF!</definedName>
    <definedName name="Analysis_Length_Years">#REF!</definedName>
    <definedName name="Analysis_Start_Date">#REF!</definedName>
    <definedName name="Analysis_Start_Month">#REF!</definedName>
    <definedName name="andrew" hidden="1">{"eca",#N/A,TRUE,"E-C1 (R)";"ecb",#N/A,TRUE,"E-C1 (R)"}</definedName>
    <definedName name="anscount" hidden="1">2</definedName>
    <definedName name="aool" hidden="1">{#N/A,#N/A,FALSE,"RENT ROLL"}</definedName>
    <definedName name="AOQBD" hidden="1">{#N/A,#N/A,FALSE,"Adm comp";#N/A,#N/A,FALSE,"Adm ajust";"adm",#N/A,FALSE,"Administration";#N/A,#N/A,FALSE,"Adm Bgt 97 vs Prév. 96";#N/A,#N/A,FALSE,"Adm Bgt 97 vs 96"}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2HasNoAutoHeaderFooter" hidden="1">" "</definedName>
    <definedName name="AS2NamedRange" hidden="1">3</definedName>
    <definedName name="asd" hidden="1">{#N/A,#N/A,FALSE,"Adm comp";#N/A,#N/A,FALSE,"Adm ajust";"adm",#N/A,FALSE,"Administration";#N/A,#N/A,FALSE,"Adm Bgt 97 vs Prév. 96";#N/A,#N/A,FALSE,"Adm Bgt 97 vs 96"}</definedName>
    <definedName name="asda" hidden="1">{#N/A,#N/A,FALSE,"Centres";#N/A,#N/A,FALSE,"Partenariats";#N/A,#N/A,FALSE,"P.Diverses";#N/A,#N/A,FALSE,"Adm";#N/A,#N/A,FALSE,"Autres R-D";#N/A,#N/A,FALSE,"Intérêts"}</definedName>
    <definedName name="asd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asdf2" hidden="1">{#N/A,#N/A,FALSE,"OperatingAssumptions"}</definedName>
    <definedName name="asdf22" hidden="1">{#N/A,#N/A,FALSE,"OperatingAssumptions"}</definedName>
    <definedName name="asdf3" hidden="1">{#N/A,#N/A,FALSE,"LoanAssumptions"}</definedName>
    <definedName name="asdf33" hidden="1">{#N/A,#N/A,FALSE,"LoanAssumptions"}</definedName>
    <definedName name="asdf5" hidden="1">{"MonthlyRentRoll",#N/A,FALSE,"RentRoll"}</definedName>
    <definedName name="asdf55" hidden="1">{"MonthlyRentRoll",#N/A,FALSE,"RentRoll"}</definedName>
    <definedName name="asdf7" hidden="1">{#N/A,#N/A,TRUE,"Summary";"AnnualRentRoll",#N/A,TRUE,"RentRoll";#N/A,#N/A,TRUE,"ExitStratigy";#N/A,#N/A,TRUE,"OperatingAssumptions"}</definedName>
    <definedName name="asdf77" hidden="1">{#N/A,#N/A,TRUE,"Summary";"AnnualRentRoll",#N/A,TRUE,"RentRoll";#N/A,#N/A,TRUE,"ExitStratigy";#N/A,#N/A,TRUE,"OperatingAssumptions"}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asdfasdfsdf" hidden="1">#REF!</definedName>
    <definedName name="asdfg" hidden="1">{"rtn",#N/A,FALSE,"RTN";"tables",#N/A,FALSE,"RTN";"cf",#N/A,FALSE,"CF";"stats",#N/A,FALSE,"Stats";"prop",#N/A,FALSE,"Prop"}</definedName>
    <definedName name="asdfsadfasdf" hidden="1">#REF!</definedName>
    <definedName name="asdfsdfsdf" hidden="1">{#N/A,#N/A,FALSE,"Expense Comparison"}</definedName>
    <definedName name="asdssad" hidden="1">{"Section 1",#N/A,TRUE,"Summary";"Section 2",#N/A,TRUE,"Summary";"Section 3",#N/A,TRUE,"Summary";"Section 4",#N/A,TRUE,"Summary"}</definedName>
    <definedName name="asfaF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get" hidden="1">{"Page1",#N/A,FALSE,"7979";"Page2",#N/A,FALSE,"7979";"Page3",#N/A,FALSE,"7979"}</definedName>
    <definedName name="ashish" hidden="1">{"'Assump'!$F$6:$J$6"}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hidden="1">{"rtn",#N/A,FALSE,"RTN";"tables",#N/A,FALSE,"RTN";"cf",#N/A,FALSE,"CF";"stats",#N/A,FALSE,"Stats";"prop",#N/A,FALSE,"Prop"}</definedName>
    <definedName name="b" hidden="1">{#N/A,#N/A,FALSE,"ExitStratigy"}</definedName>
    <definedName name="b_Key1" hidden="1">#REF!</definedName>
    <definedName name="b_Key2" hidden="1">#REF!</definedName>
    <definedName name="BadLink" hidden="1">#REF!</definedName>
    <definedName name="bb" hidden="1">{#N/A,#N/A,FALSE,"ExitStratigy"}</definedName>
    <definedName name="bbb" hidden="1">{#N/A,#N/A,FALSE,"ExitStratigy"}</definedName>
    <definedName name="BBBBB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bbbbb1" hidden="1">{#N/A,#N/A,FALSE,"Adm comp";#N/A,#N/A,FALSE,"Adm ajust";"adm",#N/A,FALSE,"Administration";#N/A,#N/A,FALSE,"Adm Bgt 97 vs Prév. 96";#N/A,#N/A,FALSE,"Adm Bgt 97 vs 96"}</definedName>
    <definedName name="be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ttle" hidden="1">{"Full Sheet",#N/A,FALSE,"Expense Comparison"}</definedName>
    <definedName name="Bed" hidden="1">#REF!</definedName>
    <definedName name="bf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GR" hidden="1">{#N/A,#N/A,FALSE,"Centres";#N/A,#N/A,FALSE,"Partenariats";#N/A,#N/A,FALSE,"P.Diverses";#N/A,#N/A,FALSE,"Adm";#N/A,#N/A,FALSE,"Autres R-D";#N/A,#N/A,FALSE,"Intérêts"}</definedName>
    <definedName name="BGRFV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hbhbhbh" hidden="1">{#N/A,#N/A,FALSE,"Centres";#N/A,#N/A,FALSE,"Partenariats";#N/A,#N/A,FALSE,"P.Diverses";#N/A,#N/A,FALSE,"Adm";#N/A,#N/A,FALSE,"Autres R-D";#N/A,#N/A,FALSE,"Intérêts"}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H_2" hidden="1">#REF!</definedName>
    <definedName name="BLPH1" hidden="1">#REF!</definedName>
    <definedName name="BLPH10" hidden="1">#REF!</definedName>
    <definedName name="BLPH1000001" hidden="1">#REF!</definedName>
    <definedName name="BLPH1000003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T" hidden="1">{"all",#N/A,FALSE,"Compco";"summary",#N/A,FALSE,"Compco"}</definedName>
    <definedName name="budget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VBV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xxcxcx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Capex" hidden="1">{"bs",#N/A,FALSE,"SCF"}</definedName>
    <definedName name="cat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egory_1">#REF!</definedName>
    <definedName name="Category_2">#REF!</definedName>
    <definedName name="Category_3">#REF!</definedName>
    <definedName name="Category_4">#REF!</definedName>
    <definedName name="Category_5">#REF!</definedName>
    <definedName name="Category_6">#REF!</definedName>
    <definedName name="Category_7">#REF!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b_sChart41E9A35_opts" hidden="1">"1, 9, 1, False, 2, False, False, , 0, False, True, 1, 1"</definedName>
    <definedName name="cbre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c" hidden="1">{#N/A,#N/A,FALSE,"LoanAssumptions"}</definedName>
    <definedName name="cc." hidden="1">{"CD1",#N/A,TRUE,"C-D (R)";"CD2",#N/A,TRUE,"C-D (R)"}</definedName>
    <definedName name="ccc" hidden="1">{#N/A,#N/A,FALSE,"LoanAssumptions"}</definedName>
    <definedName name="CCCCC" hidden="1">{#N/A,#N/A,FALSE,"Adm comp";#N/A,#N/A,FALSE,"Adm ajust";"adm",#N/A,FALSE,"Administration";#N/A,#N/A,FALSE,"Adm Bgt 97 vs Prév. 96";#N/A,#N/A,FALSE,"Adm Bgt 97 vs 96"}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OO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CEC_DATA" hidden="1">#REF!</definedName>
    <definedName name="Ceuta" hidden="1">{#N/A,#N/A,FALSE,"EOAF";#N/A,#N/A,FALSE,"Ingresos";#N/A,#N/A,FALSE,"Rat2";#N/A,#N/A,FALSE,"IFP";#N/A,#N/A,FALSE,"Anexo"}</definedName>
    <definedName name="cfdgdhtrgtrh" hidden="1">{#N/A,#N/A,FALSE,"Centres";#N/A,#N/A,FALSE,"Partenariats";#N/A,#N/A,FALSE,"P.Diverses";#N/A,#N/A,FALSE,"Adm";#N/A,#N/A,FALSE,"Autres R-D";#N/A,#N/A,FALSE,"Intérêts"}</definedName>
    <definedName name="Chart12345" hidden="1">#REF!</definedName>
    <definedName name="check2" hidden="1">{#N/A,#N/A,FALSE,"Cashflow Analysis";#N/A,#N/A,FALSE,"Sensitivity Analysis";#N/A,#N/A,FALSE,"PV";#N/A,#N/A,FALSE,"Pro Forma"}</definedName>
    <definedName name="CIQWBGuid" hidden="1">"GIC-Madison - Retail Model vDRAFT (JV)_v9.0.2 (ADIA).xlsx"</definedName>
    <definedName name="CMVNFH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OC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mpanyName1" hidden="1">#REF!</definedName>
    <definedName name="CompanyName3" hidden="1">#REF!</definedName>
    <definedName name="CompRange1Main" hidden="1">#REF!</definedName>
    <definedName name="CompRange2Main" hidden="1">#REF!</definedName>
    <definedName name="CompRange3Main" hidden="1">#REF!</definedName>
    <definedName name="Comps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t_End_Date">#REF!</definedName>
    <definedName name="Const_End_Month">#REF!</definedName>
    <definedName name="Const_Start_Date">#REF!</definedName>
    <definedName name="Construction_Int_Rate">#REF!</definedName>
    <definedName name="Construction_Length">#REF!</definedName>
    <definedName name="Construction_Loan_Amount">#REF!</definedName>
    <definedName name="Construction_Module_On?">#REF!</definedName>
    <definedName name="COO" hidden="1">{#N/A,#N/A,FALSE,"Matrix";#N/A,#N/A,FALSE,"Cash Flow";#N/A,#N/A,FALSE,"10 Year Cost Analysis"}</definedName>
    <definedName name="COPIA" hidden="1">{#N/A,#N/A,FALSE,"CONTROLE"}</definedName>
    <definedName name="COPIA1" hidden="1">{#N/A,#N/A,FALSE,"CONTROLE"}</definedName>
    <definedName name="CostDetail" hidden="1">{"CF",#N/A,FALSE,"Cash Flow";"RET",#N/A,FALSE,"Returns";"NPV",#N/A,FALSE,"Values";"ASMPT",#N/A,FALSE,"Assumptions"}</definedName>
    <definedName name="CurrentLeaseExpirationDate" hidden="1">#REF!</definedName>
    <definedName name="CurrentLeaseSignedDate" hidden="1">#REF!</definedName>
    <definedName name="CurrentMoveInDate" hidden="1">#REF!</definedName>
    <definedName name="Cwvu._Current_." hidden="1">#REF!,#REF!,#REF!,#REF!,#REF!,#REF!,#REF!,#REF!,#REF!,#REF!,#REF!,#REF!,#REF!,#REF!,#REF!,#REF!,#REF!,#REF!,#REF!,#REF!,#REF!,#REF!,#REF!,#REF!</definedName>
    <definedName name="Cwvu.ACCOUNT._.DETAIL." hidden="1">#REF!</definedName>
    <definedName name="Cwvu.WAT." hidden="1">#REF!</definedName>
    <definedName name="cx" hidden="1">{#N/A,#N/A,FALSE,"Min compa cad";#N/A,#N/A,FALSE,"Min CAN Equité ";#N/A,#N/A,FALSE,"Analyse can"}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{#N/A,#N/A,FALSE,"LoanAssumptions"}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FAD" hidden="1">{"cap_structure",#N/A,FALSE,"Graph-Mkt Cap";"price",#N/A,FALSE,"Graph-Price";"ebit",#N/A,FALSE,"Graph-EBITDA";"ebitda",#N/A,FALSE,"Graph-EBITDA"}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TA_0" hidden="1">#REF!</definedName>
    <definedName name="DATA_01" hidden="1">#REF!</definedName>
    <definedName name="DATA_01_a" hidden="1">#REF!</definedName>
    <definedName name="DATA_01A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5A" hidden="1">#REF!</definedName>
    <definedName name="DATA_07" hidden="1">#REF!</definedName>
    <definedName name="DATA_07A" hidden="1">#REF!</definedName>
    <definedName name="DATA_08" hidden="1">#REF!</definedName>
    <definedName name="DateRangeCompMain" hidden="1">#REF!</definedName>
    <definedName name="DateStamp" hidden="1">#REF!</definedName>
    <definedName name="dd" hidden="1">{"CF",#N/A,FALSE,"Cash Flow";"RET",#N/A,FALSE,"Returns";"NPV",#N/A,FALSE,"Values";"ASMPT",#N/A,FALSE,"Assumptions"}</definedName>
    <definedName name="dda" hidden="1">{#N/A,#N/A,FALSE}</definedName>
    <definedName name="ddd" hidden="1">{"MonthlyRentRoll",#N/A,FALSE,"RentRoll"}</definedName>
    <definedName name="dddd" hidden="1">{#N/A,#N/A,FALSE,"96 RENT SUM";#N/A,#N/A,FALSE,"LSGACTSCHED";#N/A,#N/A,FALSE,"Conc. Sched"}</definedName>
    <definedName name="dddddd" hidden="1">{#N/A,#N/A,FALSE,"CAPREIT"}</definedName>
    <definedName name="dddddd2" hidden="1">{#N/A,#N/A,FALSE,"CAPREIT"}</definedName>
    <definedName name="ddddddd" hidden="1">{#N/A,#N/A,FALSE,"CAPREIT"}</definedName>
    <definedName name="ddddddd2" hidden="1">{#N/A,#N/A,FALSE,"CAPREIT"}</definedName>
    <definedName name="DealName" hidden="1">#REF!</definedName>
    <definedName name="DealUnits" hidden="1">#REF!</definedName>
    <definedName name="Debt_Calc1_Amort" hidden="1">#REF!</definedName>
    <definedName name="Debt_Calc1_CapExEnd" hidden="1">#REF!</definedName>
    <definedName name="Debt_Calc1_Draw" hidden="1">#REF!</definedName>
    <definedName name="Debt_Calc1_End" hidden="1">#REF!</definedName>
    <definedName name="Debt_Calc1_InitialBalance" hidden="1">#REF!</definedName>
    <definedName name="Debt_Calc1_IO" hidden="1">#REF!</definedName>
    <definedName name="Debt_Calc1_IsPrepaid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Amort" hidden="1">#REF!</definedName>
    <definedName name="Debt_Calc2_CapExEnd" hidden="1">#REF!</definedName>
    <definedName name="Debt_Calc2_Draw" hidden="1">#REF!</definedName>
    <definedName name="Debt_Calc2_End" hidden="1">#REF!</definedName>
    <definedName name="Debt_Calc2_InitialBalance" hidden="1">#REF!</definedName>
    <definedName name="Debt_Calc2_IO" hidden="1">#REF!</definedName>
    <definedName name="Debt_Calc2_IsPrepaid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Amort" hidden="1">#REF!</definedName>
    <definedName name="Debt_Calc3_CapExEnd" hidden="1">#REF!</definedName>
    <definedName name="Debt_Calc3_Draw" hidden="1">#REF!</definedName>
    <definedName name="Debt_Calc3_End" hidden="1">#REF!</definedName>
    <definedName name="Debt_Calc3_InitialBalance" hidden="1">#REF!</definedName>
    <definedName name="Debt_Calc3_IO" hidden="1">#REF!</definedName>
    <definedName name="Debt_Calc3_IsPrepaid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Type2" hidden="1">#REF!</definedName>
    <definedName name="Debt_CalcType3" hidden="1">#REF!</definedName>
    <definedName name="Debt_CalcType4" hidden="1">#REF!</definedName>
    <definedName name="Debt_CalcType5" hidden="1">#REF!</definedName>
    <definedName name="Debt_CalcTypes" hidden="1">#REF!</definedName>
    <definedName name="Debt_FundType1" hidden="1">#REF!</definedName>
    <definedName name="Debt_FundType2" hidden="1">#REF!</definedName>
    <definedName name="Debt_FundType3" hidden="1">#REF!</definedName>
    <definedName name="Debt_FundTypes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abel1_Amort" hidden="1">#REF!</definedName>
    <definedName name="Debt_Label1_Amount" hidden="1">#REF!</definedName>
    <definedName name="Debt_Label1_InitialRate" hidden="1">#REF!</definedName>
    <definedName name="Debt_Label1_IO" hidden="1">#REF!</definedName>
    <definedName name="Debt_Label1_Maturity" hidden="1">#REF!</definedName>
    <definedName name="Debt_Label1_Percent" hidden="1">#REF!</definedName>
    <definedName name="Debt_Label1_Term" hidden="1">#REF!</definedName>
    <definedName name="Debt_Label1_Value" hidden="1">#REF!</definedName>
    <definedName name="Debt_Label2_Amort" hidden="1">#REF!</definedName>
    <definedName name="Debt_Label2_Amount" hidden="1">#REF!</definedName>
    <definedName name="Debt_Label2_InitialRate" hidden="1">#REF!</definedName>
    <definedName name="Debt_Label2_IO" hidden="1">#REF!</definedName>
    <definedName name="Debt_Label2_Maturity" hidden="1">#REF!</definedName>
    <definedName name="Debt_Label2_Percent" hidden="1">#REF!</definedName>
    <definedName name="Debt_Label2_Term" hidden="1">#REF!</definedName>
    <definedName name="Debt_Label2_Value" hidden="1">#REF!</definedName>
    <definedName name="Debt_Label3_Amort" hidden="1">#REF!</definedName>
    <definedName name="Debt_Label3_Amount" hidden="1">#REF!</definedName>
    <definedName name="Debt_Label3_InitialRate" hidden="1">#REF!</definedName>
    <definedName name="Debt_Label3_IO" hidden="1">#REF!</definedName>
    <definedName name="Debt_Label3_Maturity" hidden="1">#REF!</definedName>
    <definedName name="Debt_Label3_Percent" hidden="1">#REF!</definedName>
    <definedName name="Debt_Label3_Term" hidden="1">#REF!</definedName>
    <definedName name="Debt_Label3_Value" hidden="1">#REF!</definedName>
    <definedName name="Debt_LoanType1" hidden="1">#REF!</definedName>
    <definedName name="Debt_LoanType2" hidden="1">#REF!</definedName>
    <definedName name="Debt_LoanType4" hidden="1">#REF!</definedName>
    <definedName name="Debt_LoanTypes" hidden="1">#REF!</definedName>
    <definedName name="DEBT_PaymentType1" hidden="1">#REF!</definedName>
    <definedName name="DEBT_PaymentType5" hidden="1">#REF!</definedName>
    <definedName name="DEBT_PaymentTypes" hidden="1">#REF!</definedName>
    <definedName name="Debt_PurchaseRange" hidden="1">0</definedName>
    <definedName name="Debt_RefiTypes" hidden="1">#REF!</definedName>
    <definedName name="Debt_Show1_Amort" hidden="1">#REF!</definedName>
    <definedName name="Debt_Show1_AmortHC" hidden="1">#REF!</definedName>
    <definedName name="Debt_Show1_Amount" hidden="1">#REF!</definedName>
    <definedName name="Debt_Show1_CapEx" hidden="1">#REF!</definedName>
    <definedName name="Debt_Show1_FundDate" hidden="1">#REF!</definedName>
    <definedName name="Debt_Show1_FundMethod" hidden="1">#REF!</definedName>
    <definedName name="Debt_Show1_FundPercent" hidden="1">#REF!</definedName>
    <definedName name="Debt_Show1_FundPoints" hidden="1">#REF!</definedName>
    <definedName name="Debt_Show1_Loan" hidden="1">#REF!</definedName>
    <definedName name="Debt_Show1_Rate" hidden="1">#REF!</definedName>
    <definedName name="Debt_Show1_Spread" hidden="1">#REF!</definedName>
    <definedName name="Debt_Show2_Amort" hidden="1">#REF!</definedName>
    <definedName name="Debt_Show2_AmortHC" hidden="1">#REF!</definedName>
    <definedName name="Debt_Show2_Amount" hidden="1">#REF!</definedName>
    <definedName name="Debt_Show2_CapEx" hidden="1">#REF!</definedName>
    <definedName name="Debt_Show2_FundDate" hidden="1">#REF!</definedName>
    <definedName name="Debt_Show2_FundMethod" hidden="1">#REF!</definedName>
    <definedName name="Debt_Show2_FundPercent" hidden="1">#REF!</definedName>
    <definedName name="Debt_Show2_FundPoints" hidden="1">#REF!</definedName>
    <definedName name="Debt_Show2_Loan" hidden="1">#REF!</definedName>
    <definedName name="Debt_Show2_Rate" hidden="1">#REF!</definedName>
    <definedName name="Debt_Show2_Spread" hidden="1">#REF!</definedName>
    <definedName name="Debt_Show3_Amort" hidden="1">#REF!</definedName>
    <definedName name="Debt_Show3_AmortHC" hidden="1">#REF!</definedName>
    <definedName name="Debt_Show3_Amount" hidden="1">#REF!</definedName>
    <definedName name="Debt_Show3_CapEx" hidden="1">#REF!</definedName>
    <definedName name="Debt_Show3_FundDate" hidden="1">#REF!</definedName>
    <definedName name="Debt_Show3_FundMethod" hidden="1">#REF!</definedName>
    <definedName name="Debt_Show3_FundPercent" hidden="1">#REF!</definedName>
    <definedName name="Debt_Show3_FundPoints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Show3_Spread" hidden="1">#REF!</definedName>
    <definedName name="Debt_SubordinationType2" hidden="1">#REF!</definedName>
    <definedName name="Debt_SubordinationTypes" hidden="1">#REF!</definedName>
    <definedName name="Debt_Yes" hidden="1">#REF!</definedName>
    <definedName name="Debt_YesNo" hidden="1">#REF!</definedName>
    <definedName name="def" hidden="1">{"Construction_Short",#N/A,FALSE,"Construction"}</definedName>
    <definedName name="del" hidden="1">{"Page1",#N/A,FALSE,"7979";"Page2",#N/A,FALSE,"7979";"Page3",#N/A,FALSE,"7979"}</definedName>
    <definedName name="delete11" hidden="1">{"Page1",#N/A,FALSE,"CompCo";"Page2",#N/A,FALSE,"CompCo"}</definedName>
    <definedName name="delete2" hidden="1">#REF!</definedName>
    <definedName name="delete5" hidden="1">{"Page1",#N/A,FALSE,"CompCo";"Page2",#N/A,FALSE,"CompCo"}</definedName>
    <definedName name="DELME" hidden="1">{#N/A,#N/A,FALSE,"A";#N/A,#N/A,FALSE,"C"}</definedName>
    <definedName name="DELME_condo" hidden="1">{#N/A,#N/A,FALSE,"A";#N/A,#N/A,FALSE,"C"}</definedName>
    <definedName name="DELME2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hidden="1">{#N/A,#N/A,FALSE,"Common Area Accrual";#N/A,#N/A,FALSE,"Unit One LaSalle";#N/A,#N/A,FALSE,"Unit One CW";#N/A,#N/A,FALSE,"Unit One LaSallle + C &amp; W";#N/A,#N/A,FALSE,"Consolidated Accrual"}</definedName>
    <definedName name="DELME3_Condo" hidden="1">{#N/A,#N/A,FALSE,"Common Area Accrual";#N/A,#N/A,FALSE,"Unit One LaSalle";#N/A,#N/A,FALSE,"Unit One CW";#N/A,#N/A,FALSE,"Unit One LaSallle + C &amp; W";#N/A,#N/A,FALSE,"Consolidated Accrual"}</definedName>
    <definedName name="DELME4" hidden="1">{#N/A,#N/A,FALSE,"399 Park Var";#N/A,#N/A,FALSE,"PK NOTES"}</definedName>
    <definedName name="DELME4_Condo" hidden="1">{#N/A,#N/A,FALSE,"399 Park Var";#N/A,#N/A,FALSE,"PK NOTES"}</definedName>
    <definedName name="DELME5" hidden="1">{#N/A,#N/A,FALSE,"Expense Detail ";#N/A,#N/A,FALSE,"Worksheet";#N/A,#N/A,FALSE,"Audit";#N/A,#N/A,FALSE,"Exclusions";#N/A,#N/A,FALSE,"Variance";#N/A,#N/A,FALSE,"Reconciliation"}</definedName>
    <definedName name="DELME5_Condo" hidden="1">{#N/A,#N/A,FALSE,"Expense Detail ";#N/A,#N/A,FALSE,"Worksheet";#N/A,#N/A,FALSE,"Audit";#N/A,#N/A,FALSE,"Exclusions";#N/A,#N/A,FALSE,"Variance";#N/A,#N/A,FALSE,"Reconciliation"}</definedName>
    <definedName name="DELME7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ta" hidden="1">{"ACCOUNTING COPY",#N/A,FALSE,"SCHEDULE A";"FINANCE COPY",#N/A,FALSE,"SCHEDULE A";"P.L. COPY",#N/A,FALSE,"SCHEDULE A"}</definedName>
    <definedName name="detail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1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edCosts" hidden="1">{"CF",#N/A,FALSE,"Cash Flow";"RET",#N/A,FALSE,"Returns";"NPV",#N/A,FALSE,"Values";"ASMPT",#N/A,FALSE,"Assumptions"}</definedName>
    <definedName name="df" hidden="1">{#N/A,#N/A,FALSE,"CF Yr3";#N/A,#N/A,FALSE,"Rent Roll";#N/A,#N/A,FALSE,"Rent Yr3";#N/A,#N/A,FALSE,"Occ Yr3";#N/A,#N/A,FALSE,"TI+Com Yr3";#N/A,#N/A,FALSE,"OER Yr3";#N/A,#N/A,FALSE,"OE Yr3"}</definedName>
    <definedName name="dfd" hidden="1">{"FCB_ALL",#N/A,FALSE,"FCB";"GREY_ALL",#N/A,FALSE,"GREY"}</definedName>
    <definedName name="dfdas" hidden="1">{"FCB_ALL",#N/A,FALSE,"FCB";"GREY_ALL",#N/A,FALSE,"GREY"}</definedName>
    <definedName name="dfdf" hidden="1">{"History+Projection+5Comps",#N/A,FALSE,"HISTORY (2)";"$ Per Occupied History+Projection+5Comps",#N/A,FALSE,"HISTORY (2)";"History+Projection",#N/A,FALSE,"HISTORY (2)"}</definedName>
    <definedName name="DFDFD" hidden="1">{#N/A,#N/A,FALSE,"Adm comp";#N/A,#N/A,FALSE,"Adm ajust";"adm",#N/A,FALSE,"Administration";#N/A,#N/A,FALSE,"Adm Bgt 97 vs Prév. 96";#N/A,#N/A,FALSE,"Adm Bgt 97 vs 96"}</definedName>
    <definedName name="dfdfdfd" hidden="1">{"FCB_ALL",#N/A,FALSE,"FCB"}</definedName>
    <definedName name="dfdsf" hidden="1">{#N/A,#N/A,FALSE,"RENT ROLL"}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d" hidden="1">{#N/A,#N/A,FALSE,"Cashflow Analysis";#N/A,#N/A,FALSE,"Sensitivity Analysis";#N/A,#N/A,FALSE,"PV";#N/A,#N/A,FALSE,"Pro Forma"}</definedName>
    <definedName name="dfjdklfj" hidden="1">{"$ Per Occupied History+Projection+5Comps",#N/A,FALSE,"HISTORY (2)";"History+Projection+5Comps",#N/A,FALSE,"HISTORY (2)";"History+Projection",#N/A,FALSE,"HISTORY (2)";"History+Projection per Occ'd",#N/A,FALSE,"HISTORY (2)"}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LS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ME_Dirty" hidden="1">"False"</definedName>
    <definedName name="DME_LocalFile" hidden="1">"True"</definedName>
    <definedName name="DME_ODMALinksCount" hidden="1">"1"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" hidden="1">{#N/A,#N/A,FALSE,"ExecSum";#N/A,#N/A,FALSE,"total summary";#N/A,#N/A,FALSE,"Budget";#N/A,#N/A,FALSE,"CashFlow"}</definedName>
    <definedName name="dsass" hidden="1">{#N/A,#N/A,FALSE,"Adm comp";#N/A,#N/A,FALSE,"Adm ajust";"adm",#N/A,FALSE,"Administration";#N/A,#N/A,FALSE,"Adm Bgt 97 vs Prév. 96";#N/A,#N/A,FALSE,"Adm Bgt 97 vs 96"}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" hidden="1">{"MonthlyRentRoll",#N/A,FALSE,"RentRoll"}</definedName>
    <definedName name="edcdedc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ed" hidden="1">{#N/A,#N/A,FALSE,"Adm comp";#N/A,#N/A,FALSE,"Adm ajust";"adm",#N/A,FALSE,"Administration";#N/A,#N/A,FALSE,"Adm Bgt 97 vs Prév. 96";#N/A,#N/A,FALSE,"Adm Bgt 97 vs 96"}</definedName>
    <definedName name="EDC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USW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e" hidden="1">{#N/A,#N/A,FALSE,"OperatingAssumptions"}</definedName>
    <definedName name="eea" hidden="1">{#N/A,#N/A,FALSE}</definedName>
    <definedName name="eee" hidden="1">{#N/A,#N/A,FALSE,"OperatingAssumptions"}</definedName>
    <definedName name="eeee" hidden="1">{"Page1",#N/A,FALSE,"Summary";"Page2",#N/A,FALSE,"Summary";"Page3",#N/A,FALSE,"Summary";"Page4",#N/A,FALSE,"Summary"}</definedName>
    <definedName name="eeeee" hidden="1">{"Section 1",#N/A,TRUE,"Summary";"Section 2",#N/A,TRUE,"Summary";"Section 3",#N/A,TRUE,"Summary";"Section 4",#N/A,TRUE,"Summary"}</definedName>
    <definedName name="eeeeee" hidden="1">{#N/A,#N/A,FALSE,"Adm comp";#N/A,#N/A,FALSE,"Adm ajust";"adm",#N/A,FALSE,"Administration";#N/A,#N/A,FALSE,"Adm Bgt 97 vs Prév. 96";#N/A,#N/A,FALSE,"Adm Bgt 97 vs 96"}</definedName>
    <definedName name="ELAINE" hidden="1">{#N/A,#N/A,FALSE,"RENT ROLL"}</definedName>
    <definedName name="Equity_Contribution">#REF!</definedName>
    <definedName name="Equity_Share_LP">#REF!</definedName>
    <definedName name="Equity_Share_LP_Monthly">#REF!</definedName>
    <definedName name="Equity_Share_Sponsor">#REF!</definedName>
    <definedName name="Equity_Share_Sponsor_Monthly">#REF!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asdf" hidden="1">{"Assump",#N/A,TRUE,"Proforma";"first",#N/A,TRUE,"Proforma";"second",#N/A,TRUE,"Proforma";"lease1",#N/A,TRUE,"Proforma";"lease2",#N/A,TRUE,"Proforma"}</definedName>
    <definedName name="ereder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RE" hidden="1">{#N/A,#N/A,FALSE,"Min compar us";#N/A,#N/A,FALSE,"Min US Equité ";#N/A,#N/A,FALSE,"Analyse U.S."}</definedName>
    <definedName name="Estimate" hidden="1">{#N/A,#N/A,FALSE,"Detail";#N/A,#N/A,FALSE,"Totals"}</definedName>
    <definedName name="ev.Calculation" hidden="1">-4135</definedName>
    <definedName name="ev.Initialized" hidden="1">FALSE</definedName>
    <definedName name="EV__LASTREFTIME__" hidden="1">40980.5901157407</definedName>
    <definedName name="ewrwer" hidden="1">{#N/A,#N/A,FALSE,"Adm comp";#N/A,#N/A,FALSE,"Adm ajust";"adm",#N/A,FALSE,"Administration";#N/A,#N/A,FALSE,"Adm Bgt 97 vs Prév. 96";#N/A,#N/A,FALSE,"Adm Bgt 97 vs 96"}</definedName>
    <definedName name="EX" hidden="1">{#N/A,#N/A,FALSE,"Centres";#N/A,#N/A,FALSE,"Partenariats";#N/A,#N/A,FALSE,"P.Diverses";#N/A,#N/A,FALSE,"Adm";#N/A,#N/A,FALSE,"Autres R-D";#N/A,#N/A,FALSE,"Intérêts"}</definedName>
    <definedName name="exc" hidden="1">{#N/A,#N/A,FALSE,"Centres";#N/A,#N/A,FALSE,"Partenariats";#N/A,#N/A,FALSE,"P.Diverses";#N/A,#N/A,FALSE,"Adm";#N/A,#N/A,FALSE,"Autres R-D";#N/A,#N/A,FALSE,"Intérêts"}</definedName>
    <definedName name="EXCCC" hidden="1">{#N/A,#N/A,FALSE,"Centres";#N/A,#N/A,FALSE,"Partenariats";#N/A,#N/A,FALSE,"P.Diverses";#N/A,#N/A,FALSE,"Adm";#N/A,#N/A,FALSE,"Autres R-D";#N/A,#N/A,FALSE,"Intérêts"}</definedName>
    <definedName name="EXCLU" hidden="1">{#N/A,#N/A,FALSE,"Centres";#N/A,#N/A,FALSE,"Partenariats";#N/A,#N/A,FALSE,"P.Diverses";#N/A,#N/A,FALSE,"Adm";#N/A,#N/A,FALSE,"Autres R-D";#N/A,#N/A,FALSE,"Intérêts"}</definedName>
    <definedName name="EXIT" hidden="1">{#N/A,#N/A,FALSE,"96 RENT SUM";#N/A,#N/A,FALSE,"LSGACTSCHED";#N/A,#N/A,FALSE,"Conc. Sched"}</definedName>
    <definedName name="EXIT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pense" hidden="1">{"Construction Costs",#N/A,FALSE,"Budget";"Income Statement",#N/A,FALSE,"Budget"}</definedName>
    <definedName name="experiment" hidden="1">{#N/A,#N/A,FALSE,"Cashflow Analysis";#N/A,#N/A,FALSE,"Sensitivity Analysis";#N/A,#N/A,FALSE,"PV";#N/A,#N/A,FALSE,"Pro Forma"}</definedName>
    <definedName name="EXX" hidden="1">{#N/A,#N/A,FALSE,"Centres";#N/A,#N/A,FALSE,"Partenariats";#N/A,#N/A,FALSE,"P.Diverses";#N/A,#N/A,FALSE,"Adm";#N/A,#N/A,FALSE,"Autres R-D";#N/A,#N/A,FALSE,"Intérêts"}</definedName>
    <definedName name="EXXE" hidden="1">{#N/A,#N/A,FALSE,"Centres";#N/A,#N/A,FALSE,"Partenariats";#N/A,#N/A,FALSE,"P.Diverses";#N/A,#N/A,FALSE,"Adm";#N/A,#N/A,FALSE,"Autres R-D";#N/A,#N/A,FALSE,"Intérêts"}</definedName>
    <definedName name="F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.u." hidden="1">{#N/A,#N/A,FALSE,"LOAN ANALYSIS"}</definedName>
    <definedName name="f.u.2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f.u.3" hidden="1">{#N/A,#N/A,FALSE,"COMPLIANCE"}</definedName>
    <definedName name="f.u.4" hidden="1">{#N/A,#N/A,FALSE,"PROP. DESCRIPTION"}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asfasd" hidden="1">{"bs",#N/A,FALSE,"SCF"}</definedName>
    <definedName name="FDC_0_0" hidden="1">"#"</definedName>
    <definedName name="FDC_0_1" hidden="1">"#"</definedName>
    <definedName name="FDC_0_10" hidden="1">"#"</definedName>
    <definedName name="FDC_0_11" hidden="1">"#"</definedName>
    <definedName name="FDC_0_12" hidden="1">"#"</definedName>
    <definedName name="FDC_0_13" hidden="1">"#"</definedName>
    <definedName name="FDC_0_14" hidden="1">"#"</definedName>
    <definedName name="FDC_0_2" hidden="1">"#"</definedName>
    <definedName name="FDC_0_3" hidden="1">"#"</definedName>
    <definedName name="FDC_0_4" hidden="1">"#"</definedName>
    <definedName name="FDC_0_5" hidden="1">"#"</definedName>
    <definedName name="FDC_0_6" hidden="1">"#"</definedName>
    <definedName name="FDC_0_7" hidden="1">"#"</definedName>
    <definedName name="FDC_0_8" hidden="1">"#"</definedName>
    <definedName name="FDC_0_9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00_0" hidden="1">"#"</definedName>
    <definedName name="FDC_100_1" hidden="1">"#"</definedName>
    <definedName name="FDC_100_10" hidden="1">"#"</definedName>
    <definedName name="FDC_100_11" hidden="1">"#"</definedName>
    <definedName name="FDC_100_12" hidden="1">"#"</definedName>
    <definedName name="FDC_100_13" hidden="1">"#"</definedName>
    <definedName name="FDC_100_2" hidden="1">"#"</definedName>
    <definedName name="FDC_100_3" hidden="1">"#"</definedName>
    <definedName name="FDC_100_4" hidden="1">"#"</definedName>
    <definedName name="FDC_100_5" hidden="1">"#"</definedName>
    <definedName name="FDC_100_6" hidden="1">"#"</definedName>
    <definedName name="FDC_100_7" hidden="1">"#"</definedName>
    <definedName name="FDC_100_8" hidden="1">"#"</definedName>
    <definedName name="FDC_100_9" hidden="1">"#"</definedName>
    <definedName name="FDC_101_0" hidden="1">"#"</definedName>
    <definedName name="FDC_101_1" hidden="1">"#"</definedName>
    <definedName name="FDC_101_10" hidden="1">"#"</definedName>
    <definedName name="FDC_101_11" hidden="1">"#"</definedName>
    <definedName name="FDC_101_12" hidden="1">"#"</definedName>
    <definedName name="FDC_101_13" hidden="1">"#"</definedName>
    <definedName name="FDC_101_2" hidden="1">"#"</definedName>
    <definedName name="FDC_101_3" hidden="1">"#"</definedName>
    <definedName name="FDC_101_4" hidden="1">"#"</definedName>
    <definedName name="FDC_101_5" hidden="1">"#"</definedName>
    <definedName name="FDC_101_6" hidden="1">"#"</definedName>
    <definedName name="FDC_101_7" hidden="1">"#"</definedName>
    <definedName name="FDC_101_8" hidden="1">"#"</definedName>
    <definedName name="FDC_101_9" hidden="1">"#"</definedName>
    <definedName name="FDC_102_0" hidden="1">"#"</definedName>
    <definedName name="FDC_102_1" hidden="1">"#"</definedName>
    <definedName name="FDC_102_10" hidden="1">"#"</definedName>
    <definedName name="FDC_102_11" hidden="1">"#"</definedName>
    <definedName name="FDC_102_12" hidden="1">"#"</definedName>
    <definedName name="FDC_102_13" hidden="1">"#"</definedName>
    <definedName name="FDC_102_2" hidden="1">"#"</definedName>
    <definedName name="FDC_102_3" hidden="1">"#"</definedName>
    <definedName name="FDC_102_4" hidden="1">"#"</definedName>
    <definedName name="FDC_102_5" hidden="1">"#"</definedName>
    <definedName name="FDC_102_6" hidden="1">"#"</definedName>
    <definedName name="FDC_102_7" hidden="1">"#"</definedName>
    <definedName name="FDC_102_8" hidden="1">"#"</definedName>
    <definedName name="FDC_102_9" hidden="1">"#"</definedName>
    <definedName name="FDC_103_0" hidden="1">"#"</definedName>
    <definedName name="FDC_104_0" hidden="1">"#"</definedName>
    <definedName name="FDC_105_0" hidden="1">"#"</definedName>
    <definedName name="FDC_106_0" hidden="1">"#"</definedName>
    <definedName name="FDC_107_0" hidden="1">"#"</definedName>
    <definedName name="FDC_108_0" hidden="1">"#"</definedName>
    <definedName name="FDC_109_0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10_0" hidden="1">"#"</definedName>
    <definedName name="FDC_111_0" hidden="1">"#"</definedName>
    <definedName name="FDC_112_0" hidden="1">"#"</definedName>
    <definedName name="FDC_113_0" hidden="1">"#"</definedName>
    <definedName name="FDC_114_0" hidden="1">"#"</definedName>
    <definedName name="FDC_115_0" hidden="1">"#"</definedName>
    <definedName name="FDC_116_0" hidden="1">"#"</definedName>
    <definedName name="FDC_116_1" hidden="1">"#"</definedName>
    <definedName name="FDC_116_10" hidden="1">"#"</definedName>
    <definedName name="FDC_116_11" hidden="1">"#"</definedName>
    <definedName name="FDC_116_12" hidden="1">"#"</definedName>
    <definedName name="FDC_116_13" hidden="1">"#"</definedName>
    <definedName name="FDC_116_14" hidden="1">"#"</definedName>
    <definedName name="FDC_116_2" hidden="1">"#"</definedName>
    <definedName name="FDC_116_3" hidden="1">"#"</definedName>
    <definedName name="FDC_116_4" hidden="1">"#"</definedName>
    <definedName name="FDC_116_5" hidden="1">"#"</definedName>
    <definedName name="FDC_116_6" hidden="1">"#"</definedName>
    <definedName name="FDC_116_7" hidden="1">"#"</definedName>
    <definedName name="FDC_116_8" hidden="1">"#"</definedName>
    <definedName name="FDC_116_9" hidden="1">"#"</definedName>
    <definedName name="FDC_117_0" hidden="1">"#"</definedName>
    <definedName name="FDC_117_1" hidden="1">"#"</definedName>
    <definedName name="FDC_117_10" hidden="1">"#"</definedName>
    <definedName name="FDC_117_11" hidden="1">"#"</definedName>
    <definedName name="FDC_117_12" hidden="1">"#"</definedName>
    <definedName name="FDC_117_13" hidden="1">"#"</definedName>
    <definedName name="FDC_117_14" hidden="1">"#"</definedName>
    <definedName name="FDC_117_2" hidden="1">"#"</definedName>
    <definedName name="FDC_117_3" hidden="1">"#"</definedName>
    <definedName name="FDC_117_4" hidden="1">"#"</definedName>
    <definedName name="FDC_117_5" hidden="1">"#"</definedName>
    <definedName name="FDC_117_6" hidden="1">"#"</definedName>
    <definedName name="FDC_117_7" hidden="1">"#"</definedName>
    <definedName name="FDC_117_8" hidden="1">"#"</definedName>
    <definedName name="FDC_117_9" hidden="1">"#"</definedName>
    <definedName name="FDC_118_0" hidden="1">"#"</definedName>
    <definedName name="FDC_118_1" hidden="1">"#"</definedName>
    <definedName name="FDC_118_10" hidden="1">"#"</definedName>
    <definedName name="FDC_118_11" hidden="1">"#"</definedName>
    <definedName name="FDC_118_12" hidden="1">"#"</definedName>
    <definedName name="FDC_118_13" hidden="1">"#"</definedName>
    <definedName name="FDC_118_14" hidden="1">"#"</definedName>
    <definedName name="FDC_118_2" hidden="1">"#"</definedName>
    <definedName name="FDC_118_3" hidden="1">"#"</definedName>
    <definedName name="FDC_118_4" hidden="1">"#"</definedName>
    <definedName name="FDC_118_5" hidden="1">"#"</definedName>
    <definedName name="FDC_118_6" hidden="1">"#"</definedName>
    <definedName name="FDC_118_7" hidden="1">"#"</definedName>
    <definedName name="FDC_118_8" hidden="1">"#"</definedName>
    <definedName name="FDC_118_9" hidden="1">"#"</definedName>
    <definedName name="FDC_119_0" hidden="1">"#"</definedName>
    <definedName name="FDC_119_1" hidden="1">"#"</definedName>
    <definedName name="FDC_119_10" hidden="1">"#"</definedName>
    <definedName name="FDC_119_11" hidden="1">"#"</definedName>
    <definedName name="FDC_119_12" hidden="1">"#"</definedName>
    <definedName name="FDC_119_13" hidden="1">"#"</definedName>
    <definedName name="FDC_119_14" hidden="1">"#"</definedName>
    <definedName name="FDC_119_2" hidden="1">"#"</definedName>
    <definedName name="FDC_119_3" hidden="1">"#"</definedName>
    <definedName name="FDC_119_4" hidden="1">"#"</definedName>
    <definedName name="FDC_119_5" hidden="1">"#"</definedName>
    <definedName name="FDC_119_6" hidden="1">"#"</definedName>
    <definedName name="FDC_119_7" hidden="1">"#"</definedName>
    <definedName name="FDC_119_8" hidden="1">"#"</definedName>
    <definedName name="FDC_119_9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20_0" hidden="1">"#"</definedName>
    <definedName name="FDC_120_1" hidden="1">"#"</definedName>
    <definedName name="FDC_120_10" hidden="1">"#"</definedName>
    <definedName name="FDC_120_11" hidden="1">"#"</definedName>
    <definedName name="FDC_120_12" hidden="1">"#"</definedName>
    <definedName name="FDC_120_13" hidden="1">"#"</definedName>
    <definedName name="FDC_120_14" hidden="1">"#"</definedName>
    <definedName name="FDC_120_2" hidden="1">"#"</definedName>
    <definedName name="FDC_120_3" hidden="1">"#"</definedName>
    <definedName name="FDC_120_4" hidden="1">"#"</definedName>
    <definedName name="FDC_120_5" hidden="1">"#"</definedName>
    <definedName name="FDC_120_6" hidden="1">"#"</definedName>
    <definedName name="FDC_120_7" hidden="1">"#"</definedName>
    <definedName name="FDC_120_8" hidden="1">"#"</definedName>
    <definedName name="FDC_120_9" hidden="1">"#"</definedName>
    <definedName name="FDC_121_0" hidden="1">"#"</definedName>
    <definedName name="FDC_121_1" hidden="1">"#"</definedName>
    <definedName name="FDC_121_10" hidden="1">"#"</definedName>
    <definedName name="FDC_121_11" hidden="1">"#"</definedName>
    <definedName name="FDC_121_12" hidden="1">"#"</definedName>
    <definedName name="FDC_121_13" hidden="1">"#"</definedName>
    <definedName name="FDC_121_14" hidden="1">"#"</definedName>
    <definedName name="FDC_121_2" hidden="1">"#"</definedName>
    <definedName name="FDC_121_3" hidden="1">"#"</definedName>
    <definedName name="FDC_121_4" hidden="1">"#"</definedName>
    <definedName name="FDC_121_5" hidden="1">"#"</definedName>
    <definedName name="FDC_121_6" hidden="1">"#"</definedName>
    <definedName name="FDC_121_7" hidden="1">"#"</definedName>
    <definedName name="FDC_121_8" hidden="1">"#"</definedName>
    <definedName name="FDC_121_9" hidden="1">"#"</definedName>
    <definedName name="FDC_122_0" hidden="1">"#"</definedName>
    <definedName name="FDC_122_1" hidden="1">"#"</definedName>
    <definedName name="FDC_122_10" hidden="1">"#"</definedName>
    <definedName name="FDC_122_11" hidden="1">"#"</definedName>
    <definedName name="FDC_122_12" hidden="1">"#"</definedName>
    <definedName name="FDC_122_13" hidden="1">"#"</definedName>
    <definedName name="FDC_122_14" hidden="1">"#"</definedName>
    <definedName name="FDC_122_2" hidden="1">"#"</definedName>
    <definedName name="FDC_122_3" hidden="1">"#"</definedName>
    <definedName name="FDC_122_4" hidden="1">"#"</definedName>
    <definedName name="FDC_122_5" hidden="1">"#"</definedName>
    <definedName name="FDC_122_6" hidden="1">"#"</definedName>
    <definedName name="FDC_122_7" hidden="1">"#"</definedName>
    <definedName name="FDC_122_8" hidden="1">"#"</definedName>
    <definedName name="FDC_122_9" hidden="1">"#"</definedName>
    <definedName name="FDC_123_0" hidden="1">"#"</definedName>
    <definedName name="FDC_123_1" hidden="1">"#"</definedName>
    <definedName name="FDC_123_10" hidden="1">"#"</definedName>
    <definedName name="FDC_123_11" hidden="1">"#"</definedName>
    <definedName name="FDC_123_12" hidden="1">"#"</definedName>
    <definedName name="FDC_123_13" hidden="1">"#"</definedName>
    <definedName name="FDC_123_14" hidden="1">"#"</definedName>
    <definedName name="FDC_123_2" hidden="1">"#"</definedName>
    <definedName name="FDC_123_3" hidden="1">"#"</definedName>
    <definedName name="FDC_123_4" hidden="1">"#"</definedName>
    <definedName name="FDC_123_5" hidden="1">"#"</definedName>
    <definedName name="FDC_123_6" hidden="1">"#"</definedName>
    <definedName name="FDC_123_7" hidden="1">"#"</definedName>
    <definedName name="FDC_123_8" hidden="1">"#"</definedName>
    <definedName name="FDC_123_9" hidden="1">"#"</definedName>
    <definedName name="FDC_124_0" hidden="1">"#"</definedName>
    <definedName name="FDC_124_1" hidden="1">"#"</definedName>
    <definedName name="FDC_124_10" hidden="1">"#"</definedName>
    <definedName name="FDC_124_11" hidden="1">"#"</definedName>
    <definedName name="FDC_124_12" hidden="1">"#"</definedName>
    <definedName name="FDC_124_13" hidden="1">"#"</definedName>
    <definedName name="FDC_124_14" hidden="1">"#"</definedName>
    <definedName name="FDC_124_2" hidden="1">"#"</definedName>
    <definedName name="FDC_124_3" hidden="1">"#"</definedName>
    <definedName name="FDC_124_4" hidden="1">"#"</definedName>
    <definedName name="FDC_124_5" hidden="1">"#"</definedName>
    <definedName name="FDC_124_6" hidden="1">"#"</definedName>
    <definedName name="FDC_124_7" hidden="1">"#"</definedName>
    <definedName name="FDC_124_8" hidden="1">"#"</definedName>
    <definedName name="FDC_124_9" hidden="1">"#"</definedName>
    <definedName name="FDC_125_0" hidden="1">"#"</definedName>
    <definedName name="FDC_125_1" hidden="1">"#"</definedName>
    <definedName name="FDC_125_10" hidden="1">"#"</definedName>
    <definedName name="FDC_125_11" hidden="1">"#"</definedName>
    <definedName name="FDC_125_12" hidden="1">"#"</definedName>
    <definedName name="FDC_125_13" hidden="1">"#"</definedName>
    <definedName name="FDC_125_14" hidden="1">"#"</definedName>
    <definedName name="FDC_125_2" hidden="1">"#"</definedName>
    <definedName name="FDC_125_3" hidden="1">"#"</definedName>
    <definedName name="FDC_125_4" hidden="1">"#"</definedName>
    <definedName name="FDC_125_5" hidden="1">"#"</definedName>
    <definedName name="FDC_125_6" hidden="1">"#"</definedName>
    <definedName name="FDC_125_7" hidden="1">"#"</definedName>
    <definedName name="FDC_125_8" hidden="1">"#"</definedName>
    <definedName name="FDC_125_9" hidden="1">"#"</definedName>
    <definedName name="FDC_126_0" hidden="1">"#"</definedName>
    <definedName name="FDC_126_1" hidden="1">"#"</definedName>
    <definedName name="FDC_126_10" hidden="1">"#"</definedName>
    <definedName name="FDC_126_11" hidden="1">"#"</definedName>
    <definedName name="FDC_126_12" hidden="1">"#"</definedName>
    <definedName name="FDC_126_13" hidden="1">"#"</definedName>
    <definedName name="FDC_126_14" hidden="1">"#"</definedName>
    <definedName name="FDC_126_2" hidden="1">"#"</definedName>
    <definedName name="FDC_126_3" hidden="1">"#"</definedName>
    <definedName name="FDC_126_4" hidden="1">"#"</definedName>
    <definedName name="FDC_126_5" hidden="1">"#"</definedName>
    <definedName name="FDC_126_6" hidden="1">"#"</definedName>
    <definedName name="FDC_126_7" hidden="1">"#"</definedName>
    <definedName name="FDC_126_8" hidden="1">"#"</definedName>
    <definedName name="FDC_126_9" hidden="1">"#"</definedName>
    <definedName name="FDC_127_0" hidden="1">"#"</definedName>
    <definedName name="FDC_127_1" hidden="1">"#"</definedName>
    <definedName name="FDC_127_10" hidden="1">"#"</definedName>
    <definedName name="FDC_127_11" hidden="1">"#"</definedName>
    <definedName name="FDC_127_12" hidden="1">"#"</definedName>
    <definedName name="FDC_127_13" hidden="1">"#"</definedName>
    <definedName name="FDC_127_14" hidden="1">"#"</definedName>
    <definedName name="FDC_127_2" hidden="1">"#"</definedName>
    <definedName name="FDC_127_3" hidden="1">"#"</definedName>
    <definedName name="FDC_127_4" hidden="1">"#"</definedName>
    <definedName name="FDC_127_5" hidden="1">"#"</definedName>
    <definedName name="FDC_127_6" hidden="1">"#"</definedName>
    <definedName name="FDC_127_7" hidden="1">"#"</definedName>
    <definedName name="FDC_127_8" hidden="1">"#"</definedName>
    <definedName name="FDC_127_9" hidden="1">"#"</definedName>
    <definedName name="FDC_128_0" hidden="1">"#"</definedName>
    <definedName name="FDC_128_1" hidden="1">"#"</definedName>
    <definedName name="FDC_128_10" hidden="1">"#"</definedName>
    <definedName name="FDC_128_11" hidden="1">"#"</definedName>
    <definedName name="FDC_128_12" hidden="1">"#"</definedName>
    <definedName name="FDC_128_13" hidden="1">"#"</definedName>
    <definedName name="FDC_128_14" hidden="1">"#"</definedName>
    <definedName name="FDC_128_2" hidden="1">"#"</definedName>
    <definedName name="FDC_128_3" hidden="1">"#"</definedName>
    <definedName name="FDC_128_4" hidden="1">"#"</definedName>
    <definedName name="FDC_128_5" hidden="1">"#"</definedName>
    <definedName name="FDC_128_6" hidden="1">"#"</definedName>
    <definedName name="FDC_128_7" hidden="1">"#"</definedName>
    <definedName name="FDC_128_8" hidden="1">"#"</definedName>
    <definedName name="FDC_128_9" hidden="1">"#"</definedName>
    <definedName name="FDC_129_0" hidden="1">"#"</definedName>
    <definedName name="FDC_129_1" hidden="1">"#"</definedName>
    <definedName name="FDC_129_10" hidden="1">"#"</definedName>
    <definedName name="FDC_129_11" hidden="1">"#"</definedName>
    <definedName name="FDC_129_12" hidden="1">"#"</definedName>
    <definedName name="FDC_129_13" hidden="1">"#"</definedName>
    <definedName name="FDC_129_14" hidden="1">"#"</definedName>
    <definedName name="FDC_129_2" hidden="1">"#"</definedName>
    <definedName name="FDC_129_3" hidden="1">"#"</definedName>
    <definedName name="FDC_129_4" hidden="1">"#"</definedName>
    <definedName name="FDC_129_5" hidden="1">"#"</definedName>
    <definedName name="FDC_129_6" hidden="1">"#"</definedName>
    <definedName name="FDC_129_7" hidden="1">"#"</definedName>
    <definedName name="FDC_129_8" hidden="1">"#"</definedName>
    <definedName name="FDC_129_9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30_0" hidden="1">"#"</definedName>
    <definedName name="FDC_130_1" hidden="1">"#"</definedName>
    <definedName name="FDC_130_10" hidden="1">"#"</definedName>
    <definedName name="FDC_130_11" hidden="1">"#"</definedName>
    <definedName name="FDC_130_12" hidden="1">"#"</definedName>
    <definedName name="FDC_130_13" hidden="1">"#"</definedName>
    <definedName name="FDC_130_14" hidden="1">"#"</definedName>
    <definedName name="FDC_130_2" hidden="1">"#"</definedName>
    <definedName name="FDC_130_3" hidden="1">"#"</definedName>
    <definedName name="FDC_130_4" hidden="1">"#"</definedName>
    <definedName name="FDC_130_5" hidden="1">"#"</definedName>
    <definedName name="FDC_130_6" hidden="1">"#"</definedName>
    <definedName name="FDC_130_7" hidden="1">"#"</definedName>
    <definedName name="FDC_130_8" hidden="1">"#"</definedName>
    <definedName name="FDC_130_9" hidden="1">"#"</definedName>
    <definedName name="FDC_131_0" hidden="1">"#"</definedName>
    <definedName name="FDC_131_1" hidden="1">"#"</definedName>
    <definedName name="FDC_131_10" hidden="1">"#"</definedName>
    <definedName name="FDC_131_11" hidden="1">"#"</definedName>
    <definedName name="FDC_131_12" hidden="1">"#"</definedName>
    <definedName name="FDC_131_13" hidden="1">"#"</definedName>
    <definedName name="FDC_131_14" hidden="1">"#"</definedName>
    <definedName name="FDC_131_2" hidden="1">"#"</definedName>
    <definedName name="FDC_131_3" hidden="1">"#"</definedName>
    <definedName name="FDC_131_4" hidden="1">"#"</definedName>
    <definedName name="FDC_131_5" hidden="1">"#"</definedName>
    <definedName name="FDC_131_6" hidden="1">"#"</definedName>
    <definedName name="FDC_131_7" hidden="1">"#"</definedName>
    <definedName name="FDC_131_8" hidden="1">"#"</definedName>
    <definedName name="FDC_131_9" hidden="1">"#"</definedName>
    <definedName name="FDC_132_0" hidden="1">"#"</definedName>
    <definedName name="FDC_132_1" hidden="1">"#"</definedName>
    <definedName name="FDC_132_10" hidden="1">"#"</definedName>
    <definedName name="FDC_132_11" hidden="1">"#"</definedName>
    <definedName name="FDC_132_12" hidden="1">"#"</definedName>
    <definedName name="FDC_132_13" hidden="1">"#"</definedName>
    <definedName name="FDC_132_14" hidden="1">"#"</definedName>
    <definedName name="FDC_132_2" hidden="1">"#"</definedName>
    <definedName name="FDC_132_3" hidden="1">"#"</definedName>
    <definedName name="FDC_132_4" hidden="1">"#"</definedName>
    <definedName name="FDC_132_5" hidden="1">"#"</definedName>
    <definedName name="FDC_132_6" hidden="1">"#"</definedName>
    <definedName name="FDC_132_7" hidden="1">"#"</definedName>
    <definedName name="FDC_132_8" hidden="1">"#"</definedName>
    <definedName name="FDC_132_9" hidden="1">"#"</definedName>
    <definedName name="FDC_133_0" hidden="1">"#"</definedName>
    <definedName name="FDC_133_1" hidden="1">"#"</definedName>
    <definedName name="FDC_133_10" hidden="1">"#"</definedName>
    <definedName name="FDC_133_11" hidden="1">"#"</definedName>
    <definedName name="FDC_133_12" hidden="1">"#"</definedName>
    <definedName name="FDC_133_13" hidden="1">"#"</definedName>
    <definedName name="FDC_133_14" hidden="1">"#"</definedName>
    <definedName name="FDC_133_2" hidden="1">"#"</definedName>
    <definedName name="FDC_133_3" hidden="1">"#"</definedName>
    <definedName name="FDC_133_4" hidden="1">"#"</definedName>
    <definedName name="FDC_133_5" hidden="1">"#"</definedName>
    <definedName name="FDC_133_6" hidden="1">"#"</definedName>
    <definedName name="FDC_133_7" hidden="1">"#"</definedName>
    <definedName name="FDC_133_8" hidden="1">"#"</definedName>
    <definedName name="FDC_133_9" hidden="1">"#"</definedName>
    <definedName name="FDC_134_0" hidden="1">"#"</definedName>
    <definedName name="FDC_134_1" hidden="1">"#"</definedName>
    <definedName name="FDC_134_10" hidden="1">"#"</definedName>
    <definedName name="FDC_134_11" hidden="1">"#"</definedName>
    <definedName name="FDC_134_12" hidden="1">"#"</definedName>
    <definedName name="FDC_134_13" hidden="1">"#"</definedName>
    <definedName name="FDC_134_14" hidden="1">"#"</definedName>
    <definedName name="FDC_134_2" hidden="1">"#"</definedName>
    <definedName name="FDC_134_3" hidden="1">"#"</definedName>
    <definedName name="FDC_134_4" hidden="1">"#"</definedName>
    <definedName name="FDC_134_5" hidden="1">"#"</definedName>
    <definedName name="FDC_134_6" hidden="1">"#"</definedName>
    <definedName name="FDC_134_7" hidden="1">"#"</definedName>
    <definedName name="FDC_134_8" hidden="1">"#"</definedName>
    <definedName name="FDC_134_9" hidden="1">"#"</definedName>
    <definedName name="FDC_135_0" hidden="1">"#"</definedName>
    <definedName name="FDC_135_1" hidden="1">"#"</definedName>
    <definedName name="FDC_135_10" hidden="1">"#"</definedName>
    <definedName name="FDC_135_11" hidden="1">"#"</definedName>
    <definedName name="FDC_135_12" hidden="1">"#"</definedName>
    <definedName name="FDC_135_13" hidden="1">"#"</definedName>
    <definedName name="FDC_135_14" hidden="1">"#"</definedName>
    <definedName name="FDC_135_2" hidden="1">"#"</definedName>
    <definedName name="FDC_135_3" hidden="1">"#"</definedName>
    <definedName name="FDC_135_4" hidden="1">"#"</definedName>
    <definedName name="FDC_135_5" hidden="1">"#"</definedName>
    <definedName name="FDC_135_6" hidden="1">"#"</definedName>
    <definedName name="FDC_135_7" hidden="1">"#"</definedName>
    <definedName name="FDC_135_8" hidden="1">"#"</definedName>
    <definedName name="FDC_135_9" hidden="1">"#"</definedName>
    <definedName name="FDC_136_0" hidden="1">"#"</definedName>
    <definedName name="FDC_136_1" hidden="1">"#"</definedName>
    <definedName name="FDC_136_10" hidden="1">"#"</definedName>
    <definedName name="FDC_136_11" hidden="1">"#"</definedName>
    <definedName name="FDC_136_12" hidden="1">"#"</definedName>
    <definedName name="FDC_136_13" hidden="1">"#"</definedName>
    <definedName name="FDC_136_14" hidden="1">"#"</definedName>
    <definedName name="FDC_136_2" hidden="1">"#"</definedName>
    <definedName name="FDC_136_3" hidden="1">"#"</definedName>
    <definedName name="FDC_136_4" hidden="1">"#"</definedName>
    <definedName name="FDC_136_5" hidden="1">"#"</definedName>
    <definedName name="FDC_136_6" hidden="1">"#"</definedName>
    <definedName name="FDC_136_7" hidden="1">"#"</definedName>
    <definedName name="FDC_136_8" hidden="1">"#"</definedName>
    <definedName name="FDC_136_9" hidden="1">"#"</definedName>
    <definedName name="FDC_137_0" hidden="1">"#"</definedName>
    <definedName name="FDC_137_1" hidden="1">"#"</definedName>
    <definedName name="FDC_137_10" hidden="1">"#"</definedName>
    <definedName name="FDC_137_11" hidden="1">"#"</definedName>
    <definedName name="FDC_137_12" hidden="1">"#"</definedName>
    <definedName name="FDC_137_13" hidden="1">"#"</definedName>
    <definedName name="FDC_137_14" hidden="1">"#"</definedName>
    <definedName name="FDC_137_2" hidden="1">"#"</definedName>
    <definedName name="FDC_137_3" hidden="1">"#"</definedName>
    <definedName name="FDC_137_4" hidden="1">"#"</definedName>
    <definedName name="FDC_137_5" hidden="1">"#"</definedName>
    <definedName name="FDC_137_6" hidden="1">"#"</definedName>
    <definedName name="FDC_137_7" hidden="1">"#"</definedName>
    <definedName name="FDC_137_8" hidden="1">"#"</definedName>
    <definedName name="FDC_137_9" hidden="1">"#"</definedName>
    <definedName name="FDC_138_0" hidden="1">"#"</definedName>
    <definedName name="FDC_138_1" hidden="1">"#"</definedName>
    <definedName name="FDC_138_10" hidden="1">"#"</definedName>
    <definedName name="FDC_138_11" hidden="1">"#"</definedName>
    <definedName name="FDC_138_12" hidden="1">"#"</definedName>
    <definedName name="FDC_138_13" hidden="1">"#"</definedName>
    <definedName name="FDC_138_14" hidden="1">"#"</definedName>
    <definedName name="FDC_138_2" hidden="1">"#"</definedName>
    <definedName name="FDC_138_3" hidden="1">"#"</definedName>
    <definedName name="FDC_138_4" hidden="1">"#"</definedName>
    <definedName name="FDC_138_5" hidden="1">"#"</definedName>
    <definedName name="FDC_138_6" hidden="1">"#"</definedName>
    <definedName name="FDC_138_7" hidden="1">"#"</definedName>
    <definedName name="FDC_138_8" hidden="1">"#"</definedName>
    <definedName name="FDC_138_9" hidden="1">"#"</definedName>
    <definedName name="FDC_139_0" hidden="1">"#"</definedName>
    <definedName name="FDC_139_1" hidden="1">"#"</definedName>
    <definedName name="FDC_139_10" hidden="1">"#"</definedName>
    <definedName name="FDC_139_11" hidden="1">"#"</definedName>
    <definedName name="FDC_139_12" hidden="1">"#"</definedName>
    <definedName name="FDC_139_13" hidden="1">"#"</definedName>
    <definedName name="FDC_139_14" hidden="1">"#"</definedName>
    <definedName name="FDC_139_2" hidden="1">"#"</definedName>
    <definedName name="FDC_139_3" hidden="1">"#"</definedName>
    <definedName name="FDC_139_4" hidden="1">"#"</definedName>
    <definedName name="FDC_139_5" hidden="1">"#"</definedName>
    <definedName name="FDC_139_6" hidden="1">"#"</definedName>
    <definedName name="FDC_139_7" hidden="1">"#"</definedName>
    <definedName name="FDC_139_8" hidden="1">"#"</definedName>
    <definedName name="FDC_139_9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40_0" hidden="1">"#"</definedName>
    <definedName name="FDC_140_1" hidden="1">"#"</definedName>
    <definedName name="FDC_140_10" hidden="1">"#"</definedName>
    <definedName name="FDC_140_11" hidden="1">"#"</definedName>
    <definedName name="FDC_140_12" hidden="1">"#"</definedName>
    <definedName name="FDC_140_13" hidden="1">"#"</definedName>
    <definedName name="FDC_140_14" hidden="1">"#"</definedName>
    <definedName name="FDC_140_2" hidden="1">"#"</definedName>
    <definedName name="FDC_140_3" hidden="1">"#"</definedName>
    <definedName name="FDC_140_4" hidden="1">"#"</definedName>
    <definedName name="FDC_140_5" hidden="1">"#"</definedName>
    <definedName name="FDC_140_6" hidden="1">"#"</definedName>
    <definedName name="FDC_140_7" hidden="1">"#"</definedName>
    <definedName name="FDC_140_8" hidden="1">"#"</definedName>
    <definedName name="FDC_140_9" hidden="1">"#"</definedName>
    <definedName name="FDC_141_0" hidden="1">"#"</definedName>
    <definedName name="FDC_141_1" hidden="1">"#"</definedName>
    <definedName name="FDC_141_10" hidden="1">"#"</definedName>
    <definedName name="FDC_141_11" hidden="1">"#"</definedName>
    <definedName name="FDC_141_12" hidden="1">"#"</definedName>
    <definedName name="FDC_141_13" hidden="1">"#"</definedName>
    <definedName name="FDC_141_14" hidden="1">"#"</definedName>
    <definedName name="FDC_141_2" hidden="1">"#"</definedName>
    <definedName name="FDC_141_3" hidden="1">"#"</definedName>
    <definedName name="FDC_141_4" hidden="1">"#"</definedName>
    <definedName name="FDC_141_5" hidden="1">"#"</definedName>
    <definedName name="FDC_141_6" hidden="1">"#"</definedName>
    <definedName name="FDC_141_7" hidden="1">"#"</definedName>
    <definedName name="FDC_141_8" hidden="1">"#"</definedName>
    <definedName name="FDC_141_9" hidden="1">"#"</definedName>
    <definedName name="FDC_142_0" hidden="1">"#"</definedName>
    <definedName name="FDC_142_1" hidden="1">"#"</definedName>
    <definedName name="FDC_142_10" hidden="1">"#"</definedName>
    <definedName name="FDC_142_11" hidden="1">"#"</definedName>
    <definedName name="FDC_142_12" hidden="1">"#"</definedName>
    <definedName name="FDC_142_13" hidden="1">"#"</definedName>
    <definedName name="FDC_142_14" hidden="1">"#"</definedName>
    <definedName name="FDC_142_2" hidden="1">"#"</definedName>
    <definedName name="FDC_142_3" hidden="1">"#"</definedName>
    <definedName name="FDC_142_4" hidden="1">"#"</definedName>
    <definedName name="FDC_142_5" hidden="1">"#"</definedName>
    <definedName name="FDC_142_6" hidden="1">"#"</definedName>
    <definedName name="FDC_142_7" hidden="1">"#"</definedName>
    <definedName name="FDC_142_8" hidden="1">"#"</definedName>
    <definedName name="FDC_142_9" hidden="1">"#"</definedName>
    <definedName name="FDC_143_0" hidden="1">"#"</definedName>
    <definedName name="FDC_143_1" hidden="1">"#"</definedName>
    <definedName name="FDC_143_10" hidden="1">"#"</definedName>
    <definedName name="FDC_143_11" hidden="1">"#"</definedName>
    <definedName name="FDC_143_12" hidden="1">"#"</definedName>
    <definedName name="FDC_143_13" hidden="1">"#"</definedName>
    <definedName name="FDC_143_14" hidden="1">"#"</definedName>
    <definedName name="FDC_143_2" hidden="1">"#"</definedName>
    <definedName name="FDC_143_3" hidden="1">"#"</definedName>
    <definedName name="FDC_143_4" hidden="1">"#"</definedName>
    <definedName name="FDC_143_5" hidden="1">"#"</definedName>
    <definedName name="FDC_143_6" hidden="1">"#"</definedName>
    <definedName name="FDC_143_7" hidden="1">"#"</definedName>
    <definedName name="FDC_143_8" hidden="1">"#"</definedName>
    <definedName name="FDC_143_9" hidden="1">"#"</definedName>
    <definedName name="FDC_144_0" hidden="1">"#"</definedName>
    <definedName name="FDC_144_1" hidden="1">"#"</definedName>
    <definedName name="FDC_144_10" hidden="1">"#"</definedName>
    <definedName name="FDC_144_11" hidden="1">"#"</definedName>
    <definedName name="FDC_144_12" hidden="1">"#"</definedName>
    <definedName name="FDC_144_13" hidden="1">"#"</definedName>
    <definedName name="FDC_144_14" hidden="1">"#"</definedName>
    <definedName name="FDC_144_2" hidden="1">"#"</definedName>
    <definedName name="FDC_144_3" hidden="1">"#"</definedName>
    <definedName name="FDC_144_4" hidden="1">"#"</definedName>
    <definedName name="FDC_144_5" hidden="1">"#"</definedName>
    <definedName name="FDC_144_6" hidden="1">"#"</definedName>
    <definedName name="FDC_144_7" hidden="1">"#"</definedName>
    <definedName name="FDC_144_8" hidden="1">"#"</definedName>
    <definedName name="FDC_144_9" hidden="1">"#"</definedName>
    <definedName name="FDC_145_0" hidden="1">"#"</definedName>
    <definedName name="FDC_145_1" hidden="1">"#"</definedName>
    <definedName name="FDC_145_10" hidden="1">"#"</definedName>
    <definedName name="FDC_145_11" hidden="1">"#"</definedName>
    <definedName name="FDC_145_12" hidden="1">"#"</definedName>
    <definedName name="FDC_145_13" hidden="1">"#"</definedName>
    <definedName name="FDC_145_14" hidden="1">"#"</definedName>
    <definedName name="FDC_145_2" hidden="1">"#"</definedName>
    <definedName name="FDC_145_3" hidden="1">"#"</definedName>
    <definedName name="FDC_145_4" hidden="1">"#"</definedName>
    <definedName name="FDC_145_5" hidden="1">"#"</definedName>
    <definedName name="FDC_145_6" hidden="1">"#"</definedName>
    <definedName name="FDC_145_7" hidden="1">"#"</definedName>
    <definedName name="FDC_145_8" hidden="1">"#"</definedName>
    <definedName name="FDC_145_9" hidden="1">"#"</definedName>
    <definedName name="FDC_146_0" hidden="1">"#"</definedName>
    <definedName name="FDC_146_1" hidden="1">"#"</definedName>
    <definedName name="FDC_146_10" hidden="1">"#"</definedName>
    <definedName name="FDC_146_11" hidden="1">"#"</definedName>
    <definedName name="FDC_146_12" hidden="1">"#"</definedName>
    <definedName name="FDC_146_13" hidden="1">"#"</definedName>
    <definedName name="FDC_146_14" hidden="1">"#"</definedName>
    <definedName name="FDC_146_2" hidden="1">"#"</definedName>
    <definedName name="FDC_146_3" hidden="1">"#"</definedName>
    <definedName name="FDC_146_4" hidden="1">"#"</definedName>
    <definedName name="FDC_146_5" hidden="1">"#"</definedName>
    <definedName name="FDC_146_6" hidden="1">"#"</definedName>
    <definedName name="FDC_146_7" hidden="1">"#"</definedName>
    <definedName name="FDC_146_8" hidden="1">"#"</definedName>
    <definedName name="FDC_146_9" hidden="1">"#"</definedName>
    <definedName name="FDC_147_0" hidden="1">"#"</definedName>
    <definedName name="FDC_147_1" hidden="1">"#"</definedName>
    <definedName name="FDC_147_10" hidden="1">"#"</definedName>
    <definedName name="FDC_147_11" hidden="1">"#"</definedName>
    <definedName name="FDC_147_12" hidden="1">"#"</definedName>
    <definedName name="FDC_147_13" hidden="1">"#"</definedName>
    <definedName name="FDC_147_14" hidden="1">"#"</definedName>
    <definedName name="FDC_147_2" hidden="1">"#"</definedName>
    <definedName name="FDC_147_3" hidden="1">"#"</definedName>
    <definedName name="FDC_147_4" hidden="1">"#"</definedName>
    <definedName name="FDC_147_5" hidden="1">"#"</definedName>
    <definedName name="FDC_147_6" hidden="1">"#"</definedName>
    <definedName name="FDC_147_7" hidden="1">"#"</definedName>
    <definedName name="FDC_147_8" hidden="1">"#"</definedName>
    <definedName name="FDC_147_9" hidden="1">"#"</definedName>
    <definedName name="FDC_148_0" hidden="1">"#"</definedName>
    <definedName name="FDC_148_1" hidden="1">"#"</definedName>
    <definedName name="FDC_148_10" hidden="1">"#"</definedName>
    <definedName name="FDC_148_11" hidden="1">"#"</definedName>
    <definedName name="FDC_148_12" hidden="1">"#"</definedName>
    <definedName name="FDC_148_13" hidden="1">"#"</definedName>
    <definedName name="FDC_148_14" hidden="1">"#"</definedName>
    <definedName name="FDC_148_2" hidden="1">"#"</definedName>
    <definedName name="FDC_148_3" hidden="1">"#"</definedName>
    <definedName name="FDC_148_4" hidden="1">"#"</definedName>
    <definedName name="FDC_148_5" hidden="1">"#"</definedName>
    <definedName name="FDC_148_6" hidden="1">"#"</definedName>
    <definedName name="FDC_148_7" hidden="1">"#"</definedName>
    <definedName name="FDC_148_8" hidden="1">"#"</definedName>
    <definedName name="FDC_148_9" hidden="1">"#"</definedName>
    <definedName name="FDC_149_0" hidden="1">"#"</definedName>
    <definedName name="FDC_149_1" hidden="1">"#"</definedName>
    <definedName name="FDC_149_10" hidden="1">"#"</definedName>
    <definedName name="FDC_149_11" hidden="1">"#"</definedName>
    <definedName name="FDC_149_12" hidden="1">"#"</definedName>
    <definedName name="FDC_149_13" hidden="1">"#"</definedName>
    <definedName name="FDC_149_14" hidden="1">"#"</definedName>
    <definedName name="FDC_149_2" hidden="1">"#"</definedName>
    <definedName name="FDC_149_3" hidden="1">"#"</definedName>
    <definedName name="FDC_149_4" hidden="1">"#"</definedName>
    <definedName name="FDC_149_5" hidden="1">"#"</definedName>
    <definedName name="FDC_149_6" hidden="1">"#"</definedName>
    <definedName name="FDC_149_7" hidden="1">"#"</definedName>
    <definedName name="FDC_149_8" hidden="1">"#"</definedName>
    <definedName name="FDC_149_9" hidden="1">"#"</definedName>
    <definedName name="FDC_15_0" hidden="1">"#"</definedName>
    <definedName name="FDC_150_0" hidden="1">"#"</definedName>
    <definedName name="FDC_150_1" hidden="1">"#"</definedName>
    <definedName name="FDC_150_10" hidden="1">"#"</definedName>
    <definedName name="FDC_150_11" hidden="1">"#"</definedName>
    <definedName name="FDC_150_12" hidden="1">"#"</definedName>
    <definedName name="FDC_150_13" hidden="1">"#"</definedName>
    <definedName name="FDC_150_14" hidden="1">"#"</definedName>
    <definedName name="FDC_150_2" hidden="1">"#"</definedName>
    <definedName name="FDC_150_3" hidden="1">"#"</definedName>
    <definedName name="FDC_150_4" hidden="1">"#"</definedName>
    <definedName name="FDC_150_5" hidden="1">"#"</definedName>
    <definedName name="FDC_150_6" hidden="1">"#"</definedName>
    <definedName name="FDC_150_7" hidden="1">"#"</definedName>
    <definedName name="FDC_150_8" hidden="1">"#"</definedName>
    <definedName name="FDC_150_9" hidden="1">"#"</definedName>
    <definedName name="FDC_151_0" hidden="1">"#"</definedName>
    <definedName name="FDC_151_1" hidden="1">"#"</definedName>
    <definedName name="FDC_151_10" hidden="1">"#"</definedName>
    <definedName name="FDC_151_11" hidden="1">"#"</definedName>
    <definedName name="FDC_151_12" hidden="1">"#"</definedName>
    <definedName name="FDC_151_13" hidden="1">"#"</definedName>
    <definedName name="FDC_151_14" hidden="1">"#"</definedName>
    <definedName name="FDC_151_15" hidden="1">"#"</definedName>
    <definedName name="FDC_151_2" hidden="1">"#"</definedName>
    <definedName name="FDC_151_3" hidden="1">"#"</definedName>
    <definedName name="FDC_151_4" hidden="1">"#"</definedName>
    <definedName name="FDC_151_5" hidden="1">"#"</definedName>
    <definedName name="FDC_151_6" hidden="1">"#"</definedName>
    <definedName name="FDC_151_7" hidden="1">"#"</definedName>
    <definedName name="FDC_151_8" hidden="1">"#"</definedName>
    <definedName name="FDC_151_9" hidden="1">"#"</definedName>
    <definedName name="FDC_152_0" hidden="1">"#"</definedName>
    <definedName name="FDC_152_1" hidden="1">"#"</definedName>
    <definedName name="FDC_152_10" hidden="1">"#"</definedName>
    <definedName name="FDC_152_11" hidden="1">"#"</definedName>
    <definedName name="FDC_152_12" hidden="1">"#"</definedName>
    <definedName name="FDC_152_13" hidden="1">"#"</definedName>
    <definedName name="FDC_152_14" hidden="1">"#"</definedName>
    <definedName name="FDC_152_15" hidden="1">"#"</definedName>
    <definedName name="FDC_152_2" hidden="1">"#"</definedName>
    <definedName name="FDC_152_3" hidden="1">"#"</definedName>
    <definedName name="FDC_152_4" hidden="1">"#"</definedName>
    <definedName name="FDC_152_5" hidden="1">"#"</definedName>
    <definedName name="FDC_152_6" hidden="1">"#"</definedName>
    <definedName name="FDC_152_7" hidden="1">"#"</definedName>
    <definedName name="FDC_152_8" hidden="1">"#"</definedName>
    <definedName name="FDC_152_9" hidden="1">"#"</definedName>
    <definedName name="FDC_153_0" hidden="1">"#"</definedName>
    <definedName name="FDC_153_1" hidden="1">"#"</definedName>
    <definedName name="FDC_153_10" hidden="1">"#"</definedName>
    <definedName name="FDC_153_11" hidden="1">"#"</definedName>
    <definedName name="FDC_153_12" hidden="1">"#"</definedName>
    <definedName name="FDC_153_13" hidden="1">"#"</definedName>
    <definedName name="FDC_153_14" hidden="1">"#"</definedName>
    <definedName name="FDC_153_2" hidden="1">"#"</definedName>
    <definedName name="FDC_153_3" hidden="1">"#"</definedName>
    <definedName name="FDC_153_4" hidden="1">"#"</definedName>
    <definedName name="FDC_153_5" hidden="1">"#"</definedName>
    <definedName name="FDC_153_6" hidden="1">"#"</definedName>
    <definedName name="FDC_153_7" hidden="1">"#"</definedName>
    <definedName name="FDC_153_8" hidden="1">"#"</definedName>
    <definedName name="FDC_153_9" hidden="1">"#"</definedName>
    <definedName name="FDC_154_0" hidden="1">"#"</definedName>
    <definedName name="FDC_154_1" hidden="1">"#"</definedName>
    <definedName name="FDC_154_10" hidden="1">"#"</definedName>
    <definedName name="FDC_154_11" hidden="1">"#"</definedName>
    <definedName name="FDC_154_12" hidden="1">"#"</definedName>
    <definedName name="FDC_154_13" hidden="1">"#"</definedName>
    <definedName name="FDC_154_14" hidden="1">"#"</definedName>
    <definedName name="FDC_154_2" hidden="1">"#"</definedName>
    <definedName name="FDC_154_3" hidden="1">"#"</definedName>
    <definedName name="FDC_154_4" hidden="1">"#"</definedName>
    <definedName name="FDC_154_5" hidden="1">"#"</definedName>
    <definedName name="FDC_154_6" hidden="1">"#"</definedName>
    <definedName name="FDC_154_7" hidden="1">"#"</definedName>
    <definedName name="FDC_154_8" hidden="1">"#"</definedName>
    <definedName name="FDC_154_9" hidden="1">"#"</definedName>
    <definedName name="FDC_155_0" hidden="1">"#"</definedName>
    <definedName name="FDC_155_1" hidden="1">"#"</definedName>
    <definedName name="FDC_155_10" hidden="1">"#"</definedName>
    <definedName name="FDC_155_11" hidden="1">"#"</definedName>
    <definedName name="FDC_155_12" hidden="1">"#"</definedName>
    <definedName name="FDC_155_13" hidden="1">"#"</definedName>
    <definedName name="FDC_155_14" hidden="1">"#"</definedName>
    <definedName name="FDC_155_15" hidden="1">"#"</definedName>
    <definedName name="FDC_155_2" hidden="1">"#"</definedName>
    <definedName name="FDC_155_3" hidden="1">"#"</definedName>
    <definedName name="FDC_155_4" hidden="1">"#"</definedName>
    <definedName name="FDC_155_5" hidden="1">"#"</definedName>
    <definedName name="FDC_155_6" hidden="1">"#"</definedName>
    <definedName name="FDC_155_7" hidden="1">"#"</definedName>
    <definedName name="FDC_155_8" hidden="1">"#"</definedName>
    <definedName name="FDC_155_9" hidden="1">"#"</definedName>
    <definedName name="FDC_156_0" hidden="1">"#"</definedName>
    <definedName name="FDC_156_1" hidden="1">"#"</definedName>
    <definedName name="FDC_156_10" hidden="1">"#"</definedName>
    <definedName name="FDC_156_11" hidden="1">"#"</definedName>
    <definedName name="FDC_156_12" hidden="1">"#"</definedName>
    <definedName name="FDC_156_13" hidden="1">"#"</definedName>
    <definedName name="FDC_156_14" hidden="1">"#"</definedName>
    <definedName name="FDC_156_15" hidden="1">"#"</definedName>
    <definedName name="FDC_156_2" hidden="1">"#"</definedName>
    <definedName name="FDC_156_3" hidden="1">"#"</definedName>
    <definedName name="FDC_156_4" hidden="1">"#"</definedName>
    <definedName name="FDC_156_5" hidden="1">"#"</definedName>
    <definedName name="FDC_156_6" hidden="1">"#"</definedName>
    <definedName name="FDC_156_7" hidden="1">"#"</definedName>
    <definedName name="FDC_156_8" hidden="1">"#"</definedName>
    <definedName name="FDC_156_9" hidden="1">"#"</definedName>
    <definedName name="FDC_157_0" hidden="1">"#"</definedName>
    <definedName name="FDC_157_1" hidden="1">"#"</definedName>
    <definedName name="FDC_157_10" hidden="1">"#"</definedName>
    <definedName name="FDC_157_100" hidden="1">"#"</definedName>
    <definedName name="FDC_157_101" hidden="1">"#"</definedName>
    <definedName name="FDC_157_102" hidden="1">"#"</definedName>
    <definedName name="FDC_157_103" hidden="1">"#"</definedName>
    <definedName name="FDC_157_104" hidden="1">"#"</definedName>
    <definedName name="FDC_157_105" hidden="1">"#"</definedName>
    <definedName name="FDC_157_106" hidden="1">"#"</definedName>
    <definedName name="FDC_157_107" hidden="1">"#"</definedName>
    <definedName name="FDC_157_108" hidden="1">"#"</definedName>
    <definedName name="FDC_157_109" hidden="1">"#"</definedName>
    <definedName name="FDC_157_11" hidden="1">"#"</definedName>
    <definedName name="FDC_157_110" hidden="1">"#"</definedName>
    <definedName name="FDC_157_111" hidden="1">"#"</definedName>
    <definedName name="FDC_157_112" hidden="1">"#"</definedName>
    <definedName name="FDC_157_113" hidden="1">"#"</definedName>
    <definedName name="FDC_157_114" hidden="1">"#"</definedName>
    <definedName name="FDC_157_115" hidden="1">"#"</definedName>
    <definedName name="FDC_157_116" hidden="1">"#"</definedName>
    <definedName name="FDC_157_117" hidden="1">"#"</definedName>
    <definedName name="FDC_157_118" hidden="1">"#"</definedName>
    <definedName name="FDC_157_119" hidden="1">"#"</definedName>
    <definedName name="FDC_157_12" hidden="1">"#"</definedName>
    <definedName name="FDC_157_120" hidden="1">"#"</definedName>
    <definedName name="FDC_157_121" hidden="1">"#"</definedName>
    <definedName name="FDC_157_122" hidden="1">"#"</definedName>
    <definedName name="FDC_157_123" hidden="1">"#"</definedName>
    <definedName name="FDC_157_124" hidden="1">"#"</definedName>
    <definedName name="FDC_157_125" hidden="1">"#"</definedName>
    <definedName name="FDC_157_126" hidden="1">"#"</definedName>
    <definedName name="FDC_157_127" hidden="1">"#"</definedName>
    <definedName name="FDC_157_128" hidden="1">"#"</definedName>
    <definedName name="FDC_157_129" hidden="1">"#"</definedName>
    <definedName name="FDC_157_13" hidden="1">"#"</definedName>
    <definedName name="FDC_157_130" hidden="1">"#"</definedName>
    <definedName name="FDC_157_131" hidden="1">"#"</definedName>
    <definedName name="FDC_157_132" hidden="1">"#"</definedName>
    <definedName name="FDC_157_133" hidden="1">"#"</definedName>
    <definedName name="FDC_157_134" hidden="1">"#"</definedName>
    <definedName name="FDC_157_135" hidden="1">"#"</definedName>
    <definedName name="FDC_157_136" hidden="1">"#"</definedName>
    <definedName name="FDC_157_137" hidden="1">"#"</definedName>
    <definedName name="FDC_157_138" hidden="1">"#"</definedName>
    <definedName name="FDC_157_139" hidden="1">"#"</definedName>
    <definedName name="FDC_157_14" hidden="1">"#"</definedName>
    <definedName name="FDC_157_140" hidden="1">"#"</definedName>
    <definedName name="FDC_157_141" hidden="1">"#"</definedName>
    <definedName name="FDC_157_142" hidden="1">"#"</definedName>
    <definedName name="FDC_157_143" hidden="1">"#"</definedName>
    <definedName name="FDC_157_144" hidden="1">"#"</definedName>
    <definedName name="FDC_157_145" hidden="1">"#"</definedName>
    <definedName name="FDC_157_146" hidden="1">"#"</definedName>
    <definedName name="FDC_157_147" hidden="1">"#"</definedName>
    <definedName name="FDC_157_148" hidden="1">"#"</definedName>
    <definedName name="FDC_157_149" hidden="1">"#"</definedName>
    <definedName name="FDC_157_15" hidden="1">"#"</definedName>
    <definedName name="FDC_157_150" hidden="1">"#"</definedName>
    <definedName name="FDC_157_151" hidden="1">"#"</definedName>
    <definedName name="FDC_157_152" hidden="1">"#"</definedName>
    <definedName name="FDC_157_153" hidden="1">"#"</definedName>
    <definedName name="FDC_157_154" hidden="1">"#"</definedName>
    <definedName name="FDC_157_155" hidden="1">"#"</definedName>
    <definedName name="FDC_157_156" hidden="1">"#"</definedName>
    <definedName name="FDC_157_157" hidden="1">"#"</definedName>
    <definedName name="FDC_157_158" hidden="1">"#"</definedName>
    <definedName name="FDC_157_159" hidden="1">"#"</definedName>
    <definedName name="FDC_157_16" hidden="1">"#"</definedName>
    <definedName name="FDC_157_160" hidden="1">"#"</definedName>
    <definedName name="FDC_157_161" hidden="1">"#"</definedName>
    <definedName name="FDC_157_162" hidden="1">"#"</definedName>
    <definedName name="FDC_157_163" hidden="1">"#"</definedName>
    <definedName name="FDC_157_164" hidden="1">"#"</definedName>
    <definedName name="FDC_157_165" hidden="1">"#"</definedName>
    <definedName name="FDC_157_166" hidden="1">"#"</definedName>
    <definedName name="FDC_157_167" hidden="1">"#"</definedName>
    <definedName name="FDC_157_168" hidden="1">"#"</definedName>
    <definedName name="FDC_157_169" hidden="1">"#"</definedName>
    <definedName name="FDC_157_17" hidden="1">"#"</definedName>
    <definedName name="FDC_157_170" hidden="1">"#"</definedName>
    <definedName name="FDC_157_171" hidden="1">"#"</definedName>
    <definedName name="FDC_157_172" hidden="1">"#"</definedName>
    <definedName name="FDC_157_173" hidden="1">"#"</definedName>
    <definedName name="FDC_157_174" hidden="1">"#"</definedName>
    <definedName name="FDC_157_175" hidden="1">"#"</definedName>
    <definedName name="FDC_157_176" hidden="1">"#"</definedName>
    <definedName name="FDC_157_177" hidden="1">"#"</definedName>
    <definedName name="FDC_157_178" hidden="1">"#"</definedName>
    <definedName name="FDC_157_179" hidden="1">"#"</definedName>
    <definedName name="FDC_157_18" hidden="1">"#"</definedName>
    <definedName name="FDC_157_180" hidden="1">"#"</definedName>
    <definedName name="FDC_157_181" hidden="1">"#"</definedName>
    <definedName name="FDC_157_182" hidden="1">"#"</definedName>
    <definedName name="FDC_157_183" hidden="1">"#"</definedName>
    <definedName name="FDC_157_184" hidden="1">"#"</definedName>
    <definedName name="FDC_157_185" hidden="1">"#"</definedName>
    <definedName name="FDC_157_186" hidden="1">"#"</definedName>
    <definedName name="FDC_157_187" hidden="1">"#"</definedName>
    <definedName name="FDC_157_188" hidden="1">"#"</definedName>
    <definedName name="FDC_157_189" hidden="1">"#"</definedName>
    <definedName name="FDC_157_19" hidden="1">"#"</definedName>
    <definedName name="FDC_157_190" hidden="1">"#"</definedName>
    <definedName name="FDC_157_191" hidden="1">"#"</definedName>
    <definedName name="FDC_157_192" hidden="1">"#"</definedName>
    <definedName name="FDC_157_193" hidden="1">"#"</definedName>
    <definedName name="FDC_157_194" hidden="1">"#"</definedName>
    <definedName name="FDC_157_195" hidden="1">"#"</definedName>
    <definedName name="FDC_157_196" hidden="1">"#"</definedName>
    <definedName name="FDC_157_197" hidden="1">"#"</definedName>
    <definedName name="FDC_157_198" hidden="1">"#"</definedName>
    <definedName name="FDC_157_199" hidden="1">"#"</definedName>
    <definedName name="FDC_157_2" hidden="1">"#"</definedName>
    <definedName name="FDC_157_20" hidden="1">"#"</definedName>
    <definedName name="FDC_157_200" hidden="1">"#"</definedName>
    <definedName name="FDC_157_201" hidden="1">"#"</definedName>
    <definedName name="FDC_157_202" hidden="1">"#"</definedName>
    <definedName name="FDC_157_203" hidden="1">"#"</definedName>
    <definedName name="FDC_157_204" hidden="1">"#"</definedName>
    <definedName name="FDC_157_205" hidden="1">"#"</definedName>
    <definedName name="FDC_157_206" hidden="1">"#"</definedName>
    <definedName name="FDC_157_207" hidden="1">"#"</definedName>
    <definedName name="FDC_157_208" hidden="1">"#"</definedName>
    <definedName name="FDC_157_209" hidden="1">"#"</definedName>
    <definedName name="FDC_157_21" hidden="1">"#"</definedName>
    <definedName name="FDC_157_210" hidden="1">"#"</definedName>
    <definedName name="FDC_157_211" hidden="1">"#"</definedName>
    <definedName name="FDC_157_212" hidden="1">"#"</definedName>
    <definedName name="FDC_157_213" hidden="1">"#"</definedName>
    <definedName name="FDC_157_214" hidden="1">"#"</definedName>
    <definedName name="FDC_157_215" hidden="1">"#"</definedName>
    <definedName name="FDC_157_216" hidden="1">"#"</definedName>
    <definedName name="FDC_157_217" hidden="1">"#"</definedName>
    <definedName name="FDC_157_218" hidden="1">"#"</definedName>
    <definedName name="FDC_157_219" hidden="1">"#"</definedName>
    <definedName name="FDC_157_22" hidden="1">"#"</definedName>
    <definedName name="FDC_157_220" hidden="1">"#"</definedName>
    <definedName name="FDC_157_221" hidden="1">"#"</definedName>
    <definedName name="FDC_157_222" hidden="1">"#"</definedName>
    <definedName name="FDC_157_223" hidden="1">"#"</definedName>
    <definedName name="FDC_157_224" hidden="1">"#"</definedName>
    <definedName name="FDC_157_225" hidden="1">"#"</definedName>
    <definedName name="FDC_157_226" hidden="1">"#"</definedName>
    <definedName name="FDC_157_227" hidden="1">"#"</definedName>
    <definedName name="FDC_157_228" hidden="1">"#"</definedName>
    <definedName name="FDC_157_229" hidden="1">"#"</definedName>
    <definedName name="FDC_157_23" hidden="1">"#"</definedName>
    <definedName name="FDC_157_230" hidden="1">"#"</definedName>
    <definedName name="FDC_157_231" hidden="1">"#"</definedName>
    <definedName name="FDC_157_232" hidden="1">"#"</definedName>
    <definedName name="FDC_157_233" hidden="1">"#"</definedName>
    <definedName name="FDC_157_234" hidden="1">"#"</definedName>
    <definedName name="FDC_157_235" hidden="1">"#"</definedName>
    <definedName name="FDC_157_236" hidden="1">"#"</definedName>
    <definedName name="FDC_157_237" hidden="1">"#"</definedName>
    <definedName name="FDC_157_238" hidden="1">"#"</definedName>
    <definedName name="FDC_157_239" hidden="1">"#"</definedName>
    <definedName name="FDC_157_24" hidden="1">"#"</definedName>
    <definedName name="FDC_157_240" hidden="1">"#"</definedName>
    <definedName name="FDC_157_241" hidden="1">"#"</definedName>
    <definedName name="FDC_157_242" hidden="1">"#"</definedName>
    <definedName name="FDC_157_243" hidden="1">"#"</definedName>
    <definedName name="FDC_157_244" hidden="1">"#"</definedName>
    <definedName name="FDC_157_245" hidden="1">"#"</definedName>
    <definedName name="FDC_157_246" hidden="1">"#"</definedName>
    <definedName name="FDC_157_247" hidden="1">"#"</definedName>
    <definedName name="FDC_157_248" hidden="1">"#"</definedName>
    <definedName name="FDC_157_249" hidden="1">"#"</definedName>
    <definedName name="FDC_157_25" hidden="1">"#"</definedName>
    <definedName name="FDC_157_250" hidden="1">"#"</definedName>
    <definedName name="FDC_157_251" hidden="1">"#"</definedName>
    <definedName name="FDC_157_252" hidden="1">"#"</definedName>
    <definedName name="FDC_157_26" hidden="1">"#"</definedName>
    <definedName name="FDC_157_27" hidden="1">"#"</definedName>
    <definedName name="FDC_157_28" hidden="1">"#"</definedName>
    <definedName name="FDC_157_29" hidden="1">"#"</definedName>
    <definedName name="FDC_157_3" hidden="1">"#"</definedName>
    <definedName name="FDC_157_30" hidden="1">"#"</definedName>
    <definedName name="FDC_157_31" hidden="1">"#"</definedName>
    <definedName name="FDC_157_32" hidden="1">"#"</definedName>
    <definedName name="FDC_157_33" hidden="1">"#"</definedName>
    <definedName name="FDC_157_34" hidden="1">"#"</definedName>
    <definedName name="FDC_157_35" hidden="1">"#"</definedName>
    <definedName name="FDC_157_36" hidden="1">"#"</definedName>
    <definedName name="FDC_157_37" hidden="1">"#"</definedName>
    <definedName name="FDC_157_38" hidden="1">"#"</definedName>
    <definedName name="FDC_157_39" hidden="1">"#"</definedName>
    <definedName name="FDC_157_4" hidden="1">"#"</definedName>
    <definedName name="FDC_157_40" hidden="1">"#"</definedName>
    <definedName name="FDC_157_41" hidden="1">"#"</definedName>
    <definedName name="FDC_157_42" hidden="1">"#"</definedName>
    <definedName name="FDC_157_43" hidden="1">"#"</definedName>
    <definedName name="FDC_157_44" hidden="1">"#"</definedName>
    <definedName name="FDC_157_45" hidden="1">"#"</definedName>
    <definedName name="FDC_157_46" hidden="1">"#"</definedName>
    <definedName name="FDC_157_47" hidden="1">"#"</definedName>
    <definedName name="FDC_157_48" hidden="1">"#"</definedName>
    <definedName name="FDC_157_49" hidden="1">"#"</definedName>
    <definedName name="FDC_157_5" hidden="1">"#"</definedName>
    <definedName name="FDC_157_50" hidden="1">"#"</definedName>
    <definedName name="FDC_157_51" hidden="1">"#"</definedName>
    <definedName name="FDC_157_52" hidden="1">"#"</definedName>
    <definedName name="FDC_157_53" hidden="1">"#"</definedName>
    <definedName name="FDC_157_54" hidden="1">"#"</definedName>
    <definedName name="FDC_157_55" hidden="1">"#"</definedName>
    <definedName name="FDC_157_56" hidden="1">"#"</definedName>
    <definedName name="FDC_157_57" hidden="1">"#"</definedName>
    <definedName name="FDC_157_58" hidden="1">"#"</definedName>
    <definedName name="FDC_157_59" hidden="1">"#"</definedName>
    <definedName name="FDC_157_6" hidden="1">"#"</definedName>
    <definedName name="FDC_157_60" hidden="1">"#"</definedName>
    <definedName name="FDC_157_61" hidden="1">"#"</definedName>
    <definedName name="FDC_157_62" hidden="1">"#"</definedName>
    <definedName name="FDC_157_63" hidden="1">"#"</definedName>
    <definedName name="FDC_157_64" hidden="1">"#"</definedName>
    <definedName name="FDC_157_65" hidden="1">"#"</definedName>
    <definedName name="FDC_157_66" hidden="1">"#"</definedName>
    <definedName name="FDC_157_67" hidden="1">"#"</definedName>
    <definedName name="FDC_157_68" hidden="1">"#"</definedName>
    <definedName name="FDC_157_69" hidden="1">"#"</definedName>
    <definedName name="FDC_157_7" hidden="1">"#"</definedName>
    <definedName name="FDC_157_70" hidden="1">"#"</definedName>
    <definedName name="FDC_157_71" hidden="1">"#"</definedName>
    <definedName name="FDC_157_72" hidden="1">"#"</definedName>
    <definedName name="FDC_157_73" hidden="1">"#"</definedName>
    <definedName name="FDC_157_74" hidden="1">"#"</definedName>
    <definedName name="FDC_157_75" hidden="1">"#"</definedName>
    <definedName name="FDC_157_76" hidden="1">"#"</definedName>
    <definedName name="FDC_157_77" hidden="1">"#"</definedName>
    <definedName name="FDC_157_78" hidden="1">"#"</definedName>
    <definedName name="FDC_157_79" hidden="1">"#"</definedName>
    <definedName name="FDC_157_8" hidden="1">"#"</definedName>
    <definedName name="FDC_157_80" hidden="1">"#"</definedName>
    <definedName name="FDC_157_81" hidden="1">"#"</definedName>
    <definedName name="FDC_157_82" hidden="1">"#"</definedName>
    <definedName name="FDC_157_83" hidden="1">"#"</definedName>
    <definedName name="FDC_157_84" hidden="1">"#"</definedName>
    <definedName name="FDC_157_85" hidden="1">"#"</definedName>
    <definedName name="FDC_157_86" hidden="1">"#"</definedName>
    <definedName name="FDC_157_87" hidden="1">"#"</definedName>
    <definedName name="FDC_157_88" hidden="1">"#"</definedName>
    <definedName name="FDC_157_89" hidden="1">"#"</definedName>
    <definedName name="FDC_157_9" hidden="1">"#"</definedName>
    <definedName name="FDC_157_90" hidden="1">"#"</definedName>
    <definedName name="FDC_157_91" hidden="1">"#"</definedName>
    <definedName name="FDC_157_92" hidden="1">"#"</definedName>
    <definedName name="FDC_157_93" hidden="1">"#"</definedName>
    <definedName name="FDC_157_94" hidden="1">"#"</definedName>
    <definedName name="FDC_157_95" hidden="1">"#"</definedName>
    <definedName name="FDC_157_96" hidden="1">"#"</definedName>
    <definedName name="FDC_157_97" hidden="1">"#"</definedName>
    <definedName name="FDC_157_98" hidden="1">"#"</definedName>
    <definedName name="FDC_157_99" hidden="1">"#"</definedName>
    <definedName name="FDC_158_0" hidden="1">"#"</definedName>
    <definedName name="FDC_158_1" hidden="1">"#"</definedName>
    <definedName name="FDC_158_10" hidden="1">"#"</definedName>
    <definedName name="FDC_158_11" hidden="1">"#"</definedName>
    <definedName name="FDC_158_12" hidden="1">"#"</definedName>
    <definedName name="FDC_158_13" hidden="1">"#"</definedName>
    <definedName name="FDC_158_14" hidden="1">"#"</definedName>
    <definedName name="FDC_158_15" hidden="1">"#"</definedName>
    <definedName name="FDC_158_2" hidden="1">"#"</definedName>
    <definedName name="FDC_158_3" hidden="1">"#"</definedName>
    <definedName name="FDC_158_4" hidden="1">"#"</definedName>
    <definedName name="FDC_158_5" hidden="1">"#"</definedName>
    <definedName name="FDC_158_6" hidden="1">"#"</definedName>
    <definedName name="FDC_158_7" hidden="1">"#"</definedName>
    <definedName name="FDC_158_8" hidden="1">"#"</definedName>
    <definedName name="FDC_158_9" hidden="1">"#"</definedName>
    <definedName name="FDC_159_0" hidden="1">"#"</definedName>
    <definedName name="FDC_159_1" hidden="1">"#"</definedName>
    <definedName name="FDC_159_10" hidden="1">"#"</definedName>
    <definedName name="FDC_159_11" hidden="1">"#"</definedName>
    <definedName name="FDC_159_12" hidden="1">"#"</definedName>
    <definedName name="FDC_159_13" hidden="1">"#"</definedName>
    <definedName name="FDC_159_14" hidden="1">"#"</definedName>
    <definedName name="FDC_159_15" hidden="1">"#"</definedName>
    <definedName name="FDC_159_2" hidden="1">"#"</definedName>
    <definedName name="FDC_159_3" hidden="1">"#"</definedName>
    <definedName name="FDC_159_4" hidden="1">"#"</definedName>
    <definedName name="FDC_159_5" hidden="1">"#"</definedName>
    <definedName name="FDC_159_6" hidden="1">"#"</definedName>
    <definedName name="FDC_159_7" hidden="1">"#"</definedName>
    <definedName name="FDC_159_8" hidden="1">"#"</definedName>
    <definedName name="FDC_159_9" hidden="1">"#"</definedName>
    <definedName name="FDC_16_0" hidden="1">"#"</definedName>
    <definedName name="FDC_160_0" hidden="1">"#"</definedName>
    <definedName name="FDC_160_1" hidden="1">"#"</definedName>
    <definedName name="FDC_160_10" hidden="1">"#"</definedName>
    <definedName name="FDC_160_11" hidden="1">"#"</definedName>
    <definedName name="FDC_160_12" hidden="1">"#"</definedName>
    <definedName name="FDC_160_13" hidden="1">"#"</definedName>
    <definedName name="FDC_160_14" hidden="1">"#"</definedName>
    <definedName name="FDC_160_15" hidden="1">"#"</definedName>
    <definedName name="FDC_160_2" hidden="1">"#"</definedName>
    <definedName name="FDC_160_3" hidden="1">"#"</definedName>
    <definedName name="FDC_160_4" hidden="1">"#"</definedName>
    <definedName name="FDC_160_5" hidden="1">"#"</definedName>
    <definedName name="FDC_160_6" hidden="1">"#"</definedName>
    <definedName name="FDC_160_7" hidden="1">"#"</definedName>
    <definedName name="FDC_160_8" hidden="1">"#"</definedName>
    <definedName name="FDC_160_9" hidden="1">"#"</definedName>
    <definedName name="FDC_161_0" hidden="1">"#"</definedName>
    <definedName name="FDC_161_1" hidden="1">"#"</definedName>
    <definedName name="FDC_161_10" hidden="1">"#"</definedName>
    <definedName name="FDC_161_11" hidden="1">"#"</definedName>
    <definedName name="FDC_161_12" hidden="1">"#"</definedName>
    <definedName name="FDC_161_13" hidden="1">"#"</definedName>
    <definedName name="FDC_161_14" hidden="1">"#"</definedName>
    <definedName name="FDC_161_2" hidden="1">"#"</definedName>
    <definedName name="FDC_161_3" hidden="1">"#"</definedName>
    <definedName name="FDC_161_4" hidden="1">"#"</definedName>
    <definedName name="FDC_161_5" hidden="1">"#"</definedName>
    <definedName name="FDC_161_6" hidden="1">"#"</definedName>
    <definedName name="FDC_161_7" hidden="1">"#"</definedName>
    <definedName name="FDC_161_8" hidden="1">"#"</definedName>
    <definedName name="FDC_161_9" hidden="1">"#"</definedName>
    <definedName name="FDC_162_0" hidden="1">"#"</definedName>
    <definedName name="FDC_162_1" hidden="1">"#"</definedName>
    <definedName name="FDC_162_10" hidden="1">"#"</definedName>
    <definedName name="FDC_162_11" hidden="1">"#"</definedName>
    <definedName name="FDC_162_12" hidden="1">"#"</definedName>
    <definedName name="FDC_162_13" hidden="1">"#"</definedName>
    <definedName name="FDC_162_14" hidden="1">"#"</definedName>
    <definedName name="FDC_162_15" hidden="1">"#"</definedName>
    <definedName name="FDC_162_2" hidden="1">"#"</definedName>
    <definedName name="FDC_162_3" hidden="1">"#"</definedName>
    <definedName name="FDC_162_4" hidden="1">"#"</definedName>
    <definedName name="FDC_162_5" hidden="1">"#"</definedName>
    <definedName name="FDC_162_6" hidden="1">"#"</definedName>
    <definedName name="FDC_162_7" hidden="1">"#"</definedName>
    <definedName name="FDC_162_8" hidden="1">"#"</definedName>
    <definedName name="FDC_162_9" hidden="1">"#"</definedName>
    <definedName name="FDC_163_0" hidden="1">"#"</definedName>
    <definedName name="FDC_163_1" hidden="1">"#"</definedName>
    <definedName name="FDC_163_10" hidden="1">"#"</definedName>
    <definedName name="FDC_163_11" hidden="1">"#"</definedName>
    <definedName name="FDC_163_12" hidden="1">"#"</definedName>
    <definedName name="FDC_163_13" hidden="1">"#"</definedName>
    <definedName name="FDC_163_14" hidden="1">"#"</definedName>
    <definedName name="FDC_163_15" hidden="1">"#"</definedName>
    <definedName name="FDC_163_2" hidden="1">"#"</definedName>
    <definedName name="FDC_163_3" hidden="1">"#"</definedName>
    <definedName name="FDC_163_4" hidden="1">"#"</definedName>
    <definedName name="FDC_163_5" hidden="1">"#"</definedName>
    <definedName name="FDC_163_6" hidden="1">"#"</definedName>
    <definedName name="FDC_163_7" hidden="1">"#"</definedName>
    <definedName name="FDC_163_8" hidden="1">"#"</definedName>
    <definedName name="FDC_163_9" hidden="1">"#"</definedName>
    <definedName name="FDC_164_0" hidden="1">"#"</definedName>
    <definedName name="FDC_164_1" hidden="1">"#"</definedName>
    <definedName name="FDC_164_10" hidden="1">"#"</definedName>
    <definedName name="FDC_164_11" hidden="1">"#"</definedName>
    <definedName name="FDC_164_12" hidden="1">"#"</definedName>
    <definedName name="FDC_164_13" hidden="1">"#"</definedName>
    <definedName name="FDC_164_14" hidden="1">"#"</definedName>
    <definedName name="FDC_164_15" hidden="1">"#"</definedName>
    <definedName name="FDC_164_2" hidden="1">"#"</definedName>
    <definedName name="FDC_164_3" hidden="1">"#"</definedName>
    <definedName name="FDC_164_4" hidden="1">"#"</definedName>
    <definedName name="FDC_164_5" hidden="1">"#"</definedName>
    <definedName name="FDC_164_6" hidden="1">"#"</definedName>
    <definedName name="FDC_164_7" hidden="1">"#"</definedName>
    <definedName name="FDC_164_8" hidden="1">"#"</definedName>
    <definedName name="FDC_164_9" hidden="1">"#"</definedName>
    <definedName name="FDC_165_0" hidden="1">"#"</definedName>
    <definedName name="FDC_165_1" hidden="1">"#"</definedName>
    <definedName name="FDC_165_10" hidden="1">"#"</definedName>
    <definedName name="FDC_165_11" hidden="1">"#"</definedName>
    <definedName name="FDC_165_12" hidden="1">"#"</definedName>
    <definedName name="FDC_165_13" hidden="1">"#"</definedName>
    <definedName name="FDC_165_14" hidden="1">"#"</definedName>
    <definedName name="FDC_165_2" hidden="1">"#"</definedName>
    <definedName name="FDC_165_3" hidden="1">"#"</definedName>
    <definedName name="FDC_165_4" hidden="1">"#"</definedName>
    <definedName name="FDC_165_5" hidden="1">"#"</definedName>
    <definedName name="FDC_165_6" hidden="1">"#"</definedName>
    <definedName name="FDC_165_7" hidden="1">"#"</definedName>
    <definedName name="FDC_165_8" hidden="1">"#"</definedName>
    <definedName name="FDC_165_9" hidden="1">"#"</definedName>
    <definedName name="FDC_166_0" hidden="1">"#"</definedName>
    <definedName name="FDC_166_1" hidden="1">"#"</definedName>
    <definedName name="FDC_166_10" hidden="1">"#"</definedName>
    <definedName name="FDC_166_11" hidden="1">"#"</definedName>
    <definedName name="FDC_166_12" hidden="1">"#"</definedName>
    <definedName name="FDC_166_13" hidden="1">"#"</definedName>
    <definedName name="FDC_166_14" hidden="1">"#"</definedName>
    <definedName name="FDC_166_15" hidden="1">"#"</definedName>
    <definedName name="FDC_166_2" hidden="1">"#"</definedName>
    <definedName name="FDC_166_3" hidden="1">"#"</definedName>
    <definedName name="FDC_166_4" hidden="1">"#"</definedName>
    <definedName name="FDC_166_5" hidden="1">"#"</definedName>
    <definedName name="FDC_166_6" hidden="1">"#"</definedName>
    <definedName name="FDC_166_7" hidden="1">"#"</definedName>
    <definedName name="FDC_166_8" hidden="1">"#"</definedName>
    <definedName name="FDC_166_9" hidden="1">"#"</definedName>
    <definedName name="FDC_167_0" hidden="1">"#"</definedName>
    <definedName name="FDC_167_1" hidden="1">"#"</definedName>
    <definedName name="FDC_167_10" hidden="1">"#"</definedName>
    <definedName name="FDC_167_11" hidden="1">"#"</definedName>
    <definedName name="FDC_167_12" hidden="1">"#"</definedName>
    <definedName name="FDC_167_13" hidden="1">"#"</definedName>
    <definedName name="FDC_167_14" hidden="1">"#"</definedName>
    <definedName name="FDC_167_2" hidden="1">"#"</definedName>
    <definedName name="FDC_167_3" hidden="1">"#"</definedName>
    <definedName name="FDC_167_4" hidden="1">"#"</definedName>
    <definedName name="FDC_167_5" hidden="1">"#"</definedName>
    <definedName name="FDC_167_6" hidden="1">"#"</definedName>
    <definedName name="FDC_167_7" hidden="1">"#"</definedName>
    <definedName name="FDC_167_8" hidden="1">"#"</definedName>
    <definedName name="FDC_167_9" hidden="1">"#"</definedName>
    <definedName name="FDC_168_0" hidden="1">"#"</definedName>
    <definedName name="FDC_168_1" hidden="1">"#"</definedName>
    <definedName name="FDC_168_2" hidden="1">"#"</definedName>
    <definedName name="FDC_169_0" hidden="1">"#"</definedName>
    <definedName name="FDC_169_1" hidden="1">"#"</definedName>
    <definedName name="FDC_169_10" hidden="1">"#"</definedName>
    <definedName name="FDC_169_11" hidden="1">"#"</definedName>
    <definedName name="FDC_169_12" hidden="1">"#"</definedName>
    <definedName name="FDC_169_13" hidden="1">"#"</definedName>
    <definedName name="FDC_169_14" hidden="1">"#"</definedName>
    <definedName name="FDC_169_15" hidden="1">"#"</definedName>
    <definedName name="FDC_169_2" hidden="1">"#"</definedName>
    <definedName name="FDC_169_3" hidden="1">"#"</definedName>
    <definedName name="FDC_169_4" hidden="1">"#"</definedName>
    <definedName name="FDC_169_5" hidden="1">"#"</definedName>
    <definedName name="FDC_169_6" hidden="1">"#"</definedName>
    <definedName name="FDC_169_7" hidden="1">"#"</definedName>
    <definedName name="FDC_169_8" hidden="1">"#"</definedName>
    <definedName name="FDC_169_9" hidden="1">"#"</definedName>
    <definedName name="FDC_17_0" hidden="1">"#"</definedName>
    <definedName name="FDC_170_0" hidden="1">"#"</definedName>
    <definedName name="FDC_170_1" hidden="1">"#"</definedName>
    <definedName name="FDC_170_10" hidden="1">"#"</definedName>
    <definedName name="FDC_170_11" hidden="1">"#"</definedName>
    <definedName name="FDC_170_12" hidden="1">"#"</definedName>
    <definedName name="FDC_170_13" hidden="1">"#"</definedName>
    <definedName name="FDC_170_14" hidden="1">"#"</definedName>
    <definedName name="FDC_170_2" hidden="1">"#"</definedName>
    <definedName name="FDC_170_3" hidden="1">"#"</definedName>
    <definedName name="FDC_170_4" hidden="1">"#"</definedName>
    <definedName name="FDC_170_5" hidden="1">"#"</definedName>
    <definedName name="FDC_170_6" hidden="1">"#"</definedName>
    <definedName name="FDC_170_7" hidden="1">"#"</definedName>
    <definedName name="FDC_170_8" hidden="1">"#"</definedName>
    <definedName name="FDC_170_9" hidden="1">"#"</definedName>
    <definedName name="FDC_171_0" hidden="1">"#"</definedName>
    <definedName name="FDC_171_1" hidden="1">"#"</definedName>
    <definedName name="FDC_171_10" hidden="1">"#"</definedName>
    <definedName name="FDC_171_11" hidden="1">"#"</definedName>
    <definedName name="FDC_171_12" hidden="1">"#"</definedName>
    <definedName name="FDC_171_13" hidden="1">"#"</definedName>
    <definedName name="FDC_171_14" hidden="1">"#"</definedName>
    <definedName name="FDC_171_2" hidden="1">"#"</definedName>
    <definedName name="FDC_171_3" hidden="1">"#"</definedName>
    <definedName name="FDC_171_4" hidden="1">"#"</definedName>
    <definedName name="FDC_171_5" hidden="1">"#"</definedName>
    <definedName name="FDC_171_6" hidden="1">"#"</definedName>
    <definedName name="FDC_171_7" hidden="1">"#"</definedName>
    <definedName name="FDC_171_8" hidden="1">"#"</definedName>
    <definedName name="FDC_171_9" hidden="1">"#"</definedName>
    <definedName name="FDC_172_0" hidden="1">"#"</definedName>
    <definedName name="FDC_172_1" hidden="1">"#"</definedName>
    <definedName name="FDC_172_10" hidden="1">"#"</definedName>
    <definedName name="FDC_172_11" hidden="1">"#"</definedName>
    <definedName name="FDC_172_12" hidden="1">"#"</definedName>
    <definedName name="FDC_172_13" hidden="1">"#"</definedName>
    <definedName name="FDC_172_14" hidden="1">"#"</definedName>
    <definedName name="FDC_172_2" hidden="1">"#"</definedName>
    <definedName name="FDC_172_3" hidden="1">"#"</definedName>
    <definedName name="FDC_172_4" hidden="1">"#"</definedName>
    <definedName name="FDC_172_5" hidden="1">"#"</definedName>
    <definedName name="FDC_172_6" hidden="1">"#"</definedName>
    <definedName name="FDC_172_7" hidden="1">"#"</definedName>
    <definedName name="FDC_172_8" hidden="1">"#"</definedName>
    <definedName name="FDC_172_9" hidden="1">"#"</definedName>
    <definedName name="FDC_173_0" hidden="1">"#"</definedName>
    <definedName name="FDC_173_1" hidden="1">"#"</definedName>
    <definedName name="FDC_173_2" hidden="1">"#"</definedName>
    <definedName name="FDC_174_0" hidden="1">"#"</definedName>
    <definedName name="FDC_174_1" hidden="1">"#"</definedName>
    <definedName name="FDC_174_2" hidden="1">"#"</definedName>
    <definedName name="FDC_175_0" hidden="1">"#"</definedName>
    <definedName name="FDC_175_1" hidden="1">"#"</definedName>
    <definedName name="FDC_175_2" hidden="1">"#"</definedName>
    <definedName name="FDC_176_0" hidden="1">"#"</definedName>
    <definedName name="FDC_176_1" hidden="1">"#"</definedName>
    <definedName name="FDC_176_2" hidden="1">"#"</definedName>
    <definedName name="FDC_177_0" hidden="1">"#"</definedName>
    <definedName name="FDC_177_1" hidden="1">"#"</definedName>
    <definedName name="FDC_177_2" hidden="1">"#"</definedName>
    <definedName name="FDC_178_0" hidden="1">"#"</definedName>
    <definedName name="FDC_178_1" hidden="1">"#"</definedName>
    <definedName name="FDC_178_2" hidden="1">"#"</definedName>
    <definedName name="FDC_179_0" hidden="1">"#"</definedName>
    <definedName name="FDC_179_1" hidden="1">"#"</definedName>
    <definedName name="FDC_179_2" hidden="1">"#"</definedName>
    <definedName name="FDC_18_0" hidden="1">"#"</definedName>
    <definedName name="FDC_180_0" hidden="1">"#"</definedName>
    <definedName name="FDC_180_1" hidden="1">"#"</definedName>
    <definedName name="FDC_180_2" hidden="1">"#"</definedName>
    <definedName name="FDC_181_0" hidden="1">"#"</definedName>
    <definedName name="FDC_181_1" hidden="1">"#"</definedName>
    <definedName name="FDC_181_2" hidden="1">"#"</definedName>
    <definedName name="FDC_182_0" hidden="1">"#"</definedName>
    <definedName name="FDC_182_1" hidden="1">"#"</definedName>
    <definedName name="FDC_182_2" hidden="1">"#"</definedName>
    <definedName name="FDC_183_0" hidden="1">"#"</definedName>
    <definedName name="FDC_183_1" hidden="1">"#"</definedName>
    <definedName name="FDC_183_2" hidden="1">"#"</definedName>
    <definedName name="FDC_184_0" hidden="1">"#"</definedName>
    <definedName name="FDC_184_1" hidden="1">"#"</definedName>
    <definedName name="FDC_184_2" hidden="1">"#"</definedName>
    <definedName name="FDC_185_0" hidden="1">"#"</definedName>
    <definedName name="FDC_185_1" hidden="1">"#"</definedName>
    <definedName name="FDC_185_2" hidden="1">"#"</definedName>
    <definedName name="FDC_186_0" hidden="1">"#"</definedName>
    <definedName name="FDC_186_1" hidden="1">"#"</definedName>
    <definedName name="FDC_186_2" hidden="1">"#"</definedName>
    <definedName name="FDC_187_0" hidden="1">"#"</definedName>
    <definedName name="FDC_187_1" hidden="1">"#"</definedName>
    <definedName name="FDC_187_2" hidden="1">"#"</definedName>
    <definedName name="FDC_188_0" hidden="1">"#"</definedName>
    <definedName name="FDC_188_1" hidden="1">"#"</definedName>
    <definedName name="FDC_188_2" hidden="1">"#"</definedName>
    <definedName name="FDC_189_0" hidden="1">"#"</definedName>
    <definedName name="FDC_189_1" hidden="1">"#"</definedName>
    <definedName name="FDC_189_2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190_0" hidden="1">"#"</definedName>
    <definedName name="FDC_190_1" hidden="1">"#"</definedName>
    <definedName name="FDC_190_2" hidden="1">"#"</definedName>
    <definedName name="FDC_191_0" hidden="1">"#"</definedName>
    <definedName name="FDC_191_1" hidden="1">"#"</definedName>
    <definedName name="FDC_191_2" hidden="1">"#"</definedName>
    <definedName name="FDC_192_0" hidden="1">"#"</definedName>
    <definedName name="FDC_192_1" hidden="1">"#"</definedName>
    <definedName name="FDC_192_2" hidden="1">"#"</definedName>
    <definedName name="FDC_193_0" hidden="1">"#"</definedName>
    <definedName name="FDC_193_1" hidden="1">"#"</definedName>
    <definedName name="FDC_193_2" hidden="1">"#"</definedName>
    <definedName name="FDC_194_0" hidden="1">"#"</definedName>
    <definedName name="FDC_194_1" hidden="1">"#"</definedName>
    <definedName name="FDC_194_2" hidden="1">"#"</definedName>
    <definedName name="FDC_195_0" hidden="1">"#"</definedName>
    <definedName name="FDC_195_1" hidden="1">"#"</definedName>
    <definedName name="FDC_195_2" hidden="1">"#"</definedName>
    <definedName name="FDC_196_0" hidden="1">"#"</definedName>
    <definedName name="FDC_196_1" hidden="1">"#"</definedName>
    <definedName name="FDC_196_2" hidden="1">"#"</definedName>
    <definedName name="FDC_197_0" hidden="1">"#"</definedName>
    <definedName name="FDC_197_1" hidden="1">"#"</definedName>
    <definedName name="FDC_197_2" hidden="1">"#"</definedName>
    <definedName name="FDC_198_0" hidden="1">"#"</definedName>
    <definedName name="FDC_198_1" hidden="1">"#"</definedName>
    <definedName name="FDC_198_2" hidden="1">"#"</definedName>
    <definedName name="FDC_199_0" hidden="1">"#"</definedName>
    <definedName name="FDC_199_1" hidden="1">"#"</definedName>
    <definedName name="FDC_199_2" hidden="1">"#"</definedName>
    <definedName name="FDC_2_0" hidden="1">"#"</definedName>
    <definedName name="FDC_20_0" hidden="1">"#"</definedName>
    <definedName name="FDC_200_0" hidden="1">"#"</definedName>
    <definedName name="FDC_200_1" hidden="1">"#"</definedName>
    <definedName name="FDC_200_2" hidden="1">"#"</definedName>
    <definedName name="FDC_201_0" hidden="1">"#"</definedName>
    <definedName name="FDC_201_1" hidden="1">"#"</definedName>
    <definedName name="FDC_201_2" hidden="1">"#"</definedName>
    <definedName name="FDC_202_0" hidden="1">"#"</definedName>
    <definedName name="FDC_202_1" hidden="1">"#"</definedName>
    <definedName name="FDC_202_2" hidden="1">"#"</definedName>
    <definedName name="FDC_203_0" hidden="1">"#"</definedName>
    <definedName name="FDC_203_1" hidden="1">"#"</definedName>
    <definedName name="FDC_203_2" hidden="1">"#"</definedName>
    <definedName name="FDC_204_0" hidden="1">"#"</definedName>
    <definedName name="FDC_204_1" hidden="1">"#"</definedName>
    <definedName name="FDC_204_2" hidden="1">"#"</definedName>
    <definedName name="FDC_205_0" hidden="1">"#"</definedName>
    <definedName name="FDC_205_1" hidden="1">"#"</definedName>
    <definedName name="FDC_205_2" hidden="1">"#"</definedName>
    <definedName name="FDC_206_0" hidden="1">"#"</definedName>
    <definedName name="FDC_206_1" hidden="1">"#"</definedName>
    <definedName name="FDC_206_2" hidden="1">"#"</definedName>
    <definedName name="FDC_207_0" hidden="1">"#"</definedName>
    <definedName name="FDC_207_1" hidden="1">"#"</definedName>
    <definedName name="FDC_207_2" hidden="1">"#"</definedName>
    <definedName name="FDC_208_0" hidden="1">"#"</definedName>
    <definedName name="FDC_208_1" hidden="1">"#"</definedName>
    <definedName name="FDC_208_2" hidden="1">"#"</definedName>
    <definedName name="FDC_209_0" hidden="1">"#"</definedName>
    <definedName name="FDC_209_1" hidden="1">"#"</definedName>
    <definedName name="FDC_209_2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10_0" hidden="1">"#"</definedName>
    <definedName name="FDC_210_1" hidden="1">"#"</definedName>
    <definedName name="FDC_211_0" hidden="1">"#"</definedName>
    <definedName name="FDC_211_1" hidden="1">"#"</definedName>
    <definedName name="FDC_211_2" hidden="1">"#"</definedName>
    <definedName name="FDC_212_0" hidden="1">"#"</definedName>
    <definedName name="FDC_212_1" hidden="1">"#"</definedName>
    <definedName name="FDC_212_2" hidden="1">"#"</definedName>
    <definedName name="FDC_213_0" hidden="1">"#"</definedName>
    <definedName name="FDC_213_1" hidden="1">"#"</definedName>
    <definedName name="FDC_213_2" hidden="1">"#"</definedName>
    <definedName name="FDC_214_0" hidden="1">"#"</definedName>
    <definedName name="FDC_214_1" hidden="1">"#"</definedName>
    <definedName name="FDC_214_2" hidden="1">"#"</definedName>
    <definedName name="FDC_215_0" hidden="1">"#"</definedName>
    <definedName name="FDC_216_0" hidden="1">"#"</definedName>
    <definedName name="FDC_217_0" hidden="1">"#"</definedName>
    <definedName name="FDC_218_0" hidden="1">"#"</definedName>
    <definedName name="FDC_218_1" hidden="1">"#"</definedName>
    <definedName name="FDC_218_2" hidden="1">"#"</definedName>
    <definedName name="FDC_219_0" hidden="1">"#"</definedName>
    <definedName name="FDC_219_1" hidden="1">"#"</definedName>
    <definedName name="FDC_219_2" hidden="1">"#"</definedName>
    <definedName name="FDC_22_0" hidden="1">"#"</definedName>
    <definedName name="FDC_220_0" hidden="1">"#"</definedName>
    <definedName name="FDC_221_0" hidden="1">"#"</definedName>
    <definedName name="FDC_222_0" hidden="1">"#"</definedName>
    <definedName name="FDC_223_0" hidden="1">"#"</definedName>
    <definedName name="FDC_223_1" hidden="1">"#"</definedName>
    <definedName name="FDC_223_2" hidden="1">"#"</definedName>
    <definedName name="FDC_224_0" hidden="1">"#"</definedName>
    <definedName name="FDC_224_1" hidden="1">"#"</definedName>
    <definedName name="FDC_224_2" hidden="1">"#"</definedName>
    <definedName name="FDC_225_0" hidden="1">"#"</definedName>
    <definedName name="FDC_226_0" hidden="1">"#"</definedName>
    <definedName name="FDC_227_0" hidden="1">"#"</definedName>
    <definedName name="FDC_228_0" hidden="1">"#"</definedName>
    <definedName name="FDC_228_1" hidden="1">"#"</definedName>
    <definedName name="FDC_228_2" hidden="1">"#"</definedName>
    <definedName name="FDC_229_0" hidden="1">"#"</definedName>
    <definedName name="FDC_229_1" hidden="1">"#"</definedName>
    <definedName name="FDC_229_2" hidden="1">"#"</definedName>
    <definedName name="FDC_23_0" hidden="1">"#"</definedName>
    <definedName name="FDC_230_0" hidden="1">"#"</definedName>
    <definedName name="FDC_231_0" hidden="1">"#"</definedName>
    <definedName name="FDC_232_0" hidden="1">"#"</definedName>
    <definedName name="FDC_233_0" hidden="1">"#"</definedName>
    <definedName name="FDC_233_1" hidden="1">"#"</definedName>
    <definedName name="FDC_233_2" hidden="1">"#"</definedName>
    <definedName name="FDC_234_0" hidden="1">"#"</definedName>
    <definedName name="FDC_234_1" hidden="1">"#"</definedName>
    <definedName name="FDC_234_2" hidden="1">"#"</definedName>
    <definedName name="FDC_235_0" hidden="1">"#"</definedName>
    <definedName name="FDC_236_0" hidden="1">"#"</definedName>
    <definedName name="FDC_237_0" hidden="1">"#"</definedName>
    <definedName name="FDC_238_0" hidden="1">"#"</definedName>
    <definedName name="FDC_238_1" hidden="1">"#"</definedName>
    <definedName name="FDC_238_10" hidden="1">"#"</definedName>
    <definedName name="FDC_238_11" hidden="1">"#"</definedName>
    <definedName name="FDC_238_12" hidden="1">"#"</definedName>
    <definedName name="FDC_238_13" hidden="1">"#"</definedName>
    <definedName name="FDC_238_14" hidden="1">"#"</definedName>
    <definedName name="FDC_238_2" hidden="1">"#"</definedName>
    <definedName name="FDC_238_3" hidden="1">"#"</definedName>
    <definedName name="FDC_238_4" hidden="1">"#"</definedName>
    <definedName name="FDC_238_5" hidden="1">"#"</definedName>
    <definedName name="FDC_238_6" hidden="1">"#"</definedName>
    <definedName name="FDC_238_7" hidden="1">"#"</definedName>
    <definedName name="FDC_238_8" hidden="1">"#"</definedName>
    <definedName name="FDC_238_9" hidden="1">"#"</definedName>
    <definedName name="FDC_239_0" hidden="1">"#"</definedName>
    <definedName name="FDC_239_1" hidden="1">"#"</definedName>
    <definedName name="FDC_239_10" hidden="1">"#"</definedName>
    <definedName name="FDC_239_11" hidden="1">"#"</definedName>
    <definedName name="FDC_239_12" hidden="1">"#"</definedName>
    <definedName name="FDC_239_13" hidden="1">"#"</definedName>
    <definedName name="FDC_239_14" hidden="1">"#"</definedName>
    <definedName name="FDC_239_2" hidden="1">"#"</definedName>
    <definedName name="FDC_239_3" hidden="1">"#"</definedName>
    <definedName name="FDC_239_4" hidden="1">"#"</definedName>
    <definedName name="FDC_239_5" hidden="1">"#"</definedName>
    <definedName name="FDC_239_6" hidden="1">"#"</definedName>
    <definedName name="FDC_239_7" hidden="1">"#"</definedName>
    <definedName name="FDC_239_8" hidden="1">"#"</definedName>
    <definedName name="FDC_239_9" hidden="1">"#"</definedName>
    <definedName name="FDC_24_0" hidden="1">"#"</definedName>
    <definedName name="FDC_240_0" hidden="1">"#"</definedName>
    <definedName name="FDC_241_0" hidden="1">"#"</definedName>
    <definedName name="FDC_242_0" hidden="1">"#"</definedName>
    <definedName name="FDC_243_0" hidden="1">"#"</definedName>
    <definedName name="FDC_243_1" hidden="1">"#"</definedName>
    <definedName name="FDC_243_10" hidden="1">"#"</definedName>
    <definedName name="FDC_243_11" hidden="1">"#"</definedName>
    <definedName name="FDC_243_12" hidden="1">"#"</definedName>
    <definedName name="FDC_243_13" hidden="1">"#"</definedName>
    <definedName name="FDC_243_14" hidden="1">"#"</definedName>
    <definedName name="FDC_243_2" hidden="1">"#"</definedName>
    <definedName name="FDC_243_3" hidden="1">"#"</definedName>
    <definedName name="FDC_243_4" hidden="1">"#"</definedName>
    <definedName name="FDC_243_5" hidden="1">"#"</definedName>
    <definedName name="FDC_243_6" hidden="1">"#"</definedName>
    <definedName name="FDC_243_7" hidden="1">"#"</definedName>
    <definedName name="FDC_243_8" hidden="1">"#"</definedName>
    <definedName name="FDC_243_9" hidden="1">"#"</definedName>
    <definedName name="FDC_244_0" hidden="1">"#"</definedName>
    <definedName name="FDC_244_1" hidden="1">"#"</definedName>
    <definedName name="FDC_244_2" hidden="1">"#"</definedName>
    <definedName name="FDC_245_0" hidden="1">"#"</definedName>
    <definedName name="FDC_246_0" hidden="1">"#"</definedName>
    <definedName name="FDC_247_0" hidden="1">"#"</definedName>
    <definedName name="FDC_248_0" hidden="1">"#"</definedName>
    <definedName name="FDC_248_1" hidden="1">"#"</definedName>
    <definedName name="FDC_248_2" hidden="1">"#"</definedName>
    <definedName name="FDC_249_0" hidden="1">"#"</definedName>
    <definedName name="FDC_249_1" hidden="1">"#"</definedName>
    <definedName name="FDC_249_10" hidden="1">"#"</definedName>
    <definedName name="FDC_249_11" hidden="1">"#"</definedName>
    <definedName name="FDC_249_12" hidden="1">"#"</definedName>
    <definedName name="FDC_249_13" hidden="1">"#"</definedName>
    <definedName name="FDC_249_14" hidden="1">"#"</definedName>
    <definedName name="FDC_249_2" hidden="1">"#"</definedName>
    <definedName name="FDC_249_3" hidden="1">"#"</definedName>
    <definedName name="FDC_249_4" hidden="1">"#"</definedName>
    <definedName name="FDC_249_5" hidden="1">"#"</definedName>
    <definedName name="FDC_249_6" hidden="1">"#"</definedName>
    <definedName name="FDC_249_7" hidden="1">"#"</definedName>
    <definedName name="FDC_249_8" hidden="1">"#"</definedName>
    <definedName name="FDC_249_9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50_0" hidden="1">"#"</definedName>
    <definedName name="FDC_251_0" hidden="1">"#"</definedName>
    <definedName name="FDC_252_0" hidden="1">"#"</definedName>
    <definedName name="FDC_253_0" hidden="1">"#"</definedName>
    <definedName name="FDC_253_1" hidden="1">"#"</definedName>
    <definedName name="FDC_253_2" hidden="1">"#"</definedName>
    <definedName name="FDC_254_0" hidden="1">"#"</definedName>
    <definedName name="FDC_254_1" hidden="1">"#"</definedName>
    <definedName name="FDC_254_2" hidden="1">"#"</definedName>
    <definedName name="FDC_255_0" hidden="1">"#"</definedName>
    <definedName name="FDC_255_1" hidden="1">"#"</definedName>
    <definedName name="FDC_255_2" hidden="1">"#"</definedName>
    <definedName name="FDC_256_0" hidden="1">"#"</definedName>
    <definedName name="FDC_256_1" hidden="1">"#"</definedName>
    <definedName name="FDC_256_2" hidden="1">"#"</definedName>
    <definedName name="FDC_257_0" hidden="1">"#"</definedName>
    <definedName name="FDC_257_1" hidden="1">"#"</definedName>
    <definedName name="FDC_257_2" hidden="1">"#"</definedName>
    <definedName name="FDC_258_0" hidden="1">"#"</definedName>
    <definedName name="FDC_258_1" hidden="1">"#"</definedName>
    <definedName name="FDC_258_2" hidden="1">"#"</definedName>
    <definedName name="FDC_259_0" hidden="1">"#"</definedName>
    <definedName name="FDC_259_1" hidden="1">"#"</definedName>
    <definedName name="FDC_259_2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60_0" hidden="1">"#"</definedName>
    <definedName name="FDC_260_1" hidden="1">"#"</definedName>
    <definedName name="FDC_260_2" hidden="1">"#"</definedName>
    <definedName name="FDC_261_0" hidden="1">"#"</definedName>
    <definedName name="FDC_261_1" hidden="1">"#"</definedName>
    <definedName name="FDC_261_2" hidden="1">"#"</definedName>
    <definedName name="FDC_262_0" hidden="1">"#"</definedName>
    <definedName name="FDC_262_1" hidden="1">"#"</definedName>
    <definedName name="FDC_262_2" hidden="1">"#"</definedName>
    <definedName name="FDC_263_0" hidden="1">"#"</definedName>
    <definedName name="FDC_263_1" hidden="1">"#"</definedName>
    <definedName name="FDC_263_2" hidden="1">"#"</definedName>
    <definedName name="FDC_264_0" hidden="1">"#"</definedName>
    <definedName name="FDC_264_1" hidden="1">"#"</definedName>
    <definedName name="FDC_264_2" hidden="1">"#"</definedName>
    <definedName name="FDC_265_0" hidden="1">"#"</definedName>
    <definedName name="FDC_265_1" hidden="1">"#"</definedName>
    <definedName name="FDC_265_2" hidden="1">"#"</definedName>
    <definedName name="FDC_266_0" hidden="1">"#"</definedName>
    <definedName name="FDC_266_1" hidden="1">"#"</definedName>
    <definedName name="FDC_266_2" hidden="1">"#"</definedName>
    <definedName name="FDC_267_0" hidden="1">"#"</definedName>
    <definedName name="FDC_267_1" hidden="1">"#"</definedName>
    <definedName name="FDC_267_2" hidden="1">"#"</definedName>
    <definedName name="FDC_268_0" hidden="1">"#"</definedName>
    <definedName name="FDC_268_1" hidden="1">"#"</definedName>
    <definedName name="FDC_268_2" hidden="1">"#"</definedName>
    <definedName name="FDC_269_0" hidden="1">"#"</definedName>
    <definedName name="FDC_269_1" hidden="1">"#"</definedName>
    <definedName name="FDC_269_2" hidden="1">"#"</definedName>
    <definedName name="FDC_27_0" hidden="1">"#"</definedName>
    <definedName name="FDC_270_0" hidden="1">"#"</definedName>
    <definedName name="FDC_270_1" hidden="1">"#"</definedName>
    <definedName name="FDC_270_2" hidden="1">"#"</definedName>
    <definedName name="FDC_271_0" hidden="1">"#"</definedName>
    <definedName name="FDC_271_1" hidden="1">"#"</definedName>
    <definedName name="FDC_271_2" hidden="1">"#"</definedName>
    <definedName name="FDC_272_0" hidden="1">"#"</definedName>
    <definedName name="FDC_272_1" hidden="1">"#"</definedName>
    <definedName name="FDC_272_2" hidden="1">"#"</definedName>
    <definedName name="FDC_273_0" hidden="1">"#"</definedName>
    <definedName name="FDC_273_1" hidden="1">"#"</definedName>
    <definedName name="FDC_273_10" hidden="1">"#"</definedName>
    <definedName name="FDC_273_11" hidden="1">"#"</definedName>
    <definedName name="FDC_273_12" hidden="1">"#"</definedName>
    <definedName name="FDC_273_13" hidden="1">"#"</definedName>
    <definedName name="FDC_273_14" hidden="1">"#"</definedName>
    <definedName name="FDC_273_2" hidden="1">"#"</definedName>
    <definedName name="FDC_273_3" hidden="1">"#"</definedName>
    <definedName name="FDC_273_4" hidden="1">"#"</definedName>
    <definedName name="FDC_273_5" hidden="1">"#"</definedName>
    <definedName name="FDC_273_6" hidden="1">"#"</definedName>
    <definedName name="FDC_273_7" hidden="1">"#"</definedName>
    <definedName name="FDC_273_8" hidden="1">"#"</definedName>
    <definedName name="FDC_273_9" hidden="1">"#"</definedName>
    <definedName name="FDC_274_0" hidden="1">"#"</definedName>
    <definedName name="FDC_274_1" hidden="1">"#"</definedName>
    <definedName name="FDC_274_2" hidden="1">"#"</definedName>
    <definedName name="FDC_275_0" hidden="1">"#"</definedName>
    <definedName name="FDC_275_1" hidden="1">"#"</definedName>
    <definedName name="FDC_275_2" hidden="1">"#"</definedName>
    <definedName name="FDC_276_0" hidden="1">"#"</definedName>
    <definedName name="FDC_277_0" hidden="1">"#"</definedName>
    <definedName name="FDC_278_0" hidden="1">"#"</definedName>
    <definedName name="FDC_279_0" hidden="1">"#"</definedName>
    <definedName name="FDC_279_1" hidden="1">"#"</definedName>
    <definedName name="FDC_279_2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80_0" hidden="1">"#"</definedName>
    <definedName name="FDC_280_1" hidden="1">"#"</definedName>
    <definedName name="FDC_280_2" hidden="1">"#"</definedName>
    <definedName name="FDC_281_0" hidden="1">"#"</definedName>
    <definedName name="FDC_281_1" hidden="1">"#"</definedName>
    <definedName name="FDC_281_2" hidden="1">"#"</definedName>
    <definedName name="FDC_282_0" hidden="1">"#"</definedName>
    <definedName name="FDC_282_1" hidden="1">"#"</definedName>
    <definedName name="FDC_282_2" hidden="1">"#"</definedName>
    <definedName name="FDC_283_0" hidden="1">"#"</definedName>
    <definedName name="FDC_283_1" hidden="1">"#"</definedName>
    <definedName name="FDC_283_2" hidden="1">"#"</definedName>
    <definedName name="FDC_284_0" hidden="1">"#"</definedName>
    <definedName name="FDC_284_1" hidden="1">"#"</definedName>
    <definedName name="FDC_284_10" hidden="1">"#"</definedName>
    <definedName name="FDC_284_11" hidden="1">"#"</definedName>
    <definedName name="FDC_284_12" hidden="1">"#"</definedName>
    <definedName name="FDC_284_13" hidden="1">"#"</definedName>
    <definedName name="FDC_284_14" hidden="1">"#"</definedName>
    <definedName name="FDC_284_15" hidden="1">"#"</definedName>
    <definedName name="FDC_284_16" hidden="1">"#"</definedName>
    <definedName name="FDC_284_17" hidden="1">"#"</definedName>
    <definedName name="FDC_284_18" hidden="1">"#"</definedName>
    <definedName name="FDC_284_19" hidden="1">"#"</definedName>
    <definedName name="FDC_284_2" hidden="1">"#"</definedName>
    <definedName name="FDC_284_20" hidden="1">"#"</definedName>
    <definedName name="FDC_284_21" hidden="1">"#"</definedName>
    <definedName name="FDC_284_22" hidden="1">"#"</definedName>
    <definedName name="FDC_284_23" hidden="1">"#"</definedName>
    <definedName name="FDC_284_24" hidden="1">"#"</definedName>
    <definedName name="FDC_284_25" hidden="1">"#"</definedName>
    <definedName name="FDC_284_26" hidden="1">"#"</definedName>
    <definedName name="FDC_284_3" hidden="1">"#"</definedName>
    <definedName name="FDC_284_4" hidden="1">"#"</definedName>
    <definedName name="FDC_284_5" hidden="1">"#"</definedName>
    <definedName name="FDC_284_6" hidden="1">"#"</definedName>
    <definedName name="FDC_284_7" hidden="1">"#"</definedName>
    <definedName name="FDC_284_8" hidden="1">"#"</definedName>
    <definedName name="FDC_284_9" hidden="1">"#"</definedName>
    <definedName name="FDC_285_0" hidden="1">"#"</definedName>
    <definedName name="FDC_285_1" hidden="1">"#"</definedName>
    <definedName name="FDC_285_10" hidden="1">"#"</definedName>
    <definedName name="FDC_285_11" hidden="1">"#"</definedName>
    <definedName name="FDC_285_12" hidden="1">"#"</definedName>
    <definedName name="FDC_285_13" hidden="1">"#"</definedName>
    <definedName name="FDC_285_14" hidden="1">"#"</definedName>
    <definedName name="FDC_285_15" hidden="1">"#"</definedName>
    <definedName name="FDC_285_16" hidden="1">"#"</definedName>
    <definedName name="FDC_285_17" hidden="1">"#"</definedName>
    <definedName name="FDC_285_18" hidden="1">"#"</definedName>
    <definedName name="FDC_285_19" hidden="1">"#"</definedName>
    <definedName name="FDC_285_2" hidden="1">"#"</definedName>
    <definedName name="FDC_285_20" hidden="1">"#"</definedName>
    <definedName name="FDC_285_21" hidden="1">"#"</definedName>
    <definedName name="FDC_285_22" hidden="1">"#"</definedName>
    <definedName name="FDC_285_23" hidden="1">"#"</definedName>
    <definedName name="FDC_285_24" hidden="1">"#"</definedName>
    <definedName name="FDC_285_25" hidden="1">"#"</definedName>
    <definedName name="FDC_285_26" hidden="1">"#"</definedName>
    <definedName name="FDC_285_3" hidden="1">"#"</definedName>
    <definedName name="FDC_285_4" hidden="1">"#"</definedName>
    <definedName name="FDC_285_5" hidden="1">"#"</definedName>
    <definedName name="FDC_285_6" hidden="1">"#"</definedName>
    <definedName name="FDC_285_7" hidden="1">"#"</definedName>
    <definedName name="FDC_285_8" hidden="1">"#"</definedName>
    <definedName name="FDC_285_9" hidden="1">"#"</definedName>
    <definedName name="FDC_286_0" hidden="1">"#"</definedName>
    <definedName name="FDC_286_1" hidden="1">"#"</definedName>
    <definedName name="FDC_286_10" hidden="1">"#"</definedName>
    <definedName name="FDC_286_11" hidden="1">"#"</definedName>
    <definedName name="FDC_286_12" hidden="1">"#"</definedName>
    <definedName name="FDC_286_13" hidden="1">"#"</definedName>
    <definedName name="FDC_286_14" hidden="1">"#"</definedName>
    <definedName name="FDC_286_15" hidden="1">"#"</definedName>
    <definedName name="FDC_286_16" hidden="1">"#"</definedName>
    <definedName name="FDC_286_17" hidden="1">"#"</definedName>
    <definedName name="FDC_286_18" hidden="1">"#"</definedName>
    <definedName name="FDC_286_19" hidden="1">"#"</definedName>
    <definedName name="FDC_286_2" hidden="1">"#"</definedName>
    <definedName name="FDC_286_20" hidden="1">"#"</definedName>
    <definedName name="FDC_286_21" hidden="1">"#"</definedName>
    <definedName name="FDC_286_22" hidden="1">"#"</definedName>
    <definedName name="FDC_286_23" hidden="1">"#"</definedName>
    <definedName name="FDC_286_24" hidden="1">"#"</definedName>
    <definedName name="FDC_286_25" hidden="1">"#"</definedName>
    <definedName name="FDC_286_3" hidden="1">"#"</definedName>
    <definedName name="FDC_286_4" hidden="1">"#"</definedName>
    <definedName name="FDC_286_5" hidden="1">"#"</definedName>
    <definedName name="FDC_286_6" hidden="1">"#"</definedName>
    <definedName name="FDC_286_7" hidden="1">"#"</definedName>
    <definedName name="FDC_286_8" hidden="1">"#"</definedName>
    <definedName name="FDC_286_9" hidden="1">"#"</definedName>
    <definedName name="FDC_287_0" hidden="1">"#"</definedName>
    <definedName name="FDC_287_1" hidden="1">"#"</definedName>
    <definedName name="FDC_287_10" hidden="1">"#"</definedName>
    <definedName name="FDC_287_11" hidden="1">"#"</definedName>
    <definedName name="FDC_287_12" hidden="1">"#"</definedName>
    <definedName name="FDC_287_13" hidden="1">"#"</definedName>
    <definedName name="FDC_287_14" hidden="1">"#"</definedName>
    <definedName name="FDC_287_15" hidden="1">"#"</definedName>
    <definedName name="FDC_287_16" hidden="1">"#"</definedName>
    <definedName name="FDC_287_17" hidden="1">"#"</definedName>
    <definedName name="FDC_287_18" hidden="1">"#"</definedName>
    <definedName name="FDC_287_19" hidden="1">"#"</definedName>
    <definedName name="FDC_287_2" hidden="1">"#"</definedName>
    <definedName name="FDC_287_20" hidden="1">"#"</definedName>
    <definedName name="FDC_287_21" hidden="1">"#"</definedName>
    <definedName name="FDC_287_22" hidden="1">"#"</definedName>
    <definedName name="FDC_287_23" hidden="1">"#"</definedName>
    <definedName name="FDC_287_24" hidden="1">"#"</definedName>
    <definedName name="FDC_287_3" hidden="1">"#"</definedName>
    <definedName name="FDC_287_4" hidden="1">"#"</definedName>
    <definedName name="FDC_287_5" hidden="1">"#"</definedName>
    <definedName name="FDC_287_6" hidden="1">"#"</definedName>
    <definedName name="FDC_287_7" hidden="1">"#"</definedName>
    <definedName name="FDC_287_8" hidden="1">"#"</definedName>
    <definedName name="FDC_287_9" hidden="1">"#"</definedName>
    <definedName name="FDC_288_0" hidden="1">"#"</definedName>
    <definedName name="FDC_288_1" hidden="1">"#"</definedName>
    <definedName name="FDC_288_2" hidden="1">"#"</definedName>
    <definedName name="FDC_289_0" hidden="1">"#"</definedName>
    <definedName name="FDC_289_1" hidden="1">"#"</definedName>
    <definedName name="FDC_289_10" hidden="1">"#"</definedName>
    <definedName name="FDC_289_11" hidden="1">"#"</definedName>
    <definedName name="FDC_289_12" hidden="1">"#"</definedName>
    <definedName name="FDC_289_13" hidden="1">"#"</definedName>
    <definedName name="FDC_289_14" hidden="1">"#"</definedName>
    <definedName name="FDC_289_15" hidden="1">"#"</definedName>
    <definedName name="FDC_289_16" hidden="1">"#"</definedName>
    <definedName name="FDC_289_17" hidden="1">"#"</definedName>
    <definedName name="FDC_289_18" hidden="1">"#"</definedName>
    <definedName name="FDC_289_19" hidden="1">"#"</definedName>
    <definedName name="FDC_289_2" hidden="1">"#"</definedName>
    <definedName name="FDC_289_20" hidden="1">"#"</definedName>
    <definedName name="FDC_289_21" hidden="1">"#"</definedName>
    <definedName name="FDC_289_22" hidden="1">"#"</definedName>
    <definedName name="FDC_289_23" hidden="1">"#"</definedName>
    <definedName name="FDC_289_24" hidden="1">"#"</definedName>
    <definedName name="FDC_289_25" hidden="1">"#"</definedName>
    <definedName name="FDC_289_26" hidden="1">"#"</definedName>
    <definedName name="FDC_289_3" hidden="1">"#"</definedName>
    <definedName name="FDC_289_4" hidden="1">"#"</definedName>
    <definedName name="FDC_289_5" hidden="1">"#"</definedName>
    <definedName name="FDC_289_6" hidden="1">"#"</definedName>
    <definedName name="FDC_289_7" hidden="1">"#"</definedName>
    <definedName name="FDC_289_8" hidden="1">"#"</definedName>
    <definedName name="FDC_289_9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290_0" hidden="1">"#"</definedName>
    <definedName name="FDC_290_1" hidden="1">"#"</definedName>
    <definedName name="FDC_290_10" hidden="1">"#"</definedName>
    <definedName name="FDC_290_11" hidden="1">"#"</definedName>
    <definedName name="FDC_290_12" hidden="1">"#"</definedName>
    <definedName name="FDC_290_13" hidden="1">"#"</definedName>
    <definedName name="FDC_290_14" hidden="1">"#"</definedName>
    <definedName name="FDC_290_15" hidden="1">"#"</definedName>
    <definedName name="FDC_290_16" hidden="1">"#"</definedName>
    <definedName name="FDC_290_17" hidden="1">"#"</definedName>
    <definedName name="FDC_290_18" hidden="1">"#"</definedName>
    <definedName name="FDC_290_19" hidden="1">"#"</definedName>
    <definedName name="FDC_290_2" hidden="1">"#"</definedName>
    <definedName name="FDC_290_20" hidden="1">"#"</definedName>
    <definedName name="FDC_290_21" hidden="1">"#"</definedName>
    <definedName name="FDC_290_22" hidden="1">"#"</definedName>
    <definedName name="FDC_290_23" hidden="1">"#"</definedName>
    <definedName name="FDC_290_24" hidden="1">"#"</definedName>
    <definedName name="FDC_290_25" hidden="1">"#"</definedName>
    <definedName name="FDC_290_3" hidden="1">"#"</definedName>
    <definedName name="FDC_290_4" hidden="1">"#"</definedName>
    <definedName name="FDC_290_5" hidden="1">"#"</definedName>
    <definedName name="FDC_290_6" hidden="1">"#"</definedName>
    <definedName name="FDC_290_7" hidden="1">"#"</definedName>
    <definedName name="FDC_290_8" hidden="1">"#"</definedName>
    <definedName name="FDC_290_9" hidden="1">"#"</definedName>
    <definedName name="FDC_291_0" hidden="1">"#"</definedName>
    <definedName name="FDC_291_1" hidden="1">"#"</definedName>
    <definedName name="FDC_291_10" hidden="1">"#"</definedName>
    <definedName name="FDC_291_11" hidden="1">"#"</definedName>
    <definedName name="FDC_291_12" hidden="1">"#"</definedName>
    <definedName name="FDC_291_13" hidden="1">"#"</definedName>
    <definedName name="FDC_291_14" hidden="1">"#"</definedName>
    <definedName name="FDC_291_15" hidden="1">"#"</definedName>
    <definedName name="FDC_291_16" hidden="1">"#"</definedName>
    <definedName name="FDC_291_17" hidden="1">"#"</definedName>
    <definedName name="FDC_291_18" hidden="1">"#"</definedName>
    <definedName name="FDC_291_19" hidden="1">"#"</definedName>
    <definedName name="FDC_291_2" hidden="1">"#"</definedName>
    <definedName name="FDC_291_20" hidden="1">"#"</definedName>
    <definedName name="FDC_291_21" hidden="1">"#"</definedName>
    <definedName name="FDC_291_22" hidden="1">"#"</definedName>
    <definedName name="FDC_291_23" hidden="1">"#"</definedName>
    <definedName name="FDC_291_24" hidden="1">"#"</definedName>
    <definedName name="FDC_291_3" hidden="1">"#"</definedName>
    <definedName name="FDC_291_4" hidden="1">"#"</definedName>
    <definedName name="FDC_291_5" hidden="1">"#"</definedName>
    <definedName name="FDC_291_6" hidden="1">"#"</definedName>
    <definedName name="FDC_291_7" hidden="1">"#"</definedName>
    <definedName name="FDC_291_8" hidden="1">"#"</definedName>
    <definedName name="FDC_291_9" hidden="1">"#"</definedName>
    <definedName name="FDC_292_0" hidden="1">"#"</definedName>
    <definedName name="FDC_292_1" hidden="1">"#"</definedName>
    <definedName name="FDC_292_2" hidden="1">"#"</definedName>
    <definedName name="FDC_293_0" hidden="1">"#"</definedName>
    <definedName name="FDC_293_1" hidden="1">"#"</definedName>
    <definedName name="FDC_293_2" hidden="1">"#"</definedName>
    <definedName name="FDC_294_0" hidden="1">"#"</definedName>
    <definedName name="FDC_294_1" hidden="1">"#"</definedName>
    <definedName name="FDC_294_2" hidden="1">"#"</definedName>
    <definedName name="FDC_295_0" hidden="1">"#"</definedName>
    <definedName name="FDC_296_0" hidden="1">"#"</definedName>
    <definedName name="FDC_297_0" hidden="1">"#"</definedName>
    <definedName name="FDC_298_0" hidden="1">"#"</definedName>
    <definedName name="FDC_299_0" hidden="1">"#"</definedName>
    <definedName name="FDC_299_1" hidden="1">"#"</definedName>
    <definedName name="FDC_299_10" hidden="1">"#"</definedName>
    <definedName name="FDC_299_11" hidden="1">"#"</definedName>
    <definedName name="FDC_299_12" hidden="1">"#"</definedName>
    <definedName name="FDC_299_13" hidden="1">"#"</definedName>
    <definedName name="FDC_299_14" hidden="1">"#"</definedName>
    <definedName name="FDC_299_15" hidden="1">"#"</definedName>
    <definedName name="FDC_299_16" hidden="1">"#"</definedName>
    <definedName name="FDC_299_17" hidden="1">"#"</definedName>
    <definedName name="FDC_299_18" hidden="1">"#"</definedName>
    <definedName name="FDC_299_19" hidden="1">"#"</definedName>
    <definedName name="FDC_299_2" hidden="1">"#"</definedName>
    <definedName name="FDC_299_20" hidden="1">"#"</definedName>
    <definedName name="FDC_299_21" hidden="1">"#"</definedName>
    <definedName name="FDC_299_22" hidden="1">"#"</definedName>
    <definedName name="FDC_299_23" hidden="1">"#"</definedName>
    <definedName name="FDC_299_24" hidden="1">"#"</definedName>
    <definedName name="FDC_299_25" hidden="1">"#"</definedName>
    <definedName name="FDC_299_26" hidden="1">"#"</definedName>
    <definedName name="FDC_299_3" hidden="1">"#"</definedName>
    <definedName name="FDC_299_4" hidden="1">"#"</definedName>
    <definedName name="FDC_299_5" hidden="1">"#"</definedName>
    <definedName name="FDC_299_6" hidden="1">"#"</definedName>
    <definedName name="FDC_299_7" hidden="1">"#"</definedName>
    <definedName name="FDC_299_8" hidden="1">"#"</definedName>
    <definedName name="FDC_299_9" hidden="1">"#"</definedName>
    <definedName name="FDC_3_0" hidden="1">"#"</definedName>
    <definedName name="FDC_30_0" hidden="1">"#"</definedName>
    <definedName name="FDC_300_0" hidden="1">"#"</definedName>
    <definedName name="FDC_300_1" hidden="1">"#"</definedName>
    <definedName name="FDC_300_10" hidden="1">"#"</definedName>
    <definedName name="FDC_300_11" hidden="1">"#"</definedName>
    <definedName name="FDC_300_12" hidden="1">"#"</definedName>
    <definedName name="FDC_300_13" hidden="1">"#"</definedName>
    <definedName name="FDC_300_14" hidden="1">"#"</definedName>
    <definedName name="FDC_300_15" hidden="1">"#"</definedName>
    <definedName name="FDC_300_16" hidden="1">"#"</definedName>
    <definedName name="FDC_300_17" hidden="1">"#"</definedName>
    <definedName name="FDC_300_18" hidden="1">"#"</definedName>
    <definedName name="FDC_300_19" hidden="1">"#"</definedName>
    <definedName name="FDC_300_2" hidden="1">"#"</definedName>
    <definedName name="FDC_300_20" hidden="1">"#"</definedName>
    <definedName name="FDC_300_21" hidden="1">"#"</definedName>
    <definedName name="FDC_300_22" hidden="1">"#"</definedName>
    <definedName name="FDC_300_23" hidden="1">"#"</definedName>
    <definedName name="FDC_300_24" hidden="1">"#"</definedName>
    <definedName name="FDC_300_25" hidden="1">"#"</definedName>
    <definedName name="FDC_300_26" hidden="1">"#"</definedName>
    <definedName name="FDC_300_3" hidden="1">"#"</definedName>
    <definedName name="FDC_300_4" hidden="1">"#"</definedName>
    <definedName name="FDC_300_5" hidden="1">"#"</definedName>
    <definedName name="FDC_300_6" hidden="1">"#"</definedName>
    <definedName name="FDC_300_7" hidden="1">"#"</definedName>
    <definedName name="FDC_300_8" hidden="1">"#"</definedName>
    <definedName name="FDC_300_9" hidden="1">"#"</definedName>
    <definedName name="FDC_301_0" hidden="1">"#"</definedName>
    <definedName name="FDC_301_1" hidden="1">"#"</definedName>
    <definedName name="FDC_301_10" hidden="1">"#"</definedName>
    <definedName name="FDC_301_11" hidden="1">"#"</definedName>
    <definedName name="FDC_301_12" hidden="1">"#"</definedName>
    <definedName name="FDC_301_13" hidden="1">"#"</definedName>
    <definedName name="FDC_301_14" hidden="1">"#"</definedName>
    <definedName name="FDC_301_15" hidden="1">"#"</definedName>
    <definedName name="FDC_301_16" hidden="1">"#"</definedName>
    <definedName name="FDC_301_17" hidden="1">"#"</definedName>
    <definedName name="FDC_301_18" hidden="1">"#"</definedName>
    <definedName name="FDC_301_19" hidden="1">"#"</definedName>
    <definedName name="FDC_301_2" hidden="1">"#"</definedName>
    <definedName name="FDC_301_20" hidden="1">"#"</definedName>
    <definedName name="FDC_301_21" hidden="1">"#"</definedName>
    <definedName name="FDC_301_22" hidden="1">"#"</definedName>
    <definedName name="FDC_301_23" hidden="1">"#"</definedName>
    <definedName name="FDC_301_24" hidden="1">"#"</definedName>
    <definedName name="FDC_301_25" hidden="1">"#"</definedName>
    <definedName name="FDC_301_3" hidden="1">"#"</definedName>
    <definedName name="FDC_301_4" hidden="1">"#"</definedName>
    <definedName name="FDC_301_5" hidden="1">"#"</definedName>
    <definedName name="FDC_301_6" hidden="1">"#"</definedName>
    <definedName name="FDC_301_7" hidden="1">"#"</definedName>
    <definedName name="FDC_301_8" hidden="1">"#"</definedName>
    <definedName name="FDC_301_9" hidden="1">"#"</definedName>
    <definedName name="FDC_302_0" hidden="1">"#"</definedName>
    <definedName name="FDC_302_1" hidden="1">"#"</definedName>
    <definedName name="FDC_302_10" hidden="1">"#"</definedName>
    <definedName name="FDC_302_11" hidden="1">"#"</definedName>
    <definedName name="FDC_302_12" hidden="1">"#"</definedName>
    <definedName name="FDC_302_13" hidden="1">"#"</definedName>
    <definedName name="FDC_302_14" hidden="1">"#"</definedName>
    <definedName name="FDC_302_15" hidden="1">"#"</definedName>
    <definedName name="FDC_302_16" hidden="1">"#"</definedName>
    <definedName name="FDC_302_17" hidden="1">"#"</definedName>
    <definedName name="FDC_302_18" hidden="1">"#"</definedName>
    <definedName name="FDC_302_19" hidden="1">"#"</definedName>
    <definedName name="FDC_302_2" hidden="1">"#"</definedName>
    <definedName name="FDC_302_20" hidden="1">"#"</definedName>
    <definedName name="FDC_302_21" hidden="1">"#"</definedName>
    <definedName name="FDC_302_22" hidden="1">"#"</definedName>
    <definedName name="FDC_302_23" hidden="1">"#"</definedName>
    <definedName name="FDC_302_24" hidden="1">"#"</definedName>
    <definedName name="FDC_302_3" hidden="1">"#"</definedName>
    <definedName name="FDC_302_4" hidden="1">"#"</definedName>
    <definedName name="FDC_302_5" hidden="1">"#"</definedName>
    <definedName name="FDC_302_6" hidden="1">"#"</definedName>
    <definedName name="FDC_302_7" hidden="1">"#"</definedName>
    <definedName name="FDC_302_8" hidden="1">"#"</definedName>
    <definedName name="FDC_302_9" hidden="1">"#"</definedName>
    <definedName name="FDC_303_0" hidden="1">"#"</definedName>
    <definedName name="FDC_303_1" hidden="1">"#"</definedName>
    <definedName name="FDC_303_2" hidden="1">"#"</definedName>
    <definedName name="FDC_304_0" hidden="1">"#"</definedName>
    <definedName name="FDC_304_1" hidden="1">"#"</definedName>
    <definedName name="FDC_304_2" hidden="1">"#"</definedName>
    <definedName name="FDC_305_0" hidden="1">"#"</definedName>
    <definedName name="FDC_305_1" hidden="1">"#"</definedName>
    <definedName name="FDC_305_10" hidden="1">"#"</definedName>
    <definedName name="FDC_305_11" hidden="1">"#"</definedName>
    <definedName name="FDC_305_12" hidden="1">"#"</definedName>
    <definedName name="FDC_305_13" hidden="1">"#"</definedName>
    <definedName name="FDC_305_14" hidden="1">"#"</definedName>
    <definedName name="FDC_305_2" hidden="1">"#"</definedName>
    <definedName name="FDC_305_3" hidden="1">"#"</definedName>
    <definedName name="FDC_305_4" hidden="1">"#"</definedName>
    <definedName name="FDC_305_5" hidden="1">"#"</definedName>
    <definedName name="FDC_305_6" hidden="1">"#"</definedName>
    <definedName name="FDC_305_7" hidden="1">"#"</definedName>
    <definedName name="FDC_305_8" hidden="1">"#"</definedName>
    <definedName name="FDC_305_9" hidden="1">"#"</definedName>
    <definedName name="FDC_306_0" hidden="1">"#"</definedName>
    <definedName name="FDC_306_1" hidden="1">"#"</definedName>
    <definedName name="FDC_306_10" hidden="1">"#"</definedName>
    <definedName name="FDC_306_11" hidden="1">"#"</definedName>
    <definedName name="FDC_306_12" hidden="1">"#"</definedName>
    <definedName name="FDC_306_13" hidden="1">"#"</definedName>
    <definedName name="FDC_306_14" hidden="1">"#"</definedName>
    <definedName name="FDC_306_2" hidden="1">"#"</definedName>
    <definedName name="FDC_306_3" hidden="1">"#"</definedName>
    <definedName name="FDC_306_4" hidden="1">"#"</definedName>
    <definedName name="FDC_306_5" hidden="1">"#"</definedName>
    <definedName name="FDC_306_6" hidden="1">"#"</definedName>
    <definedName name="FDC_306_7" hidden="1">"#"</definedName>
    <definedName name="FDC_306_8" hidden="1">"#"</definedName>
    <definedName name="FDC_306_9" hidden="1">"#"</definedName>
    <definedName name="FDC_307_0" hidden="1">"#"</definedName>
    <definedName name="FDC_307_1" hidden="1">"#"</definedName>
    <definedName name="FDC_307_2" hidden="1">"#"</definedName>
    <definedName name="FDC_308_0" hidden="1">"#"</definedName>
    <definedName name="FDC_308_1" hidden="1">"#"</definedName>
    <definedName name="FDC_308_2" hidden="1">"#"</definedName>
    <definedName name="FDC_309_0" hidden="1">"#"</definedName>
    <definedName name="FDC_309_1" hidden="1">"#"</definedName>
    <definedName name="FDC_309_2" hidden="1">"#"</definedName>
    <definedName name="FDC_31_0" hidden="1">"#"</definedName>
    <definedName name="FDC_310_0" hidden="1">"#"</definedName>
    <definedName name="FDC_310_1" hidden="1">"#"</definedName>
    <definedName name="FDC_310_10" hidden="1">"#"</definedName>
    <definedName name="FDC_310_11" hidden="1">"#"</definedName>
    <definedName name="FDC_310_12" hidden="1">"#"</definedName>
    <definedName name="FDC_310_13" hidden="1">"#"</definedName>
    <definedName name="FDC_310_14" hidden="1">"#"</definedName>
    <definedName name="FDC_310_2" hidden="1">"#"</definedName>
    <definedName name="FDC_310_3" hidden="1">"#"</definedName>
    <definedName name="FDC_310_4" hidden="1">"#"</definedName>
    <definedName name="FDC_310_5" hidden="1">"#"</definedName>
    <definedName name="FDC_310_6" hidden="1">"#"</definedName>
    <definedName name="FDC_310_7" hidden="1">"#"</definedName>
    <definedName name="FDC_310_8" hidden="1">"#"</definedName>
    <definedName name="FDC_310_9" hidden="1">"#"</definedName>
    <definedName name="FDC_311_0" hidden="1">"#"</definedName>
    <definedName name="FDC_311_1" hidden="1">"#"</definedName>
    <definedName name="FDC_311_2" hidden="1">"#"</definedName>
    <definedName name="FDC_312_0" hidden="1">"#"</definedName>
    <definedName name="FDC_312_1" hidden="1">"#"</definedName>
    <definedName name="FDC_312_2" hidden="1">"#"</definedName>
    <definedName name="FDC_313_0" hidden="1">"#"</definedName>
    <definedName name="FDC_314_0" hidden="1">"#"</definedName>
    <definedName name="FDC_315_0" hidden="1">"#"</definedName>
    <definedName name="FDC_316_0" hidden="1">"#"</definedName>
    <definedName name="FDC_317_0" hidden="1">"#"</definedName>
    <definedName name="FDC_317_1" hidden="1">"#"</definedName>
    <definedName name="FDC_317_2" hidden="1">"#"</definedName>
    <definedName name="FDC_318_0" hidden="1">"#"</definedName>
    <definedName name="FDC_318_1" hidden="1">"#"</definedName>
    <definedName name="FDC_318_2" hidden="1">"#"</definedName>
    <definedName name="FDC_319_0" hidden="1">"#"</definedName>
    <definedName name="FDC_319_1" hidden="1">"#"</definedName>
    <definedName name="FDC_319_2" hidden="1">"#"</definedName>
    <definedName name="FDC_32_0" hidden="1">"#"</definedName>
    <definedName name="FDC_320_0" hidden="1">"#"</definedName>
    <definedName name="FDC_320_1" hidden="1">"#"</definedName>
    <definedName name="FDC_320_2" hidden="1">"#"</definedName>
    <definedName name="FDC_321_0" hidden="1">"#"</definedName>
    <definedName name="FDC_321_1" hidden="1">"#"</definedName>
    <definedName name="FDC_321_2" hidden="1">"#"</definedName>
    <definedName name="FDC_322_0" hidden="1">"#"</definedName>
    <definedName name="FDC_322_1" hidden="1">"#"</definedName>
    <definedName name="FDC_322_2" hidden="1">"#"</definedName>
    <definedName name="FDC_323_0" hidden="1">"#"</definedName>
    <definedName name="FDC_323_1" hidden="1">"#"</definedName>
    <definedName name="FDC_323_2" hidden="1">"#"</definedName>
    <definedName name="FDC_324_0" hidden="1">"#"</definedName>
    <definedName name="FDC_326_0" hidden="1">"#"</definedName>
    <definedName name="FDC_326_1" hidden="1">"#"</definedName>
    <definedName name="FDC_326_2" hidden="1">"#"</definedName>
    <definedName name="FDC_326_3" hidden="1">"#"</definedName>
    <definedName name="FDC_326_4" hidden="1">"#"</definedName>
    <definedName name="FDC_326_5" hidden="1">"#"</definedName>
    <definedName name="FDC_326_6" hidden="1">"#"</definedName>
    <definedName name="FDC_327_0" hidden="1">"#"</definedName>
    <definedName name="FDC_327_1" hidden="1">"#"</definedName>
    <definedName name="FDC_327_2" hidden="1">"#"</definedName>
    <definedName name="FDC_327_3" hidden="1">"#"</definedName>
    <definedName name="FDC_327_4" hidden="1">"#"</definedName>
    <definedName name="FDC_327_5" hidden="1">"#"</definedName>
    <definedName name="FDC_327_6" hidden="1">"#"</definedName>
    <definedName name="FDC_328_0" hidden="1">"#"</definedName>
    <definedName name="FDC_329_0" hidden="1">"#"</definedName>
    <definedName name="FDC_33_0" hidden="1">"#"</definedName>
    <definedName name="FDC_330_0" hidden="1">"#"</definedName>
    <definedName name="FDC_331_0" hidden="1">"#"</definedName>
    <definedName name="FDC_332_0" hidden="1">"#"</definedName>
    <definedName name="FDC_333_0" hidden="1">"#"</definedName>
    <definedName name="FDC_334_0" hidden="1">"#"</definedName>
    <definedName name="FDC_335_0" hidden="1">"#"</definedName>
    <definedName name="FDC_336_0" hidden="1">"#"</definedName>
    <definedName name="FDC_337_0" hidden="1">"#"</definedName>
    <definedName name="FDC_338_0" hidden="1">"#"</definedName>
    <definedName name="FDC_339_0" hidden="1">"#"</definedName>
    <definedName name="FDC_34_0" hidden="1">"#"</definedName>
    <definedName name="FDC_340_0" hidden="1">"#"</definedName>
    <definedName name="FDC_341_0" hidden="1">"#"</definedName>
    <definedName name="FDC_342_0" hidden="1">"#"</definedName>
    <definedName name="FDC_343_0" hidden="1">"#"</definedName>
    <definedName name="FDC_344_0" hidden="1">"#"</definedName>
    <definedName name="FDC_345_0" hidden="1">"#"</definedName>
    <definedName name="FDC_346_0" hidden="1">"#"</definedName>
    <definedName name="FDC_347_0" hidden="1">"#"</definedName>
    <definedName name="FDC_348_0" hidden="1">"#"</definedName>
    <definedName name="FDC_349_0" hidden="1">"#"</definedName>
    <definedName name="FDC_35_0" hidden="1">"#"</definedName>
    <definedName name="FDC_350_0" hidden="1">"#"</definedName>
    <definedName name="FDC_350_1" hidden="1">"#"</definedName>
    <definedName name="FDC_350_10" hidden="1">"#"</definedName>
    <definedName name="FDC_350_11" hidden="1">"#"</definedName>
    <definedName name="FDC_350_12" hidden="1">"#"</definedName>
    <definedName name="FDC_350_13" hidden="1">"#"</definedName>
    <definedName name="FDC_350_14" hidden="1">"#"</definedName>
    <definedName name="FDC_350_2" hidden="1">"#"</definedName>
    <definedName name="FDC_350_3" hidden="1">"#"</definedName>
    <definedName name="FDC_350_4" hidden="1">"#"</definedName>
    <definedName name="FDC_350_5" hidden="1">"#"</definedName>
    <definedName name="FDC_350_6" hidden="1">"#"</definedName>
    <definedName name="FDC_350_7" hidden="1">"#"</definedName>
    <definedName name="FDC_350_8" hidden="1">"#"</definedName>
    <definedName name="FDC_350_9" hidden="1">"#"</definedName>
    <definedName name="FDC_351_0" hidden="1">"#"</definedName>
    <definedName name="FDC_351_1" hidden="1">"#"</definedName>
    <definedName name="FDC_351_10" hidden="1">"#"</definedName>
    <definedName name="FDC_351_11" hidden="1">"#"</definedName>
    <definedName name="FDC_351_12" hidden="1">"#"</definedName>
    <definedName name="FDC_351_13" hidden="1">"#"</definedName>
    <definedName name="FDC_351_14" hidden="1">"#"</definedName>
    <definedName name="FDC_351_2" hidden="1">"#"</definedName>
    <definedName name="FDC_351_3" hidden="1">"#"</definedName>
    <definedName name="FDC_351_4" hidden="1">"#"</definedName>
    <definedName name="FDC_351_5" hidden="1">"#"</definedName>
    <definedName name="FDC_351_6" hidden="1">"#"</definedName>
    <definedName name="FDC_351_7" hidden="1">"#"</definedName>
    <definedName name="FDC_351_8" hidden="1">"#"</definedName>
    <definedName name="FDC_351_9" hidden="1">"#"</definedName>
    <definedName name="FDC_352_0" hidden="1">"#"</definedName>
    <definedName name="FDC_352_1" hidden="1">"#"</definedName>
    <definedName name="FDC_352_10" hidden="1">"#"</definedName>
    <definedName name="FDC_352_11" hidden="1">"#"</definedName>
    <definedName name="FDC_352_12" hidden="1">"#"</definedName>
    <definedName name="FDC_352_13" hidden="1">"#"</definedName>
    <definedName name="FDC_352_14" hidden="1">"#"</definedName>
    <definedName name="FDC_352_2" hidden="1">"#"</definedName>
    <definedName name="FDC_352_3" hidden="1">"#"</definedName>
    <definedName name="FDC_352_4" hidden="1">"#"</definedName>
    <definedName name="FDC_352_5" hidden="1">"#"</definedName>
    <definedName name="FDC_352_6" hidden="1">"#"</definedName>
    <definedName name="FDC_352_7" hidden="1">"#"</definedName>
    <definedName name="FDC_352_8" hidden="1">"#"</definedName>
    <definedName name="FDC_352_9" hidden="1">"#"</definedName>
    <definedName name="FDC_353_0" hidden="1">"#"</definedName>
    <definedName name="FDC_353_1" hidden="1">"#"</definedName>
    <definedName name="FDC_353_10" hidden="1">"#"</definedName>
    <definedName name="FDC_353_11" hidden="1">"#"</definedName>
    <definedName name="FDC_353_12" hidden="1">"#"</definedName>
    <definedName name="FDC_353_13" hidden="1">"#"</definedName>
    <definedName name="FDC_353_14" hidden="1">"#"</definedName>
    <definedName name="FDC_353_2" hidden="1">"#"</definedName>
    <definedName name="FDC_353_3" hidden="1">"#"</definedName>
    <definedName name="FDC_353_4" hidden="1">"#"</definedName>
    <definedName name="FDC_353_5" hidden="1">"#"</definedName>
    <definedName name="FDC_353_6" hidden="1">"#"</definedName>
    <definedName name="FDC_353_7" hidden="1">"#"</definedName>
    <definedName name="FDC_353_8" hidden="1">"#"</definedName>
    <definedName name="FDC_353_9" hidden="1">"#"</definedName>
    <definedName name="FDC_354_0" hidden="1">"#"</definedName>
    <definedName name="FDC_354_1" hidden="1">"#"</definedName>
    <definedName name="FDC_354_10" hidden="1">"#"</definedName>
    <definedName name="FDC_354_11" hidden="1">"#"</definedName>
    <definedName name="FDC_354_12" hidden="1">"#"</definedName>
    <definedName name="FDC_354_13" hidden="1">"#"</definedName>
    <definedName name="FDC_354_14" hidden="1">"#"</definedName>
    <definedName name="FDC_354_2" hidden="1">"#"</definedName>
    <definedName name="FDC_354_3" hidden="1">"#"</definedName>
    <definedName name="FDC_354_4" hidden="1">"#"</definedName>
    <definedName name="FDC_354_5" hidden="1">"#"</definedName>
    <definedName name="FDC_354_6" hidden="1">"#"</definedName>
    <definedName name="FDC_354_7" hidden="1">"#"</definedName>
    <definedName name="FDC_354_8" hidden="1">"#"</definedName>
    <definedName name="FDC_354_9" hidden="1">"#"</definedName>
    <definedName name="FDC_355_0" hidden="1">"#"</definedName>
    <definedName name="FDC_355_1" hidden="1">"#"</definedName>
    <definedName name="FDC_355_10" hidden="1">"#"</definedName>
    <definedName name="FDC_355_11" hidden="1">"#"</definedName>
    <definedName name="FDC_355_12" hidden="1">"#"</definedName>
    <definedName name="FDC_355_13" hidden="1">"#"</definedName>
    <definedName name="FDC_355_14" hidden="1">"#"</definedName>
    <definedName name="FDC_355_2" hidden="1">"#"</definedName>
    <definedName name="FDC_355_3" hidden="1">"#"</definedName>
    <definedName name="FDC_355_4" hidden="1">"#"</definedName>
    <definedName name="FDC_355_5" hidden="1">"#"</definedName>
    <definedName name="FDC_355_6" hidden="1">"#"</definedName>
    <definedName name="FDC_355_7" hidden="1">"#"</definedName>
    <definedName name="FDC_355_8" hidden="1">"#"</definedName>
    <definedName name="FDC_355_9" hidden="1">"#"</definedName>
    <definedName name="FDC_356_0" hidden="1">"#"</definedName>
    <definedName name="FDC_356_1" hidden="1">"#"</definedName>
    <definedName name="FDC_356_10" hidden="1">"#"</definedName>
    <definedName name="FDC_356_11" hidden="1">"#"</definedName>
    <definedName name="FDC_356_12" hidden="1">"#"</definedName>
    <definedName name="FDC_356_13" hidden="1">"#"</definedName>
    <definedName name="FDC_356_14" hidden="1">"#"</definedName>
    <definedName name="FDC_356_2" hidden="1">"#"</definedName>
    <definedName name="FDC_356_3" hidden="1">"#"</definedName>
    <definedName name="FDC_356_4" hidden="1">"#"</definedName>
    <definedName name="FDC_356_5" hidden="1">"#"</definedName>
    <definedName name="FDC_356_6" hidden="1">"#"</definedName>
    <definedName name="FDC_356_7" hidden="1">"#"</definedName>
    <definedName name="FDC_356_8" hidden="1">"#"</definedName>
    <definedName name="FDC_356_9" hidden="1">"#"</definedName>
    <definedName name="FDC_357_0" hidden="1">"#"</definedName>
    <definedName name="FDC_357_1" hidden="1">"#"</definedName>
    <definedName name="FDC_357_10" hidden="1">"#"</definedName>
    <definedName name="FDC_357_11" hidden="1">"#"</definedName>
    <definedName name="FDC_357_12" hidden="1">"#"</definedName>
    <definedName name="FDC_357_13" hidden="1">"#"</definedName>
    <definedName name="FDC_357_14" hidden="1">"#"</definedName>
    <definedName name="FDC_357_2" hidden="1">"#"</definedName>
    <definedName name="FDC_357_3" hidden="1">"#"</definedName>
    <definedName name="FDC_357_4" hidden="1">"#"</definedName>
    <definedName name="FDC_357_5" hidden="1">"#"</definedName>
    <definedName name="FDC_357_6" hidden="1">"#"</definedName>
    <definedName name="FDC_357_7" hidden="1">"#"</definedName>
    <definedName name="FDC_357_8" hidden="1">"#"</definedName>
    <definedName name="FDC_357_9" hidden="1">"#"</definedName>
    <definedName name="FDC_358_0" hidden="1">"#"</definedName>
    <definedName name="FDC_358_1" hidden="1">"#"</definedName>
    <definedName name="FDC_358_10" hidden="1">"#"</definedName>
    <definedName name="FDC_358_11" hidden="1">"#"</definedName>
    <definedName name="FDC_358_12" hidden="1">"#"</definedName>
    <definedName name="FDC_358_13" hidden="1">"#"</definedName>
    <definedName name="FDC_358_14" hidden="1">"#"</definedName>
    <definedName name="FDC_358_2" hidden="1">"#"</definedName>
    <definedName name="FDC_358_3" hidden="1">"#"</definedName>
    <definedName name="FDC_358_4" hidden="1">"#"</definedName>
    <definedName name="FDC_358_5" hidden="1">"#"</definedName>
    <definedName name="FDC_358_6" hidden="1">"#"</definedName>
    <definedName name="FDC_358_7" hidden="1">"#"</definedName>
    <definedName name="FDC_358_8" hidden="1">"#"</definedName>
    <definedName name="FDC_358_9" hidden="1">"#"</definedName>
    <definedName name="FDC_359_0" hidden="1">"#"</definedName>
    <definedName name="FDC_359_1" hidden="1">"#"</definedName>
    <definedName name="FDC_359_10" hidden="1">"#"</definedName>
    <definedName name="FDC_359_11" hidden="1">"#"</definedName>
    <definedName name="FDC_359_12" hidden="1">"#"</definedName>
    <definedName name="FDC_359_13" hidden="1">"#"</definedName>
    <definedName name="FDC_359_14" hidden="1">"#"</definedName>
    <definedName name="FDC_359_2" hidden="1">"#"</definedName>
    <definedName name="FDC_359_3" hidden="1">"#"</definedName>
    <definedName name="FDC_359_4" hidden="1">"#"</definedName>
    <definedName name="FDC_359_5" hidden="1">"#"</definedName>
    <definedName name="FDC_359_6" hidden="1">"#"</definedName>
    <definedName name="FDC_359_7" hidden="1">"#"</definedName>
    <definedName name="FDC_359_8" hidden="1">"#"</definedName>
    <definedName name="FDC_359_9" hidden="1">"#"</definedName>
    <definedName name="FDC_36_0" hidden="1">"#"</definedName>
    <definedName name="FDC_360_0" hidden="1">"#"</definedName>
    <definedName name="FDC_360_1" hidden="1">"#"</definedName>
    <definedName name="FDC_360_10" hidden="1">"#"</definedName>
    <definedName name="FDC_360_11" hidden="1">"#"</definedName>
    <definedName name="FDC_360_12" hidden="1">"#"</definedName>
    <definedName name="FDC_360_13" hidden="1">"#"</definedName>
    <definedName name="FDC_360_14" hidden="1">"#"</definedName>
    <definedName name="FDC_360_2" hidden="1">"#"</definedName>
    <definedName name="FDC_360_3" hidden="1">"#"</definedName>
    <definedName name="FDC_360_4" hidden="1">"#"</definedName>
    <definedName name="FDC_360_5" hidden="1">"#"</definedName>
    <definedName name="FDC_360_6" hidden="1">"#"</definedName>
    <definedName name="FDC_360_7" hidden="1">"#"</definedName>
    <definedName name="FDC_360_8" hidden="1">"#"</definedName>
    <definedName name="FDC_360_9" hidden="1">"#"</definedName>
    <definedName name="FDC_361_0" hidden="1">"#"</definedName>
    <definedName name="FDC_361_1" hidden="1">"#"</definedName>
    <definedName name="FDC_361_10" hidden="1">"#"</definedName>
    <definedName name="FDC_361_11" hidden="1">"#"</definedName>
    <definedName name="FDC_361_12" hidden="1">"#"</definedName>
    <definedName name="FDC_361_13" hidden="1">"#"</definedName>
    <definedName name="FDC_361_14" hidden="1">"#"</definedName>
    <definedName name="FDC_361_2" hidden="1">"#"</definedName>
    <definedName name="FDC_361_3" hidden="1">"#"</definedName>
    <definedName name="FDC_361_4" hidden="1">"#"</definedName>
    <definedName name="FDC_361_5" hidden="1">"#"</definedName>
    <definedName name="FDC_361_6" hidden="1">"#"</definedName>
    <definedName name="FDC_361_7" hidden="1">"#"</definedName>
    <definedName name="FDC_361_8" hidden="1">"#"</definedName>
    <definedName name="FDC_361_9" hidden="1">"#"</definedName>
    <definedName name="FDC_362_0" hidden="1">"#"</definedName>
    <definedName name="FDC_362_1" hidden="1">"#"</definedName>
    <definedName name="FDC_362_10" hidden="1">"#"</definedName>
    <definedName name="FDC_362_11" hidden="1">"#"</definedName>
    <definedName name="FDC_362_12" hidden="1">"#"</definedName>
    <definedName name="FDC_362_13" hidden="1">"#"</definedName>
    <definedName name="FDC_362_14" hidden="1">"#"</definedName>
    <definedName name="FDC_362_2" hidden="1">"#"</definedName>
    <definedName name="FDC_362_3" hidden="1">"#"</definedName>
    <definedName name="FDC_362_4" hidden="1">"#"</definedName>
    <definedName name="FDC_362_5" hidden="1">"#"</definedName>
    <definedName name="FDC_362_6" hidden="1">"#"</definedName>
    <definedName name="FDC_362_7" hidden="1">"#"</definedName>
    <definedName name="FDC_362_8" hidden="1">"#"</definedName>
    <definedName name="FDC_362_9" hidden="1">"#"</definedName>
    <definedName name="FDC_363_0" hidden="1">"#"</definedName>
    <definedName name="FDC_363_1" hidden="1">"#"</definedName>
    <definedName name="FDC_363_10" hidden="1">"#"</definedName>
    <definedName name="FDC_363_11" hidden="1">"#"</definedName>
    <definedName name="FDC_363_12" hidden="1">"#"</definedName>
    <definedName name="FDC_363_13" hidden="1">"#"</definedName>
    <definedName name="FDC_363_14" hidden="1">"#"</definedName>
    <definedName name="FDC_363_2" hidden="1">"#"</definedName>
    <definedName name="FDC_363_3" hidden="1">"#"</definedName>
    <definedName name="FDC_363_4" hidden="1">"#"</definedName>
    <definedName name="FDC_363_5" hidden="1">"#"</definedName>
    <definedName name="FDC_363_6" hidden="1">"#"</definedName>
    <definedName name="FDC_363_7" hidden="1">"#"</definedName>
    <definedName name="FDC_363_8" hidden="1">"#"</definedName>
    <definedName name="FDC_363_9" hidden="1">"#"</definedName>
    <definedName name="FDC_364_0" hidden="1">"#"</definedName>
    <definedName name="FDC_364_1" hidden="1">"#"</definedName>
    <definedName name="FDC_364_10" hidden="1">"#"</definedName>
    <definedName name="FDC_364_11" hidden="1">"#"</definedName>
    <definedName name="FDC_364_12" hidden="1">"#"</definedName>
    <definedName name="FDC_364_13" hidden="1">"#"</definedName>
    <definedName name="FDC_364_14" hidden="1">"#"</definedName>
    <definedName name="FDC_364_2" hidden="1">"#"</definedName>
    <definedName name="FDC_364_3" hidden="1">"#"</definedName>
    <definedName name="FDC_364_4" hidden="1">"#"</definedName>
    <definedName name="FDC_364_5" hidden="1">"#"</definedName>
    <definedName name="FDC_364_6" hidden="1">"#"</definedName>
    <definedName name="FDC_364_7" hidden="1">"#"</definedName>
    <definedName name="FDC_364_8" hidden="1">"#"</definedName>
    <definedName name="FDC_364_9" hidden="1">"#"</definedName>
    <definedName name="FDC_365_0" hidden="1">"#"</definedName>
    <definedName name="FDC_365_1" hidden="1">"#"</definedName>
    <definedName name="FDC_365_10" hidden="1">"#"</definedName>
    <definedName name="FDC_365_11" hidden="1">"#"</definedName>
    <definedName name="FDC_365_12" hidden="1">"#"</definedName>
    <definedName name="FDC_365_13" hidden="1">"#"</definedName>
    <definedName name="FDC_365_14" hidden="1">"#"</definedName>
    <definedName name="FDC_365_2" hidden="1">"#"</definedName>
    <definedName name="FDC_365_3" hidden="1">"#"</definedName>
    <definedName name="FDC_365_4" hidden="1">"#"</definedName>
    <definedName name="FDC_365_5" hidden="1">"#"</definedName>
    <definedName name="FDC_365_6" hidden="1">"#"</definedName>
    <definedName name="FDC_365_7" hidden="1">"#"</definedName>
    <definedName name="FDC_365_8" hidden="1">"#"</definedName>
    <definedName name="FDC_365_9" hidden="1">"#"</definedName>
    <definedName name="FDC_366_0" hidden="1">"#"</definedName>
    <definedName name="FDC_366_1" hidden="1">"#"</definedName>
    <definedName name="FDC_366_10" hidden="1">"#"</definedName>
    <definedName name="FDC_366_11" hidden="1">"#"</definedName>
    <definedName name="FDC_366_12" hidden="1">"#"</definedName>
    <definedName name="FDC_366_13" hidden="1">"#"</definedName>
    <definedName name="FDC_366_14" hidden="1">"#"</definedName>
    <definedName name="FDC_366_2" hidden="1">"#"</definedName>
    <definedName name="FDC_366_3" hidden="1">"#"</definedName>
    <definedName name="FDC_366_4" hidden="1">"#"</definedName>
    <definedName name="FDC_366_5" hidden="1">"#"</definedName>
    <definedName name="FDC_366_6" hidden="1">"#"</definedName>
    <definedName name="FDC_366_7" hidden="1">"#"</definedName>
    <definedName name="FDC_366_8" hidden="1">"#"</definedName>
    <definedName name="FDC_366_9" hidden="1">"#"</definedName>
    <definedName name="FDC_367_0" hidden="1">"#"</definedName>
    <definedName name="FDC_367_1" hidden="1">"#"</definedName>
    <definedName name="FDC_367_10" hidden="1">"#"</definedName>
    <definedName name="FDC_367_11" hidden="1">"#"</definedName>
    <definedName name="FDC_367_12" hidden="1">"#"</definedName>
    <definedName name="FDC_367_13" hidden="1">"#"</definedName>
    <definedName name="FDC_367_14" hidden="1">"#"</definedName>
    <definedName name="FDC_367_2" hidden="1">"#"</definedName>
    <definedName name="FDC_367_3" hidden="1">"#"</definedName>
    <definedName name="FDC_367_4" hidden="1">"#"</definedName>
    <definedName name="FDC_367_5" hidden="1">"#"</definedName>
    <definedName name="FDC_367_6" hidden="1">"#"</definedName>
    <definedName name="FDC_367_7" hidden="1">"#"</definedName>
    <definedName name="FDC_367_8" hidden="1">"#"</definedName>
    <definedName name="FDC_367_9" hidden="1">"#"</definedName>
    <definedName name="FDC_368_0" hidden="1">"#"</definedName>
    <definedName name="FDC_368_1" hidden="1">"#"</definedName>
    <definedName name="FDC_368_10" hidden="1">"#"</definedName>
    <definedName name="FDC_368_11" hidden="1">"#"</definedName>
    <definedName name="FDC_368_12" hidden="1">"#"</definedName>
    <definedName name="FDC_368_13" hidden="1">"#"</definedName>
    <definedName name="FDC_368_14" hidden="1">"#"</definedName>
    <definedName name="FDC_368_2" hidden="1">"#"</definedName>
    <definedName name="FDC_368_3" hidden="1">"#"</definedName>
    <definedName name="FDC_368_4" hidden="1">"#"</definedName>
    <definedName name="FDC_368_5" hidden="1">"#"</definedName>
    <definedName name="FDC_368_6" hidden="1">"#"</definedName>
    <definedName name="FDC_368_7" hidden="1">"#"</definedName>
    <definedName name="FDC_368_8" hidden="1">"#"</definedName>
    <definedName name="FDC_368_9" hidden="1">"#"</definedName>
    <definedName name="FDC_369_0" hidden="1">"#"</definedName>
    <definedName name="FDC_369_1" hidden="1">"#"</definedName>
    <definedName name="FDC_369_10" hidden="1">"#"</definedName>
    <definedName name="FDC_369_11" hidden="1">"#"</definedName>
    <definedName name="FDC_369_12" hidden="1">"#"</definedName>
    <definedName name="FDC_369_13" hidden="1">"#"</definedName>
    <definedName name="FDC_369_14" hidden="1">"#"</definedName>
    <definedName name="FDC_369_2" hidden="1">"#"</definedName>
    <definedName name="FDC_369_3" hidden="1">"#"</definedName>
    <definedName name="FDC_369_4" hidden="1">"#"</definedName>
    <definedName name="FDC_369_5" hidden="1">"#"</definedName>
    <definedName name="FDC_369_6" hidden="1">"#"</definedName>
    <definedName name="FDC_369_7" hidden="1">"#"</definedName>
    <definedName name="FDC_369_8" hidden="1">"#"</definedName>
    <definedName name="FDC_369_9" hidden="1">"#"</definedName>
    <definedName name="FDC_37_0" hidden="1">"#"</definedName>
    <definedName name="FDC_370_0" hidden="1">"#"</definedName>
    <definedName name="FDC_370_1" hidden="1">"#"</definedName>
    <definedName name="FDC_370_10" hidden="1">"#"</definedName>
    <definedName name="FDC_370_11" hidden="1">"#"</definedName>
    <definedName name="FDC_370_12" hidden="1">"#"</definedName>
    <definedName name="FDC_370_13" hidden="1">"#"</definedName>
    <definedName name="FDC_370_14" hidden="1">"#"</definedName>
    <definedName name="FDC_370_2" hidden="1">"#"</definedName>
    <definedName name="FDC_370_3" hidden="1">"#"</definedName>
    <definedName name="FDC_370_4" hidden="1">"#"</definedName>
    <definedName name="FDC_370_5" hidden="1">"#"</definedName>
    <definedName name="FDC_370_6" hidden="1">"#"</definedName>
    <definedName name="FDC_370_7" hidden="1">"#"</definedName>
    <definedName name="FDC_370_8" hidden="1">"#"</definedName>
    <definedName name="FDC_370_9" hidden="1">"#"</definedName>
    <definedName name="FDC_371_0" hidden="1">"#"</definedName>
    <definedName name="FDC_371_1" hidden="1">"#"</definedName>
    <definedName name="FDC_371_10" hidden="1">"#"</definedName>
    <definedName name="FDC_371_11" hidden="1">"#"</definedName>
    <definedName name="FDC_371_12" hidden="1">"#"</definedName>
    <definedName name="FDC_371_13" hidden="1">"#"</definedName>
    <definedName name="FDC_371_14" hidden="1">"#"</definedName>
    <definedName name="FDC_371_2" hidden="1">"#"</definedName>
    <definedName name="FDC_371_3" hidden="1">"#"</definedName>
    <definedName name="FDC_371_4" hidden="1">"#"</definedName>
    <definedName name="FDC_371_5" hidden="1">"#"</definedName>
    <definedName name="FDC_371_6" hidden="1">"#"</definedName>
    <definedName name="FDC_371_7" hidden="1">"#"</definedName>
    <definedName name="FDC_371_8" hidden="1">"#"</definedName>
    <definedName name="FDC_371_9" hidden="1">"#"</definedName>
    <definedName name="FDC_372_0" hidden="1">"#"</definedName>
    <definedName name="FDC_372_1" hidden="1">"#"</definedName>
    <definedName name="FDC_372_10" hidden="1">"#"</definedName>
    <definedName name="FDC_372_11" hidden="1">"#"</definedName>
    <definedName name="FDC_372_12" hidden="1">"#"</definedName>
    <definedName name="FDC_372_13" hidden="1">"#"</definedName>
    <definedName name="FDC_372_14" hidden="1">"#"</definedName>
    <definedName name="FDC_372_2" hidden="1">"#"</definedName>
    <definedName name="FDC_372_3" hidden="1">"#"</definedName>
    <definedName name="FDC_372_4" hidden="1">"#"</definedName>
    <definedName name="FDC_372_5" hidden="1">"#"</definedName>
    <definedName name="FDC_372_6" hidden="1">"#"</definedName>
    <definedName name="FDC_372_7" hidden="1">"#"</definedName>
    <definedName name="FDC_372_8" hidden="1">"#"</definedName>
    <definedName name="FDC_372_9" hidden="1">"#"</definedName>
    <definedName name="FDC_373_0" hidden="1">"#"</definedName>
    <definedName name="FDC_373_1" hidden="1">"#"</definedName>
    <definedName name="FDC_373_10" hidden="1">"#"</definedName>
    <definedName name="FDC_373_11" hidden="1">"#"</definedName>
    <definedName name="FDC_373_12" hidden="1">"#"</definedName>
    <definedName name="FDC_373_13" hidden="1">"#"</definedName>
    <definedName name="FDC_373_14" hidden="1">"#"</definedName>
    <definedName name="FDC_373_2" hidden="1">"#"</definedName>
    <definedName name="FDC_373_3" hidden="1">"#"</definedName>
    <definedName name="FDC_373_4" hidden="1">"#"</definedName>
    <definedName name="FDC_373_5" hidden="1">"#"</definedName>
    <definedName name="FDC_373_6" hidden="1">"#"</definedName>
    <definedName name="FDC_373_7" hidden="1">"#"</definedName>
    <definedName name="FDC_373_8" hidden="1">"#"</definedName>
    <definedName name="FDC_373_9" hidden="1">"#"</definedName>
    <definedName name="FDC_374_0" hidden="1">"#"</definedName>
    <definedName name="FDC_374_1" hidden="1">"#"</definedName>
    <definedName name="FDC_374_10" hidden="1">"#"</definedName>
    <definedName name="FDC_374_11" hidden="1">"#"</definedName>
    <definedName name="FDC_374_12" hidden="1">"#"</definedName>
    <definedName name="FDC_374_13" hidden="1">"#"</definedName>
    <definedName name="FDC_374_14" hidden="1">"#"</definedName>
    <definedName name="FDC_374_2" hidden="1">"#"</definedName>
    <definedName name="FDC_374_3" hidden="1">"#"</definedName>
    <definedName name="FDC_374_4" hidden="1">"#"</definedName>
    <definedName name="FDC_374_5" hidden="1">"#"</definedName>
    <definedName name="FDC_374_6" hidden="1">"#"</definedName>
    <definedName name="FDC_374_7" hidden="1">"#"</definedName>
    <definedName name="FDC_374_8" hidden="1">"#"</definedName>
    <definedName name="FDC_374_9" hidden="1">"#"</definedName>
    <definedName name="FDC_375_0" hidden="1">"#"</definedName>
    <definedName name="FDC_375_1" hidden="1">"#"</definedName>
    <definedName name="FDC_375_10" hidden="1">"#"</definedName>
    <definedName name="FDC_375_11" hidden="1">"#"</definedName>
    <definedName name="FDC_375_12" hidden="1">"#"</definedName>
    <definedName name="FDC_375_13" hidden="1">"#"</definedName>
    <definedName name="FDC_375_14" hidden="1">"#"</definedName>
    <definedName name="FDC_375_2" hidden="1">"#"</definedName>
    <definedName name="FDC_375_3" hidden="1">"#"</definedName>
    <definedName name="FDC_375_4" hidden="1">"#"</definedName>
    <definedName name="FDC_375_5" hidden="1">"#"</definedName>
    <definedName name="FDC_375_6" hidden="1">"#"</definedName>
    <definedName name="FDC_375_7" hidden="1">"#"</definedName>
    <definedName name="FDC_375_8" hidden="1">"#"</definedName>
    <definedName name="FDC_375_9" hidden="1">"#"</definedName>
    <definedName name="FDC_376_0" hidden="1">"#"</definedName>
    <definedName name="FDC_376_1" hidden="1">"#"</definedName>
    <definedName name="FDC_376_2" hidden="1">"#"</definedName>
    <definedName name="FDC_376_3" hidden="1">"#"</definedName>
    <definedName name="FDC_376_4" hidden="1">"#"</definedName>
    <definedName name="FDC_376_5" hidden="1">"#"</definedName>
    <definedName name="FDC_376_6" hidden="1">"#"</definedName>
    <definedName name="FDC_377_0" hidden="1">"#"</definedName>
    <definedName name="FDC_377_1" hidden="1">"#"</definedName>
    <definedName name="FDC_377_2" hidden="1">"#"</definedName>
    <definedName name="FDC_377_3" hidden="1">"#"</definedName>
    <definedName name="FDC_377_4" hidden="1">"#"</definedName>
    <definedName name="FDC_377_5" hidden="1">"#"</definedName>
    <definedName name="FDC_377_6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10" hidden="1">"#"</definedName>
    <definedName name="FDC_43_11" hidden="1">"#"</definedName>
    <definedName name="FDC_43_12" hidden="1">"#"</definedName>
    <definedName name="FDC_43_13" hidden="1">"#"</definedName>
    <definedName name="FDC_43_14" hidden="1">"#"</definedName>
    <definedName name="FDC_43_2" hidden="1">"#"</definedName>
    <definedName name="FDC_43_3" hidden="1">"#"</definedName>
    <definedName name="FDC_43_4" hidden="1">"#"</definedName>
    <definedName name="FDC_43_5" hidden="1">"#"</definedName>
    <definedName name="FDC_43_6" hidden="1">"#"</definedName>
    <definedName name="FDC_43_7" hidden="1">"#"</definedName>
    <definedName name="FDC_43_8" hidden="1">"#"</definedName>
    <definedName name="FDC_43_9" hidden="1">"#"</definedName>
    <definedName name="FDC_44_0" hidden="1">"#"</definedName>
    <definedName name="FDC_44_1" hidden="1">"#"</definedName>
    <definedName name="FDC_44_10" hidden="1">"#"</definedName>
    <definedName name="FDC_44_11" hidden="1">"#"</definedName>
    <definedName name="FDC_44_12" hidden="1">"#"</definedName>
    <definedName name="FDC_44_13" hidden="1">"#"</definedName>
    <definedName name="FDC_44_14" hidden="1">"#"</definedName>
    <definedName name="FDC_44_2" hidden="1">"#"</definedName>
    <definedName name="FDC_44_3" hidden="1">"#"</definedName>
    <definedName name="FDC_44_4" hidden="1">"#"</definedName>
    <definedName name="FDC_44_5" hidden="1">"#"</definedName>
    <definedName name="FDC_44_6" hidden="1">"#"</definedName>
    <definedName name="FDC_44_7" hidden="1">"#"</definedName>
    <definedName name="FDC_44_8" hidden="1">"#"</definedName>
    <definedName name="FDC_44_9" hidden="1">"#"</definedName>
    <definedName name="FDC_45_0" hidden="1">"#"</definedName>
    <definedName name="FDC_45_1" hidden="1">"#"</definedName>
    <definedName name="FDC_45_10" hidden="1">"#"</definedName>
    <definedName name="FDC_45_11" hidden="1">"#"</definedName>
    <definedName name="FDC_45_12" hidden="1">"#"</definedName>
    <definedName name="FDC_45_13" hidden="1">"#"</definedName>
    <definedName name="FDC_45_14" hidden="1">"#"</definedName>
    <definedName name="FDC_45_2" hidden="1">"#"</definedName>
    <definedName name="FDC_45_3" hidden="1">"#"</definedName>
    <definedName name="FDC_45_4" hidden="1">"#"</definedName>
    <definedName name="FDC_45_5" hidden="1">"#"</definedName>
    <definedName name="FDC_45_6" hidden="1">"#"</definedName>
    <definedName name="FDC_45_7" hidden="1">"#"</definedName>
    <definedName name="FDC_45_8" hidden="1">"#"</definedName>
    <definedName name="FDC_45_9" hidden="1">"#"</definedName>
    <definedName name="FDC_46_0" hidden="1">"#"</definedName>
    <definedName name="FDC_46_1" hidden="1">"#"</definedName>
    <definedName name="FDC_46_10" hidden="1">"#"</definedName>
    <definedName name="FDC_46_11" hidden="1">"#"</definedName>
    <definedName name="FDC_46_12" hidden="1">"#"</definedName>
    <definedName name="FDC_46_13" hidden="1">"#"</definedName>
    <definedName name="FDC_46_14" hidden="1">"#"</definedName>
    <definedName name="FDC_46_2" hidden="1">"#"</definedName>
    <definedName name="FDC_46_3" hidden="1">"#"</definedName>
    <definedName name="FDC_46_4" hidden="1">"#"</definedName>
    <definedName name="FDC_46_5" hidden="1">"#"</definedName>
    <definedName name="FDC_46_6" hidden="1">"#"</definedName>
    <definedName name="FDC_46_7" hidden="1">"#"</definedName>
    <definedName name="FDC_46_8" hidden="1">"#"</definedName>
    <definedName name="FDC_46_9" hidden="1">"#"</definedName>
    <definedName name="FDC_47_0" hidden="1">"#"</definedName>
    <definedName name="FDC_47_1" hidden="1">"#"</definedName>
    <definedName name="FDC_47_10" hidden="1">"#"</definedName>
    <definedName name="FDC_47_11" hidden="1">"#"</definedName>
    <definedName name="FDC_47_12" hidden="1">"#"</definedName>
    <definedName name="FDC_47_13" hidden="1">"#"</definedName>
    <definedName name="FDC_47_14" hidden="1">"#"</definedName>
    <definedName name="FDC_47_2" hidden="1">"#"</definedName>
    <definedName name="FDC_47_3" hidden="1">"#"</definedName>
    <definedName name="FDC_47_4" hidden="1">"#"</definedName>
    <definedName name="FDC_47_5" hidden="1">"#"</definedName>
    <definedName name="FDC_47_6" hidden="1">"#"</definedName>
    <definedName name="FDC_47_7" hidden="1">"#"</definedName>
    <definedName name="FDC_47_8" hidden="1">"#"</definedName>
    <definedName name="FDC_47_9" hidden="1">"#"</definedName>
    <definedName name="FDC_48_0" hidden="1">"#"</definedName>
    <definedName name="FDC_48_1" hidden="1">"#"</definedName>
    <definedName name="FDC_48_10" hidden="1">"#"</definedName>
    <definedName name="FDC_48_11" hidden="1">"#"</definedName>
    <definedName name="FDC_48_12" hidden="1">"#"</definedName>
    <definedName name="FDC_48_13" hidden="1">"#"</definedName>
    <definedName name="FDC_48_14" hidden="1">"#"</definedName>
    <definedName name="FDC_48_2" hidden="1">"#"</definedName>
    <definedName name="FDC_48_3" hidden="1">"#"</definedName>
    <definedName name="FDC_48_4" hidden="1">"#"</definedName>
    <definedName name="FDC_48_5" hidden="1">"#"</definedName>
    <definedName name="FDC_48_6" hidden="1">"#"</definedName>
    <definedName name="FDC_48_7" hidden="1">"#"</definedName>
    <definedName name="FDC_48_8" hidden="1">"#"</definedName>
    <definedName name="FDC_48_9" hidden="1">"#"</definedName>
    <definedName name="FDC_49_0" hidden="1">"#"</definedName>
    <definedName name="FDC_49_1" hidden="1">"#"</definedName>
    <definedName name="FDC_49_10" hidden="1">"#"</definedName>
    <definedName name="FDC_49_11" hidden="1">"#"</definedName>
    <definedName name="FDC_49_12" hidden="1">"#"</definedName>
    <definedName name="FDC_49_13" hidden="1">"#"</definedName>
    <definedName name="FDC_49_14" hidden="1">"#"</definedName>
    <definedName name="FDC_49_2" hidden="1">"#"</definedName>
    <definedName name="FDC_49_3" hidden="1">"#"</definedName>
    <definedName name="FDC_49_4" hidden="1">"#"</definedName>
    <definedName name="FDC_49_5" hidden="1">"#"</definedName>
    <definedName name="FDC_49_6" hidden="1">"#"</definedName>
    <definedName name="FDC_49_7" hidden="1">"#"</definedName>
    <definedName name="FDC_49_8" hidden="1">"#"</definedName>
    <definedName name="FDC_49_9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10" hidden="1">"#"</definedName>
    <definedName name="FDC_50_11" hidden="1">"#"</definedName>
    <definedName name="FDC_50_12" hidden="1">"#"</definedName>
    <definedName name="FDC_50_13" hidden="1">"#"</definedName>
    <definedName name="FDC_50_14" hidden="1">"#"</definedName>
    <definedName name="FDC_50_2" hidden="1">"#"</definedName>
    <definedName name="FDC_50_3" hidden="1">"#"</definedName>
    <definedName name="FDC_50_4" hidden="1">"#"</definedName>
    <definedName name="FDC_50_5" hidden="1">"#"</definedName>
    <definedName name="FDC_50_6" hidden="1">"#"</definedName>
    <definedName name="FDC_50_7" hidden="1">"#"</definedName>
    <definedName name="FDC_50_8" hidden="1">"#"</definedName>
    <definedName name="FDC_50_9" hidden="1">"#"</definedName>
    <definedName name="FDC_51_0" hidden="1">"#"</definedName>
    <definedName name="FDC_51_1" hidden="1">"#"</definedName>
    <definedName name="FDC_51_10" hidden="1">"#"</definedName>
    <definedName name="FDC_51_11" hidden="1">"#"</definedName>
    <definedName name="FDC_51_12" hidden="1">"#"</definedName>
    <definedName name="FDC_51_13" hidden="1">"#"</definedName>
    <definedName name="FDC_51_14" hidden="1">"#"</definedName>
    <definedName name="FDC_51_2" hidden="1">"#"</definedName>
    <definedName name="FDC_51_3" hidden="1">"#"</definedName>
    <definedName name="FDC_51_4" hidden="1">"#"</definedName>
    <definedName name="FDC_51_5" hidden="1">"#"</definedName>
    <definedName name="FDC_51_6" hidden="1">"#"</definedName>
    <definedName name="FDC_51_7" hidden="1">"#"</definedName>
    <definedName name="FDC_51_8" hidden="1">"#"</definedName>
    <definedName name="FDC_51_9" hidden="1">"#"</definedName>
    <definedName name="FDC_52_0" hidden="1">"#"</definedName>
    <definedName name="FDC_52_1" hidden="1">"#"</definedName>
    <definedName name="FDC_52_10" hidden="1">"#"</definedName>
    <definedName name="FDC_52_11" hidden="1">"#"</definedName>
    <definedName name="FDC_52_12" hidden="1">"#"</definedName>
    <definedName name="FDC_52_13" hidden="1">"#"</definedName>
    <definedName name="FDC_52_14" hidden="1">"#"</definedName>
    <definedName name="FDC_52_2" hidden="1">"#"</definedName>
    <definedName name="FDC_52_3" hidden="1">"#"</definedName>
    <definedName name="FDC_52_4" hidden="1">"#"</definedName>
    <definedName name="FDC_52_5" hidden="1">"#"</definedName>
    <definedName name="FDC_52_6" hidden="1">"#"</definedName>
    <definedName name="FDC_52_7" hidden="1">"#"</definedName>
    <definedName name="FDC_52_8" hidden="1">"#"</definedName>
    <definedName name="FDC_52_9" hidden="1">"#"</definedName>
    <definedName name="FDC_53_0" hidden="1">"#"</definedName>
    <definedName name="FDC_53_1" hidden="1">"#"</definedName>
    <definedName name="FDC_53_10" hidden="1">"#"</definedName>
    <definedName name="FDC_53_11" hidden="1">"#"</definedName>
    <definedName name="FDC_53_12" hidden="1">"#"</definedName>
    <definedName name="FDC_53_13" hidden="1">"#"</definedName>
    <definedName name="FDC_53_14" hidden="1">"#"</definedName>
    <definedName name="FDC_53_2" hidden="1">"#"</definedName>
    <definedName name="FDC_53_3" hidden="1">"#"</definedName>
    <definedName name="FDC_53_4" hidden="1">"#"</definedName>
    <definedName name="FDC_53_5" hidden="1">"#"</definedName>
    <definedName name="FDC_53_6" hidden="1">"#"</definedName>
    <definedName name="FDC_53_7" hidden="1">"#"</definedName>
    <definedName name="FDC_53_8" hidden="1">"#"</definedName>
    <definedName name="FDC_53_9" hidden="1">"#"</definedName>
    <definedName name="FDC_54_0" hidden="1">"#"</definedName>
    <definedName name="FDC_54_1" hidden="1">"#"</definedName>
    <definedName name="FDC_54_10" hidden="1">"#"</definedName>
    <definedName name="FDC_54_11" hidden="1">"#"</definedName>
    <definedName name="FDC_54_12" hidden="1">"#"</definedName>
    <definedName name="FDC_54_13" hidden="1">"#"</definedName>
    <definedName name="FDC_54_14" hidden="1">"#"</definedName>
    <definedName name="FDC_54_2" hidden="1">"#"</definedName>
    <definedName name="FDC_54_3" hidden="1">"#"</definedName>
    <definedName name="FDC_54_4" hidden="1">"#"</definedName>
    <definedName name="FDC_54_5" hidden="1">"#"</definedName>
    <definedName name="FDC_54_6" hidden="1">"#"</definedName>
    <definedName name="FDC_54_7" hidden="1">"#"</definedName>
    <definedName name="FDC_54_8" hidden="1">"#"</definedName>
    <definedName name="FDC_54_9" hidden="1">"#"</definedName>
    <definedName name="FDC_55_0" hidden="1">"#"</definedName>
    <definedName name="FDC_55_1" hidden="1">"#"</definedName>
    <definedName name="FDC_55_10" hidden="1">"#"</definedName>
    <definedName name="FDC_55_11" hidden="1">"#"</definedName>
    <definedName name="FDC_55_12" hidden="1">"#"</definedName>
    <definedName name="FDC_55_13" hidden="1">"#"</definedName>
    <definedName name="FDC_55_14" hidden="1">"#"</definedName>
    <definedName name="FDC_55_2" hidden="1">"#"</definedName>
    <definedName name="FDC_55_3" hidden="1">"#"</definedName>
    <definedName name="FDC_55_4" hidden="1">"#"</definedName>
    <definedName name="FDC_55_5" hidden="1">"#"</definedName>
    <definedName name="FDC_55_6" hidden="1">"#"</definedName>
    <definedName name="FDC_55_7" hidden="1">"#"</definedName>
    <definedName name="FDC_55_8" hidden="1">"#"</definedName>
    <definedName name="FDC_55_9" hidden="1">"#"</definedName>
    <definedName name="FDC_56_0" hidden="1">"#"</definedName>
    <definedName name="FDC_56_1" hidden="1">"#"</definedName>
    <definedName name="FDC_56_10" hidden="1">"#"</definedName>
    <definedName name="FDC_56_11" hidden="1">"#"</definedName>
    <definedName name="FDC_56_12" hidden="1">"#"</definedName>
    <definedName name="FDC_56_13" hidden="1">"#"</definedName>
    <definedName name="FDC_56_14" hidden="1">"#"</definedName>
    <definedName name="FDC_56_2" hidden="1">"#"</definedName>
    <definedName name="FDC_56_3" hidden="1">"#"</definedName>
    <definedName name="FDC_56_4" hidden="1">"#"</definedName>
    <definedName name="FDC_56_5" hidden="1">"#"</definedName>
    <definedName name="FDC_56_6" hidden="1">"#"</definedName>
    <definedName name="FDC_56_7" hidden="1">"#"</definedName>
    <definedName name="FDC_56_8" hidden="1">"#"</definedName>
    <definedName name="FDC_56_9" hidden="1">"#"</definedName>
    <definedName name="FDC_57_0" hidden="1">"#"</definedName>
    <definedName name="FDC_57_1" hidden="1">"#"</definedName>
    <definedName name="FDC_57_10" hidden="1">"#"</definedName>
    <definedName name="FDC_57_11" hidden="1">"#"</definedName>
    <definedName name="FDC_57_12" hidden="1">"#"</definedName>
    <definedName name="FDC_57_13" hidden="1">"#"</definedName>
    <definedName name="FDC_57_14" hidden="1">"#"</definedName>
    <definedName name="FDC_57_2" hidden="1">"#"</definedName>
    <definedName name="FDC_57_3" hidden="1">"#"</definedName>
    <definedName name="FDC_57_4" hidden="1">"#"</definedName>
    <definedName name="FDC_57_5" hidden="1">"#"</definedName>
    <definedName name="FDC_57_6" hidden="1">"#"</definedName>
    <definedName name="FDC_57_7" hidden="1">"#"</definedName>
    <definedName name="FDC_57_8" hidden="1">"#"</definedName>
    <definedName name="FDC_57_9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1_1" hidden="1">"#"</definedName>
    <definedName name="FDC_61_10" hidden="1">"#"</definedName>
    <definedName name="FDC_61_11" hidden="1">"#"</definedName>
    <definedName name="FDC_61_12" hidden="1">"#"</definedName>
    <definedName name="FDC_61_13" hidden="1">"#"</definedName>
    <definedName name="FDC_61_14" hidden="1">"#"</definedName>
    <definedName name="FDC_61_2" hidden="1">"#"</definedName>
    <definedName name="FDC_61_3" hidden="1">"#"</definedName>
    <definedName name="FDC_61_4" hidden="1">"#"</definedName>
    <definedName name="FDC_61_5" hidden="1">"#"</definedName>
    <definedName name="FDC_61_6" hidden="1">"#"</definedName>
    <definedName name="FDC_61_7" hidden="1">"#"</definedName>
    <definedName name="FDC_61_8" hidden="1">"#"</definedName>
    <definedName name="FDC_61_9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65_1" hidden="1">"#"</definedName>
    <definedName name="FDC_65_10" hidden="1">"#"</definedName>
    <definedName name="FDC_65_11" hidden="1">"#"</definedName>
    <definedName name="FDC_65_12" hidden="1">"#"</definedName>
    <definedName name="FDC_65_13" hidden="1">"#"</definedName>
    <definedName name="FDC_65_14" hidden="1">"#"</definedName>
    <definedName name="FDC_65_2" hidden="1">"#"</definedName>
    <definedName name="FDC_65_3" hidden="1">"#"</definedName>
    <definedName name="FDC_65_4" hidden="1">"#"</definedName>
    <definedName name="FDC_65_5" hidden="1">"#"</definedName>
    <definedName name="FDC_65_6" hidden="1">"#"</definedName>
    <definedName name="FDC_65_7" hidden="1">"#"</definedName>
    <definedName name="FDC_65_8" hidden="1">"#"</definedName>
    <definedName name="FDC_65_9" hidden="1">"#"</definedName>
    <definedName name="FDC_66_0" hidden="1">"#"</definedName>
    <definedName name="FDC_66_1" hidden="1">"#"</definedName>
    <definedName name="FDC_66_10" hidden="1">"#"</definedName>
    <definedName name="FDC_66_11" hidden="1">"#"</definedName>
    <definedName name="FDC_66_12" hidden="1">"#"</definedName>
    <definedName name="FDC_66_13" hidden="1">"#"</definedName>
    <definedName name="FDC_66_14" hidden="1">"#"</definedName>
    <definedName name="FDC_66_2" hidden="1">"#"</definedName>
    <definedName name="FDC_66_3" hidden="1">"#"</definedName>
    <definedName name="FDC_66_4" hidden="1">"#"</definedName>
    <definedName name="FDC_66_5" hidden="1">"#"</definedName>
    <definedName name="FDC_66_6" hidden="1">"#"</definedName>
    <definedName name="FDC_66_7" hidden="1">"#"</definedName>
    <definedName name="FDC_66_8" hidden="1">"#"</definedName>
    <definedName name="FDC_66_9" hidden="1">"#"</definedName>
    <definedName name="FDC_67_0" hidden="1">"#"</definedName>
    <definedName name="FDC_67_1" hidden="1">"#"</definedName>
    <definedName name="FDC_67_10" hidden="1">"#"</definedName>
    <definedName name="FDC_67_11" hidden="1">"#"</definedName>
    <definedName name="FDC_67_12" hidden="1">"#"</definedName>
    <definedName name="FDC_67_13" hidden="1">"#"</definedName>
    <definedName name="FDC_67_14" hidden="1">"#"</definedName>
    <definedName name="FDC_67_2" hidden="1">"#"</definedName>
    <definedName name="FDC_67_3" hidden="1">"#"</definedName>
    <definedName name="FDC_67_4" hidden="1">"#"</definedName>
    <definedName name="FDC_67_5" hidden="1">"#"</definedName>
    <definedName name="FDC_67_6" hidden="1">"#"</definedName>
    <definedName name="FDC_67_7" hidden="1">"#"</definedName>
    <definedName name="FDC_67_8" hidden="1">"#"</definedName>
    <definedName name="FDC_67_9" hidden="1">"#"</definedName>
    <definedName name="FDC_68_0" hidden="1">"#"</definedName>
    <definedName name="FDC_68_1" hidden="1">"#"</definedName>
    <definedName name="FDC_68_10" hidden="1">"#"</definedName>
    <definedName name="FDC_68_11" hidden="1">"#"</definedName>
    <definedName name="FDC_68_12" hidden="1">"#"</definedName>
    <definedName name="FDC_68_13" hidden="1">"#"</definedName>
    <definedName name="FDC_68_14" hidden="1">"#"</definedName>
    <definedName name="FDC_68_2" hidden="1">"#"</definedName>
    <definedName name="FDC_68_3" hidden="1">"#"</definedName>
    <definedName name="FDC_68_4" hidden="1">"#"</definedName>
    <definedName name="FDC_68_5" hidden="1">"#"</definedName>
    <definedName name="FDC_68_6" hidden="1">"#"</definedName>
    <definedName name="FDC_68_7" hidden="1">"#"</definedName>
    <definedName name="FDC_68_8" hidden="1">"#"</definedName>
    <definedName name="FDC_68_9" hidden="1">"#"</definedName>
    <definedName name="FDC_69_0" hidden="1">"#"</definedName>
    <definedName name="FDC_69_1" hidden="1">"#"</definedName>
    <definedName name="FDC_69_10" hidden="1">"#"</definedName>
    <definedName name="FDC_69_11" hidden="1">"#"</definedName>
    <definedName name="FDC_69_12" hidden="1">"#"</definedName>
    <definedName name="FDC_69_13" hidden="1">"#"</definedName>
    <definedName name="FDC_69_14" hidden="1">"#"</definedName>
    <definedName name="FDC_69_2" hidden="1">"#"</definedName>
    <definedName name="FDC_69_3" hidden="1">"#"</definedName>
    <definedName name="FDC_69_4" hidden="1">"#"</definedName>
    <definedName name="FDC_69_5" hidden="1">"#"</definedName>
    <definedName name="FDC_69_6" hidden="1">"#"</definedName>
    <definedName name="FDC_69_7" hidden="1">"#"</definedName>
    <definedName name="FDC_69_8" hidden="1">"#"</definedName>
    <definedName name="FDC_69_9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70_0" hidden="1">"#"</definedName>
    <definedName name="FDC_70_1" hidden="1">"#"</definedName>
    <definedName name="FDC_70_10" hidden="1">"#"</definedName>
    <definedName name="FDC_70_11" hidden="1">"#"</definedName>
    <definedName name="FDC_70_12" hidden="1">"#"</definedName>
    <definedName name="FDC_70_13" hidden="1">"#"</definedName>
    <definedName name="FDC_70_14" hidden="1">"#"</definedName>
    <definedName name="FDC_70_2" hidden="1">"#"</definedName>
    <definedName name="FDC_70_3" hidden="1">"#"</definedName>
    <definedName name="FDC_70_4" hidden="1">"#"</definedName>
    <definedName name="FDC_70_5" hidden="1">"#"</definedName>
    <definedName name="FDC_70_6" hidden="1">"#"</definedName>
    <definedName name="FDC_70_7" hidden="1">"#"</definedName>
    <definedName name="FDC_70_8" hidden="1">"#"</definedName>
    <definedName name="FDC_70_9" hidden="1">"#"</definedName>
    <definedName name="FDC_71_0" hidden="1">"#"</definedName>
    <definedName name="FDC_71_1" hidden="1">"#"</definedName>
    <definedName name="FDC_71_10" hidden="1">"#"</definedName>
    <definedName name="FDC_71_11" hidden="1">"#"</definedName>
    <definedName name="FDC_71_12" hidden="1">"#"</definedName>
    <definedName name="FDC_71_13" hidden="1">"#"</definedName>
    <definedName name="FDC_71_14" hidden="1">"#"</definedName>
    <definedName name="FDC_71_2" hidden="1">"#"</definedName>
    <definedName name="FDC_71_3" hidden="1">"#"</definedName>
    <definedName name="FDC_71_4" hidden="1">"#"</definedName>
    <definedName name="FDC_71_5" hidden="1">"#"</definedName>
    <definedName name="FDC_71_6" hidden="1">"#"</definedName>
    <definedName name="FDC_71_7" hidden="1">"#"</definedName>
    <definedName name="FDC_71_8" hidden="1">"#"</definedName>
    <definedName name="FDC_71_9" hidden="1">"#"</definedName>
    <definedName name="FDC_72_0" hidden="1">"#"</definedName>
    <definedName name="FDC_72_1" hidden="1">"#"</definedName>
    <definedName name="FDC_72_10" hidden="1">"#"</definedName>
    <definedName name="FDC_72_11" hidden="1">"#"</definedName>
    <definedName name="FDC_72_12" hidden="1">"#"</definedName>
    <definedName name="FDC_72_13" hidden="1">"#"</definedName>
    <definedName name="FDC_72_14" hidden="1">"#"</definedName>
    <definedName name="FDC_72_2" hidden="1">"#"</definedName>
    <definedName name="FDC_72_3" hidden="1">"#"</definedName>
    <definedName name="FDC_72_4" hidden="1">"#"</definedName>
    <definedName name="FDC_72_5" hidden="1">"#"</definedName>
    <definedName name="FDC_72_6" hidden="1">"#"</definedName>
    <definedName name="FDC_72_7" hidden="1">"#"</definedName>
    <definedName name="FDC_72_8" hidden="1">"#"</definedName>
    <definedName name="FDC_72_9" hidden="1">"#"</definedName>
    <definedName name="FDC_73_0" hidden="1">"#"</definedName>
    <definedName name="FDC_73_1" hidden="1">"#"</definedName>
    <definedName name="FDC_73_10" hidden="1">"#"</definedName>
    <definedName name="FDC_73_11" hidden="1">"#"</definedName>
    <definedName name="FDC_73_12" hidden="1">"#"</definedName>
    <definedName name="FDC_73_13" hidden="1">"#"</definedName>
    <definedName name="FDC_73_14" hidden="1">"#"</definedName>
    <definedName name="FDC_73_2" hidden="1">"#"</definedName>
    <definedName name="FDC_73_3" hidden="1">"#"</definedName>
    <definedName name="FDC_73_4" hidden="1">"#"</definedName>
    <definedName name="FDC_73_5" hidden="1">"#"</definedName>
    <definedName name="FDC_73_6" hidden="1">"#"</definedName>
    <definedName name="FDC_73_7" hidden="1">"#"</definedName>
    <definedName name="FDC_73_8" hidden="1">"#"</definedName>
    <definedName name="FDC_73_9" hidden="1">"#"</definedName>
    <definedName name="FDC_74_0" hidden="1">"#"</definedName>
    <definedName name="FDC_74_1" hidden="1">"#"</definedName>
    <definedName name="FDC_74_10" hidden="1">"#"</definedName>
    <definedName name="FDC_74_11" hidden="1">"#"</definedName>
    <definedName name="FDC_74_12" hidden="1">"#"</definedName>
    <definedName name="FDC_74_13" hidden="1">"#"</definedName>
    <definedName name="FDC_74_14" hidden="1">"#"</definedName>
    <definedName name="FDC_74_2" hidden="1">"#"</definedName>
    <definedName name="FDC_74_3" hidden="1">"#"</definedName>
    <definedName name="FDC_74_4" hidden="1">"#"</definedName>
    <definedName name="FDC_74_5" hidden="1">"#"</definedName>
    <definedName name="FDC_74_6" hidden="1">"#"</definedName>
    <definedName name="FDC_74_7" hidden="1">"#"</definedName>
    <definedName name="FDC_74_8" hidden="1">"#"</definedName>
    <definedName name="FDC_74_9" hidden="1">"#"</definedName>
    <definedName name="FDC_75_0" hidden="1">"#"</definedName>
    <definedName name="FDC_75_1" hidden="1">"#"</definedName>
    <definedName name="FDC_75_10" hidden="1">"#"</definedName>
    <definedName name="FDC_75_11" hidden="1">"#"</definedName>
    <definedName name="FDC_75_12" hidden="1">"#"</definedName>
    <definedName name="FDC_75_13" hidden="1">"#"</definedName>
    <definedName name="FDC_75_14" hidden="1">"#"</definedName>
    <definedName name="FDC_75_2" hidden="1">"#"</definedName>
    <definedName name="FDC_75_3" hidden="1">"#"</definedName>
    <definedName name="FDC_75_4" hidden="1">"#"</definedName>
    <definedName name="FDC_75_5" hidden="1">"#"</definedName>
    <definedName name="FDC_75_6" hidden="1">"#"</definedName>
    <definedName name="FDC_75_7" hidden="1">"#"</definedName>
    <definedName name="FDC_75_8" hidden="1">"#"</definedName>
    <definedName name="FDC_75_9" hidden="1">"#"</definedName>
    <definedName name="FDC_76_0" hidden="1">"#"</definedName>
    <definedName name="FDC_76_1" hidden="1">"#"</definedName>
    <definedName name="FDC_76_10" hidden="1">"#"</definedName>
    <definedName name="FDC_76_11" hidden="1">"#"</definedName>
    <definedName name="FDC_76_12" hidden="1">"#"</definedName>
    <definedName name="FDC_76_13" hidden="1">"#"</definedName>
    <definedName name="FDC_76_14" hidden="1">"#"</definedName>
    <definedName name="FDC_76_2" hidden="1">"#"</definedName>
    <definedName name="FDC_76_3" hidden="1">"#"</definedName>
    <definedName name="FDC_76_4" hidden="1">"#"</definedName>
    <definedName name="FDC_76_5" hidden="1">"#"</definedName>
    <definedName name="FDC_76_6" hidden="1">"#"</definedName>
    <definedName name="FDC_76_7" hidden="1">"#"</definedName>
    <definedName name="FDC_76_8" hidden="1">"#"</definedName>
    <definedName name="FDC_76_9" hidden="1">"#"</definedName>
    <definedName name="FDC_77_0" hidden="1">"#"</definedName>
    <definedName name="FDC_77_1" hidden="1">"#"</definedName>
    <definedName name="FDC_77_10" hidden="1">"#"</definedName>
    <definedName name="FDC_77_11" hidden="1">"#"</definedName>
    <definedName name="FDC_77_12" hidden="1">"#"</definedName>
    <definedName name="FDC_77_13" hidden="1">"#"</definedName>
    <definedName name="FDC_77_14" hidden="1">"#"</definedName>
    <definedName name="FDC_77_2" hidden="1">"#"</definedName>
    <definedName name="FDC_77_3" hidden="1">"#"</definedName>
    <definedName name="FDC_77_4" hidden="1">"#"</definedName>
    <definedName name="FDC_77_5" hidden="1">"#"</definedName>
    <definedName name="FDC_77_6" hidden="1">"#"</definedName>
    <definedName name="FDC_77_7" hidden="1">"#"</definedName>
    <definedName name="FDC_77_8" hidden="1">"#"</definedName>
    <definedName name="FDC_77_9" hidden="1">"#"</definedName>
    <definedName name="FDC_78_0" hidden="1">"#"</definedName>
    <definedName name="FDC_78_1" hidden="1">"#"</definedName>
    <definedName name="FDC_78_10" hidden="1">"#"</definedName>
    <definedName name="FDC_78_11" hidden="1">"#"</definedName>
    <definedName name="FDC_78_12" hidden="1">"#"</definedName>
    <definedName name="FDC_78_13" hidden="1">"#"</definedName>
    <definedName name="FDC_78_14" hidden="1">"#"</definedName>
    <definedName name="FDC_78_2" hidden="1">"#"</definedName>
    <definedName name="FDC_78_3" hidden="1">"#"</definedName>
    <definedName name="FDC_78_4" hidden="1">"#"</definedName>
    <definedName name="FDC_78_5" hidden="1">"#"</definedName>
    <definedName name="FDC_78_6" hidden="1">"#"</definedName>
    <definedName name="FDC_78_7" hidden="1">"#"</definedName>
    <definedName name="FDC_78_8" hidden="1">"#"</definedName>
    <definedName name="FDC_78_9" hidden="1">"#"</definedName>
    <definedName name="FDC_79_0" hidden="1">"#"</definedName>
    <definedName name="FDC_79_1" hidden="1">"#"</definedName>
    <definedName name="FDC_79_10" hidden="1">"#"</definedName>
    <definedName name="FDC_79_11" hidden="1">"#"</definedName>
    <definedName name="FDC_79_12" hidden="1">"#"</definedName>
    <definedName name="FDC_79_13" hidden="1">"#"</definedName>
    <definedName name="FDC_79_14" hidden="1">"#"</definedName>
    <definedName name="FDC_79_2" hidden="1">"#"</definedName>
    <definedName name="FDC_79_3" hidden="1">"#"</definedName>
    <definedName name="FDC_79_4" hidden="1">"#"</definedName>
    <definedName name="FDC_79_5" hidden="1">"#"</definedName>
    <definedName name="FDC_79_6" hidden="1">"#"</definedName>
    <definedName name="FDC_79_7" hidden="1">"#"</definedName>
    <definedName name="FDC_79_8" hidden="1">"#"</definedName>
    <definedName name="FDC_79_9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80_0" hidden="1">"#"</definedName>
    <definedName name="FDC_80_1" hidden="1">"#"</definedName>
    <definedName name="FDC_80_10" hidden="1">"#"</definedName>
    <definedName name="FDC_80_11" hidden="1">"#"</definedName>
    <definedName name="FDC_80_12" hidden="1">"#"</definedName>
    <definedName name="FDC_80_13" hidden="1">"#"</definedName>
    <definedName name="FDC_80_14" hidden="1">"#"</definedName>
    <definedName name="FDC_80_2" hidden="1">"#"</definedName>
    <definedName name="FDC_80_3" hidden="1">"#"</definedName>
    <definedName name="FDC_80_4" hidden="1">"#"</definedName>
    <definedName name="FDC_80_5" hidden="1">"#"</definedName>
    <definedName name="FDC_80_6" hidden="1">"#"</definedName>
    <definedName name="FDC_80_7" hidden="1">"#"</definedName>
    <definedName name="FDC_80_8" hidden="1">"#"</definedName>
    <definedName name="FDC_80_9" hidden="1">"#"</definedName>
    <definedName name="FDC_81_0" hidden="1">"#"</definedName>
    <definedName name="FDC_81_1" hidden="1">"#"</definedName>
    <definedName name="FDC_81_10" hidden="1">"#"</definedName>
    <definedName name="FDC_81_11" hidden="1">"#"</definedName>
    <definedName name="FDC_81_12" hidden="1">"#"</definedName>
    <definedName name="FDC_81_13" hidden="1">"#"</definedName>
    <definedName name="FDC_81_14" hidden="1">"#"</definedName>
    <definedName name="FDC_81_2" hidden="1">"#"</definedName>
    <definedName name="FDC_81_3" hidden="1">"#"</definedName>
    <definedName name="FDC_81_4" hidden="1">"#"</definedName>
    <definedName name="FDC_81_5" hidden="1">"#"</definedName>
    <definedName name="FDC_81_6" hidden="1">"#"</definedName>
    <definedName name="FDC_81_7" hidden="1">"#"</definedName>
    <definedName name="FDC_81_8" hidden="1">"#"</definedName>
    <definedName name="FDC_81_9" hidden="1">"#"</definedName>
    <definedName name="FDC_82_0" hidden="1">"#"</definedName>
    <definedName name="FDC_82_1" hidden="1">"#"</definedName>
    <definedName name="FDC_82_10" hidden="1">"#"</definedName>
    <definedName name="FDC_82_11" hidden="1">"#"</definedName>
    <definedName name="FDC_82_12" hidden="1">"#"</definedName>
    <definedName name="FDC_82_13" hidden="1">"#"</definedName>
    <definedName name="FDC_82_14" hidden="1">"#"</definedName>
    <definedName name="FDC_82_2" hidden="1">"#"</definedName>
    <definedName name="FDC_82_3" hidden="1">"#"</definedName>
    <definedName name="FDC_82_4" hidden="1">"#"</definedName>
    <definedName name="FDC_82_5" hidden="1">"#"</definedName>
    <definedName name="FDC_82_6" hidden="1">"#"</definedName>
    <definedName name="FDC_82_7" hidden="1">"#"</definedName>
    <definedName name="FDC_82_8" hidden="1">"#"</definedName>
    <definedName name="FDC_82_9" hidden="1">"#"</definedName>
    <definedName name="FDC_83_0" hidden="1">"#"</definedName>
    <definedName name="FDC_83_1" hidden="1">"#"</definedName>
    <definedName name="FDC_83_10" hidden="1">"#"</definedName>
    <definedName name="FDC_83_11" hidden="1">"#"</definedName>
    <definedName name="FDC_83_12" hidden="1">"#"</definedName>
    <definedName name="FDC_83_13" hidden="1">"#"</definedName>
    <definedName name="FDC_83_14" hidden="1">"#"</definedName>
    <definedName name="FDC_83_2" hidden="1">"#"</definedName>
    <definedName name="FDC_83_3" hidden="1">"#"</definedName>
    <definedName name="FDC_83_4" hidden="1">"#"</definedName>
    <definedName name="FDC_83_5" hidden="1">"#"</definedName>
    <definedName name="FDC_83_6" hidden="1">"#"</definedName>
    <definedName name="FDC_83_7" hidden="1">"#"</definedName>
    <definedName name="FDC_83_8" hidden="1">"#"</definedName>
    <definedName name="FDC_83_9" hidden="1">"#"</definedName>
    <definedName name="FDC_84_0" hidden="1">"#"</definedName>
    <definedName name="FDC_84_1" hidden="1">"#"</definedName>
    <definedName name="FDC_84_10" hidden="1">"#"</definedName>
    <definedName name="FDC_84_11" hidden="1">"#"</definedName>
    <definedName name="FDC_84_12" hidden="1">"#"</definedName>
    <definedName name="FDC_84_13" hidden="1">"#"</definedName>
    <definedName name="FDC_84_14" hidden="1">"#"</definedName>
    <definedName name="FDC_84_2" hidden="1">"#"</definedName>
    <definedName name="FDC_84_3" hidden="1">"#"</definedName>
    <definedName name="FDC_84_4" hidden="1">"#"</definedName>
    <definedName name="FDC_84_5" hidden="1">"#"</definedName>
    <definedName name="FDC_84_6" hidden="1">"#"</definedName>
    <definedName name="FDC_84_7" hidden="1">"#"</definedName>
    <definedName name="FDC_84_8" hidden="1">"#"</definedName>
    <definedName name="FDC_84_9" hidden="1">"#"</definedName>
    <definedName name="FDC_85_0" hidden="1">"#"</definedName>
    <definedName name="FDC_85_1" hidden="1">"#"</definedName>
    <definedName name="FDC_85_10" hidden="1">"#"</definedName>
    <definedName name="FDC_85_11" hidden="1">"#"</definedName>
    <definedName name="FDC_85_12" hidden="1">"#"</definedName>
    <definedName name="FDC_85_13" hidden="1">"#"</definedName>
    <definedName name="FDC_85_14" hidden="1">"#"</definedName>
    <definedName name="FDC_85_2" hidden="1">"#"</definedName>
    <definedName name="FDC_85_3" hidden="1">"#"</definedName>
    <definedName name="FDC_85_4" hidden="1">"#"</definedName>
    <definedName name="FDC_85_5" hidden="1">"#"</definedName>
    <definedName name="FDC_85_6" hidden="1">"#"</definedName>
    <definedName name="FDC_85_7" hidden="1">"#"</definedName>
    <definedName name="FDC_85_8" hidden="1">"#"</definedName>
    <definedName name="FDC_85_9" hidden="1">"#"</definedName>
    <definedName name="FDC_86_0" hidden="1">"#"</definedName>
    <definedName name="FDC_86_1" hidden="1">"#"</definedName>
    <definedName name="FDC_86_10" hidden="1">"#"</definedName>
    <definedName name="FDC_86_11" hidden="1">"#"</definedName>
    <definedName name="FDC_86_12" hidden="1">"#"</definedName>
    <definedName name="FDC_86_13" hidden="1">"#"</definedName>
    <definedName name="FDC_86_14" hidden="1">"#"</definedName>
    <definedName name="FDC_86_2" hidden="1">"#"</definedName>
    <definedName name="FDC_86_3" hidden="1">"#"</definedName>
    <definedName name="FDC_86_4" hidden="1">"#"</definedName>
    <definedName name="FDC_86_5" hidden="1">"#"</definedName>
    <definedName name="FDC_86_6" hidden="1">"#"</definedName>
    <definedName name="FDC_86_7" hidden="1">"#"</definedName>
    <definedName name="FDC_86_8" hidden="1">"#"</definedName>
    <definedName name="FDC_86_9" hidden="1">"#"</definedName>
    <definedName name="FDC_87_0" hidden="1">"#"</definedName>
    <definedName name="FDC_87_1" hidden="1">"#"</definedName>
    <definedName name="FDC_87_10" hidden="1">"#"</definedName>
    <definedName name="FDC_87_11" hidden="1">"#"</definedName>
    <definedName name="FDC_87_12" hidden="1">"#"</definedName>
    <definedName name="FDC_87_13" hidden="1">"#"</definedName>
    <definedName name="FDC_87_14" hidden="1">"#"</definedName>
    <definedName name="FDC_87_2" hidden="1">"#"</definedName>
    <definedName name="FDC_87_3" hidden="1">"#"</definedName>
    <definedName name="FDC_87_4" hidden="1">"#"</definedName>
    <definedName name="FDC_87_5" hidden="1">"#"</definedName>
    <definedName name="FDC_87_6" hidden="1">"#"</definedName>
    <definedName name="FDC_87_7" hidden="1">"#"</definedName>
    <definedName name="FDC_87_8" hidden="1">"#"</definedName>
    <definedName name="FDC_87_9" hidden="1">"#"</definedName>
    <definedName name="FDC_88_0" hidden="1">"#"</definedName>
    <definedName name="FDC_88_1" hidden="1">"#"</definedName>
    <definedName name="FDC_88_10" hidden="1">"#"</definedName>
    <definedName name="FDC_88_11" hidden="1">"#"</definedName>
    <definedName name="FDC_88_12" hidden="1">"#"</definedName>
    <definedName name="FDC_88_13" hidden="1">"#"</definedName>
    <definedName name="FDC_88_14" hidden="1">"#"</definedName>
    <definedName name="FDC_88_2" hidden="1">"#"</definedName>
    <definedName name="FDC_88_3" hidden="1">"#"</definedName>
    <definedName name="FDC_88_4" hidden="1">"#"</definedName>
    <definedName name="FDC_88_5" hidden="1">"#"</definedName>
    <definedName name="FDC_88_6" hidden="1">"#"</definedName>
    <definedName name="FDC_88_7" hidden="1">"#"</definedName>
    <definedName name="FDC_88_8" hidden="1">"#"</definedName>
    <definedName name="FDC_88_9" hidden="1">"#"</definedName>
    <definedName name="FDC_89_0" hidden="1">"#"</definedName>
    <definedName name="FDC_89_1" hidden="1">"#"</definedName>
    <definedName name="FDC_89_10" hidden="1">"#"</definedName>
    <definedName name="FDC_89_11" hidden="1">"#"</definedName>
    <definedName name="FDC_89_12" hidden="1">"#"</definedName>
    <definedName name="FDC_89_13" hidden="1">"#"</definedName>
    <definedName name="FDC_89_14" hidden="1">"#"</definedName>
    <definedName name="FDC_89_2" hidden="1">"#"</definedName>
    <definedName name="FDC_89_3" hidden="1">"#"</definedName>
    <definedName name="FDC_89_4" hidden="1">"#"</definedName>
    <definedName name="FDC_89_5" hidden="1">"#"</definedName>
    <definedName name="FDC_89_6" hidden="1">"#"</definedName>
    <definedName name="FDC_89_7" hidden="1">"#"</definedName>
    <definedName name="FDC_89_8" hidden="1">"#"</definedName>
    <definedName name="FDC_89_9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C_90_0" hidden="1">"#"</definedName>
    <definedName name="FDC_90_1" hidden="1">"#"</definedName>
    <definedName name="FDC_90_10" hidden="1">"#"</definedName>
    <definedName name="FDC_90_11" hidden="1">"#"</definedName>
    <definedName name="FDC_90_12" hidden="1">"#"</definedName>
    <definedName name="FDC_90_13" hidden="1">"#"</definedName>
    <definedName name="FDC_90_14" hidden="1">"#"</definedName>
    <definedName name="FDC_90_2" hidden="1">"#"</definedName>
    <definedName name="FDC_90_3" hidden="1">"#"</definedName>
    <definedName name="FDC_90_4" hidden="1">"#"</definedName>
    <definedName name="FDC_90_5" hidden="1">"#"</definedName>
    <definedName name="FDC_90_6" hidden="1">"#"</definedName>
    <definedName name="FDC_90_7" hidden="1">"#"</definedName>
    <definedName name="FDC_90_8" hidden="1">"#"</definedName>
    <definedName name="FDC_90_9" hidden="1">"#"</definedName>
    <definedName name="FDC_91_0" hidden="1">"#"</definedName>
    <definedName name="FDC_91_1" hidden="1">"#"</definedName>
    <definedName name="FDC_91_10" hidden="1">"#"</definedName>
    <definedName name="FDC_91_11" hidden="1">"#"</definedName>
    <definedName name="FDC_91_12" hidden="1">"#"</definedName>
    <definedName name="FDC_91_13" hidden="1">"#"</definedName>
    <definedName name="FDC_91_14" hidden="1">"#"</definedName>
    <definedName name="FDC_91_2" hidden="1">"#"</definedName>
    <definedName name="FDC_91_3" hidden="1">"#"</definedName>
    <definedName name="FDC_91_4" hidden="1">"#"</definedName>
    <definedName name="FDC_91_5" hidden="1">"#"</definedName>
    <definedName name="FDC_91_6" hidden="1">"#"</definedName>
    <definedName name="FDC_91_7" hidden="1">"#"</definedName>
    <definedName name="FDC_91_8" hidden="1">"#"</definedName>
    <definedName name="FDC_91_9" hidden="1">"#"</definedName>
    <definedName name="FDC_92_0" hidden="1">"#"</definedName>
    <definedName name="FDC_92_1" hidden="1">"#"</definedName>
    <definedName name="FDC_92_10" hidden="1">"#"</definedName>
    <definedName name="FDC_92_11" hidden="1">"#"</definedName>
    <definedName name="FDC_92_12" hidden="1">"#"</definedName>
    <definedName name="FDC_92_13" hidden="1">"#"</definedName>
    <definedName name="FDC_92_14" hidden="1">"#"</definedName>
    <definedName name="FDC_92_2" hidden="1">"#"</definedName>
    <definedName name="FDC_92_3" hidden="1">"#"</definedName>
    <definedName name="FDC_92_4" hidden="1">"#"</definedName>
    <definedName name="FDC_92_5" hidden="1">"#"</definedName>
    <definedName name="FDC_92_6" hidden="1">"#"</definedName>
    <definedName name="FDC_92_7" hidden="1">"#"</definedName>
    <definedName name="FDC_92_8" hidden="1">"#"</definedName>
    <definedName name="FDC_92_9" hidden="1">"#"</definedName>
    <definedName name="FDC_93_0" hidden="1">"#"</definedName>
    <definedName name="FDC_93_1" hidden="1">"#"</definedName>
    <definedName name="FDC_93_10" hidden="1">"#"</definedName>
    <definedName name="FDC_93_11" hidden="1">"#"</definedName>
    <definedName name="FDC_93_12" hidden="1">"#"</definedName>
    <definedName name="FDC_93_13" hidden="1">"#"</definedName>
    <definedName name="FDC_93_14" hidden="1">"#"</definedName>
    <definedName name="FDC_93_2" hidden="1">"#"</definedName>
    <definedName name="FDC_93_3" hidden="1">"#"</definedName>
    <definedName name="FDC_93_4" hidden="1">"#"</definedName>
    <definedName name="FDC_93_5" hidden="1">"#"</definedName>
    <definedName name="FDC_93_6" hidden="1">"#"</definedName>
    <definedName name="FDC_93_7" hidden="1">"#"</definedName>
    <definedName name="FDC_93_8" hidden="1">"#"</definedName>
    <definedName name="FDC_93_9" hidden="1">"#"</definedName>
    <definedName name="FDC_94_0" hidden="1">"#"</definedName>
    <definedName name="FDC_94_1" hidden="1">"#"</definedName>
    <definedName name="FDC_94_10" hidden="1">"#"</definedName>
    <definedName name="FDC_94_11" hidden="1">"#"</definedName>
    <definedName name="FDC_94_12" hidden="1">"#"</definedName>
    <definedName name="FDC_94_13" hidden="1">"#"</definedName>
    <definedName name="FDC_94_14" hidden="1">"#"</definedName>
    <definedName name="FDC_94_2" hidden="1">"#"</definedName>
    <definedName name="FDC_94_3" hidden="1">"#"</definedName>
    <definedName name="FDC_94_4" hidden="1">"#"</definedName>
    <definedName name="FDC_94_5" hidden="1">"#"</definedName>
    <definedName name="FDC_94_6" hidden="1">"#"</definedName>
    <definedName name="FDC_94_7" hidden="1">"#"</definedName>
    <definedName name="FDC_94_8" hidden="1">"#"</definedName>
    <definedName name="FDC_94_9" hidden="1">"#"</definedName>
    <definedName name="FDC_95_0" hidden="1">"#"</definedName>
    <definedName name="FDC_95_1" hidden="1">"#"</definedName>
    <definedName name="FDC_95_10" hidden="1">"#"</definedName>
    <definedName name="FDC_95_11" hidden="1">"#"</definedName>
    <definedName name="FDC_95_12" hidden="1">"#"</definedName>
    <definedName name="FDC_95_13" hidden="1">"#"</definedName>
    <definedName name="FDC_95_14" hidden="1">"#"</definedName>
    <definedName name="FDC_95_2" hidden="1">"#"</definedName>
    <definedName name="FDC_95_3" hidden="1">"#"</definedName>
    <definedName name="FDC_95_4" hidden="1">"#"</definedName>
    <definedName name="FDC_95_5" hidden="1">"#"</definedName>
    <definedName name="FDC_95_6" hidden="1">"#"</definedName>
    <definedName name="FDC_95_7" hidden="1">"#"</definedName>
    <definedName name="FDC_95_8" hidden="1">"#"</definedName>
    <definedName name="FDC_95_9" hidden="1">"#"</definedName>
    <definedName name="FDC_96_0" hidden="1">"#"</definedName>
    <definedName name="FDC_96_1" hidden="1">"#"</definedName>
    <definedName name="FDC_96_10" hidden="1">"#"</definedName>
    <definedName name="FDC_96_11" hidden="1">"#"</definedName>
    <definedName name="FDC_96_12" hidden="1">"#"</definedName>
    <definedName name="FDC_96_13" hidden="1">"#"</definedName>
    <definedName name="FDC_96_14" hidden="1">"#"</definedName>
    <definedName name="FDC_96_2" hidden="1">"#"</definedName>
    <definedName name="FDC_96_3" hidden="1">"#"</definedName>
    <definedName name="FDC_96_4" hidden="1">"#"</definedName>
    <definedName name="FDC_96_5" hidden="1">"#"</definedName>
    <definedName name="FDC_96_6" hidden="1">"#"</definedName>
    <definedName name="FDC_96_7" hidden="1">"#"</definedName>
    <definedName name="FDC_96_8" hidden="1">"#"</definedName>
    <definedName name="FDC_96_9" hidden="1">"#"</definedName>
    <definedName name="FDC_97_0" hidden="1">"#"</definedName>
    <definedName name="FDC_97_1" hidden="1">"#"</definedName>
    <definedName name="FDC_97_10" hidden="1">"#"</definedName>
    <definedName name="FDC_97_11" hidden="1">"#"</definedName>
    <definedName name="FDC_97_12" hidden="1">"#"</definedName>
    <definedName name="FDC_97_13" hidden="1">"#"</definedName>
    <definedName name="FDC_97_14" hidden="1">"#"</definedName>
    <definedName name="FDC_97_2" hidden="1">"#"</definedName>
    <definedName name="FDC_97_3" hidden="1">"#"</definedName>
    <definedName name="FDC_97_4" hidden="1">"#"</definedName>
    <definedName name="FDC_97_5" hidden="1">"#"</definedName>
    <definedName name="FDC_97_6" hidden="1">"#"</definedName>
    <definedName name="FDC_97_7" hidden="1">"#"</definedName>
    <definedName name="FDC_97_8" hidden="1">"#"</definedName>
    <definedName name="FDC_97_9" hidden="1">"#"</definedName>
    <definedName name="FDC_98_0" hidden="1">"#"</definedName>
    <definedName name="FDC_98_1" hidden="1">"#"</definedName>
    <definedName name="FDC_98_10" hidden="1">"#"</definedName>
    <definedName name="FDC_98_11" hidden="1">"#"</definedName>
    <definedName name="FDC_98_12" hidden="1">"#"</definedName>
    <definedName name="FDC_98_13" hidden="1">"#"</definedName>
    <definedName name="FDC_98_14" hidden="1">"#"</definedName>
    <definedName name="FDC_98_2" hidden="1">"#"</definedName>
    <definedName name="FDC_98_3" hidden="1">"#"</definedName>
    <definedName name="FDC_98_4" hidden="1">"#"</definedName>
    <definedName name="FDC_98_5" hidden="1">"#"</definedName>
    <definedName name="FDC_98_6" hidden="1">"#"</definedName>
    <definedName name="FDC_98_7" hidden="1">"#"</definedName>
    <definedName name="FDC_98_8" hidden="1">"#"</definedName>
    <definedName name="FDC_98_9" hidden="1">"#"</definedName>
    <definedName name="FDC_99_0" hidden="1">"#"</definedName>
    <definedName name="FDC_99_1" hidden="1">"#"</definedName>
    <definedName name="FDC_99_10" hidden="1">"#"</definedName>
    <definedName name="FDC_99_11" hidden="1">"#"</definedName>
    <definedName name="FDC_99_12" hidden="1">"#"</definedName>
    <definedName name="FDC_99_13" hidden="1">"#"</definedName>
    <definedName name="FDC_99_14" hidden="1">"#"</definedName>
    <definedName name="FDC_99_2" hidden="1">"#"</definedName>
    <definedName name="FDC_99_3" hidden="1">"#"</definedName>
    <definedName name="FDC_99_4" hidden="1">"#"</definedName>
    <definedName name="FDC_99_5" hidden="1">"#"</definedName>
    <definedName name="FDC_99_6" hidden="1">"#"</definedName>
    <definedName name="FDC_99_7" hidden="1">"#"</definedName>
    <definedName name="FDC_99_8" hidden="1">"#"</definedName>
    <definedName name="FDC_99_9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hidden="1">{"Full Sheet",#N/A,FALSE,"Expense Comparison"}</definedName>
    <definedName name="fdfdfd" hidden="1">{#N/A,#N/A,FALSE,"CAPREIT"}</definedName>
    <definedName name="fdfdfdf" hidden="1">{#N/A,#N/A,FALSE,"CAPREIT"}</definedName>
    <definedName name="fdfghdf" hidden="1">{"inputs raw data",#N/A,TRUE,"INPUT"}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gad" hidden="1">{"inputs raw data",#N/A,TRUE,"INPUT"}</definedName>
    <definedName name="FDP_165_1_aUrv" hidden="1">#REF!</definedName>
    <definedName name="FDP_166_1_aUrv" hidden="1">#REF!</definedName>
    <definedName name="FDP_167_1_aUrv" hidden="1">#REF!</definedName>
    <definedName name="FDP_168_1_aSrv" hidden="1">#REF!</definedName>
    <definedName name="FDP_169_1_aUrv" hidden="1">#REF!</definedName>
    <definedName name="FDP_170_1_aSrv" hidden="1">#REF!</definedName>
    <definedName name="FDP_171_1_aUrv" hidden="1">#REF!</definedName>
    <definedName name="FDP_172_1_aUrv" hidden="1">#REF!</definedName>
    <definedName name="FDP_173_1_aUrv" hidden="1">#REF!</definedName>
    <definedName name="FDP_174_1_aSrv" hidden="1">#REF!</definedName>
    <definedName name="FDP_175_1_aUrv" hidden="1">#REF!</definedName>
    <definedName name="FDP_176_1_aUrv" hidden="1">#REF!</definedName>
    <definedName name="FDP_177_1_aSrv" hidden="1">#REF!</definedName>
    <definedName name="FDP_178_1_aSrv" hidden="1">#REF!</definedName>
    <definedName name="FDP_179_1_aSrv" hidden="1">#REF!</definedName>
    <definedName name="FDP_180_1_aSrv" hidden="1">#REF!</definedName>
    <definedName name="FDP_181_1_aUrv" hidden="1">#REF!</definedName>
    <definedName name="FDP_182_1_aSrv" hidden="1">#REF!</definedName>
    <definedName name="FDP_183_1_aSrv" hidden="1">#REF!</definedName>
    <definedName name="FDP_184_1_aUrv" hidden="1">#REF!</definedName>
    <definedName name="FDP_185_1_aSrv" hidden="1">#REF!</definedName>
    <definedName name="FDP_186_1_aUrv" hidden="1">#REF!</definedName>
    <definedName name="FDP_187_1_aSrv" hidden="1">#REF!</definedName>
    <definedName name="FDP_188_1_aUrv" hidden="1">#REF!</definedName>
    <definedName name="FDP_189_1_aUrv" hidden="1">#REF!</definedName>
    <definedName name="FDP_190_1_aUrv" hidden="1">#REF!</definedName>
    <definedName name="FDP_191_1_aUrv" hidden="1">#REF!</definedName>
    <definedName name="FDP_192_1_aSrv" hidden="1">#REF!</definedName>
    <definedName name="FDP_193_1_aUrv" hidden="1">#REF!</definedName>
    <definedName name="FDP_194_1_aUrv" hidden="1">#REF!</definedName>
    <definedName name="FDP_195_1_aUrv" hidden="1">#REF!</definedName>
    <definedName name="FDP_196_1_aSrv" hidden="1">#REF!</definedName>
    <definedName name="FDP_197_1_aUrv" hidden="1">#REF!</definedName>
    <definedName name="FDP_198_1_aSrv" hidden="1">#REF!</definedName>
    <definedName name="FDP_199_1_aUrv" hidden="1">#REF!</definedName>
    <definedName name="FDP_200_1_aUrv" hidden="1">#REF!</definedName>
    <definedName name="FDP_201_1_aUrv" hidden="1">#REF!</definedName>
    <definedName name="FDP_202_1_aUrv" hidden="1">#REF!</definedName>
    <definedName name="FDP_203_1_aSrv" hidden="1">#REF!</definedName>
    <definedName name="FDP_204_1_aUrv" hidden="1">#REF!</definedName>
    <definedName name="FDP_205_1_aUrv" hidden="1">#REF!</definedName>
    <definedName name="FDP_206_1_aUrv" hidden="1">#REF!</definedName>
    <definedName name="FDP_207_1_aUrv" hidden="1">#REF!</definedName>
    <definedName name="FDP_208_1_aSrv" hidden="1">#REF!</definedName>
    <definedName name="FDP_209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4_1_aUrv" hidden="1">#REF!</definedName>
    <definedName name="FDP_215_1_aUrv" hidden="1">#REF!</definedName>
    <definedName name="FDP_216_1_aUrv" hidden="1">#REF!</definedName>
    <definedName name="FDP_217_1_aUrv" hidden="1">#REF!</definedName>
    <definedName name="FDP_218_1_aSrv" hidden="1">#REF!</definedName>
    <definedName name="FDP_219_1_aSrv" hidden="1">#REF!</definedName>
    <definedName name="FDP_220_1_aSrv" hidden="1">#REF!</definedName>
    <definedName name="FDP_221_1_aSrv" hidden="1">#REF!</definedName>
    <definedName name="FDP_222_1_aSrv" hidden="1">#REF!</definedName>
    <definedName name="FDP_223_1_aSrv" hidden="1">#REF!</definedName>
    <definedName name="FDP_224_1_aUrv" hidden="1">#REF!</definedName>
    <definedName name="FDP_225_1_aUrv" hidden="1">#REF!</definedName>
    <definedName name="FDP_226_1_aUrv" hidden="1">#REF!</definedName>
    <definedName name="FDP_227_1_aUrv" hidden="1">#REF!</definedName>
    <definedName name="FDP_228_1_aSrv" hidden="1">#REF!</definedName>
    <definedName name="FDP_229_1_aS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Urv" hidden="1">#REF!</definedName>
    <definedName name="FDP_235_1_aUrv" hidden="1">#REF!</definedName>
    <definedName name="FDP_236_1_aUrv" hidden="1">#REF!</definedName>
    <definedName name="FDP_237_1_aUrv" hidden="1">#REF!</definedName>
    <definedName name="FDP_238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0_1_aSrv" hidden="1">#REF!</definedName>
    <definedName name="FDP_261_1_aSrv" hidden="1">#REF!</definedName>
    <definedName name="FDP_264_1_aUrv" hidden="1">#REF!</definedName>
    <definedName name="FDP_265_1_aUrv" hidden="1">#REF!</definedName>
    <definedName name="FDP_266_1_aUrv" hidden="1">#REF!</definedName>
    <definedName name="FDP_267_1_aUrv" hidden="1">#REF!</definedName>
    <definedName name="FDP_268_1_aUrv" hidden="1">#REF!</definedName>
    <definedName name="FDP_269_1_aUrv" hidden="1">#REF!</definedName>
    <definedName name="FDP_270_1_aUrv" hidden="1">#REF!</definedName>
    <definedName name="FDP_271_1_aUrv" hidden="1">#REF!</definedName>
    <definedName name="FDP_272_1_aUrv" hidden="1">#REF!</definedName>
    <definedName name="FDP_273_1_aUrv" hidden="1">#REF!</definedName>
    <definedName name="FDP_274_1_aUrv" hidden="1">#REF!</definedName>
    <definedName name="FDP_275_1_aUrv" hidden="1">#REF!</definedName>
    <definedName name="FDP_276_1_aUrv" hidden="1">#REF!</definedName>
    <definedName name="FDP_277_1_aUrv" hidden="1">#REF!</definedName>
    <definedName name="FDP_278_1_aUrv" hidden="1">#REF!</definedName>
    <definedName name="FDP_279_1_aS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d" hidden="1">{"Page1",#N/A,FALSE,"Summary";"Page2",#N/A,FALSE,"Summary";"Page3",#N/A,FALSE,"Summary";"Page4",#N/A,FALSE,"Summary"}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hidden="1">{#N/A,#N/A,TRUE,"Summary";"AnnualRentRoll",#N/A,TRUE,"RentRoll";#N/A,#N/A,TRUE,"ExitStratigy";#N/A,#N/A,TRUE,"OperatingAssumptions"}</definedName>
    <definedName name="ffdd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f" hidden="1">{#N/A,#N/A,TRUE,"Summary";"AnnualRentRoll",#N/A,TRUE,"RentRoll";#N/A,#N/A,TRUE,"ExitStratigy";#N/A,#N/A,TRUE,"OperatingAssumptions"}</definedName>
    <definedName name="ffff" hidden="1">{"Outputs",#N/A,TRUE,"North America";"Outputs",#N/A,TRUE,"Europe";"Outputs",#N/A,TRUE,"Asia Pacific";"Outputs",#N/A,TRUE,"Latin America";"Outputs",#N/A,TRUE,"Wireless"}</definedName>
    <definedName name="fffff" hidden="1">{0,#N/A,TRUE,0;0,#N/A,TRUE,0;0,#N/A,TRUE,0;0,#N/A,TRUE,0;0,#N/A,TRUE,0}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ffffffffffff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g" hidden="1">{"schedule1",#N/A,FALSE,"Sheet1";"schedule2",#N/A,FALSE,"Sheet1";"schedule3",#N/A,FALSE,"Sheet1";"schedule4",#N/A,FALSE,"Sheet1";"schedule5",#N/A,FALSE,"Sheet1";"schedule6",#N/A,FALSE,"Sheet1"}</definedName>
    <definedName name="fgd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ghhjjk" hidden="1">{#N/A,#N/A,FALSE,"Centres";#N/A,#N/A,FALSE,"Partenariats";#N/A,#N/A,FALSE,"P.Diverses";#N/A,#N/A,FALSE,"Adm";#N/A,#N/A,FALSE,"Autres R-D";#N/A,#N/A,FALSE,"Intérêts"}</definedName>
    <definedName name="FG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nal3" hidden="1">{"Construction_Short",#N/A,FALSE,"Construction"}</definedName>
    <definedName name="Financing_Module_On">#REF!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sajf" hidden="1">{#N/A,#N/A,FALSE,"SCHEDULE A";"MINIMUM RENT",#N/A,FALSE,"SCHEDULES B &amp; C";"PERCENTAGE RENT",#N/A,FALSE,"SCHEDULES B &amp; C"}</definedName>
    <definedName name="fldfjlsd" hidden="1">#REF!</definedName>
    <definedName name="fm" hidden="1">{"summary1",#N/A,TRUE,"Comps";"summary2",#N/A,TRUE,"Comps";"summary3",#N/A,TRUE,"Comps"}</definedName>
    <definedName name="for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forum" hidden="1">{#N/A,#N/A,FALSE,"RENT ROLL"}</definedName>
    <definedName name="FORUMfrontSHEET" hidden="1">{#N/A,#N/A,FALSE,"RENT ROLL"}</definedName>
    <definedName name="frder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RONT" hidden="1">{#N/A,#N/A,FALSE,"RENT ROLL"}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VG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g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atewaybudget03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BHN" hidden="1">{#N/A,#N/A,FALSE,"Min compa cad";#N/A,#N/A,FALSE,"Min CAN Equité ";#N/A,#N/A,FALSE,"Analyse can"}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" hidden="1">{"incomemth",#N/A,TRUE,"forecast00";"incomepercentmth",#N/A,TRUE,"forecast00";"balancemth",#N/A,TRUE,"forecast00";"cashmth",#N/A,TRUE,"forecast00";"covenantmth",#N/A,TRUE,"forecast00"}</definedName>
    <definedName name="gfd" hidden="1">{#N/A,#N/A,FALSE,"Min compar us";#N/A,#N/A,FALSE,"Min US Equité ";#N/A,#N/A,FALSE,"Analyse U.S."}</definedName>
    <definedName name="gfdsserr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h" hidden="1">{#N/A,#N/A,FALSE,"Adm comp";#N/A,#N/A,FALSE,"Adm ajust";"adm",#N/A,FALSE,"Administration";#N/A,#N/A,FALSE,"Adm Bgt 97 vs Prév. 96";#N/A,#N/A,FALSE,"Adm Bgt 97 vs 96"}</definedName>
    <definedName name="gfhs" hidden="1">{"summary1",#N/A,TRUE,"Comps";"summary2",#N/A,TRUE,"Comps";"summary3",#N/A,TRUE,"Comps"}</definedName>
    <definedName name="gg" hidden="1">{#N/A,#N/A,FALSE,"PropertyInfo"}</definedName>
    <definedName name="gg.2" hidden="1">{#N/A,#N/A,FALSE,"Cashflow Analysis";#N/A,#N/A,FALSE,"Sensitivity Analysis";#N/A,#N/A,FALSE,"PV";#N/A,#N/A,FALSE,"Pro Forma"}</definedName>
    <definedName name="ggg" hidden="1">{#N/A,#N/A,FALSE,"PropertyInfo"}</definedName>
    <definedName name="GGGGGGG" hidden="1">{#N/A,#N/A,FALSE,"Adm comp";#N/A,#N/A,FALSE,"Adm ajust";"adm",#N/A,FALSE,"Administration";#N/A,#N/A,FALSE,"Adm Bgt 97 vs Prév. 96";#N/A,#N/A,FALSE,"Adm Bgt 97 vs 96"}</definedName>
    <definedName name="ggggggggggggggggg" hidden="1">{#N/A,#N/A,FALSE,"Summary"}</definedName>
    <definedName name="ggggggggggggggggggg" hidden="1">{#N/A,#N/A,FALSE,"Cover";#N/A,#N/A,FALSE,"Stack";#N/A,#N/A,FALSE,"Cost S";#N/A,#N/A,FALSE," CF";#N/A,#N/A,FALSE,"Investor"}</definedName>
    <definedName name="gh" hidden="1">{#N/A,#N/A,FALSE,"Adm comp";#N/A,#N/A,FALSE,"Adm ajust";"adm",#N/A,FALSE,"Administration";#N/A,#N/A,FALSE,"Adm Bgt 97 vs Prév. 96";#N/A,#N/A,FALSE,"Adm Bgt 97 vs 96"}</definedName>
    <definedName name="ghgh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ig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GJHJHJH" hidden="1">{#N/A,#N/A,FALSE,"CONTROLE"}</definedName>
    <definedName name="gkf" hidden="1">{"Proforma",#N/A,FALSE,"Sheet1"}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_Module_On?">#REF!</definedName>
    <definedName name="GLL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BBLLL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o" hidden="1">{"Construction Costs",#N/A,FALSE,"Budget";"Income Statement",#N/A,FALSE,"Budget"}</definedName>
    <definedName name="graph123" hidden="1">#REF!</definedName>
    <definedName name="Graph1234" hidden="1">#REF!</definedName>
    <definedName name="Graph12345" hidden="1">#REF!</definedName>
    <definedName name="Graph123456" hidden="1">#REF!</definedName>
    <definedName name="Graph1234567" hidden="1">#REF!</definedName>
    <definedName name="grgsfs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ound_Lease_Years_Remaining">#REF!</definedName>
    <definedName name="GROUP" hidden="1">"bissql"</definedName>
    <definedName name="Growth_Begin_Month">#REF!</definedName>
    <definedName name="G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" hidden="1">{#N/A,#N/A,FALSE,"PropertyInfo"}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gh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j" hidden="1">{#N/A,#N/A,FALSE,"Min compa cad";#N/A,#N/A,FALSE,"Min CAN Equité ";#N/A,#N/A,FALSE,"Analyse can"}</definedName>
    <definedName name="hh" hidden="1">{#N/A,#N/A,FALSE,"Summary"}</definedName>
    <definedName name="hhh" hidden="1">{#N/A,#N/A,FALSE,"Summary"}</definedName>
    <definedName name="HHHHH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ij" hidden="1">{"Construction_Short",#N/A,FALSE,"Construction"}</definedName>
    <definedName name="hj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KM" hidden="1">{#N/A,#N/A,FALSE,"Adm comp";#N/A,#N/A,FALSE,"Adm ajust";"adm",#N/A,FALSE,"Administration";#N/A,#N/A,FALSE,"Adm Bgt 97 vs Prév. 96";#N/A,#N/A,FALSE,"Adm Bgt 97 vs 96"}</definedName>
    <definedName name="hkjhjh" hidden="1">{"Page1",#N/A,FALSE,"Summary";"Page2",#N/A,FALSE,"Summary";"Page3",#N/A,FALSE,"Summary";"Page4",#N/A,FALSE,"Summary"}</definedName>
    <definedName name="HMLkUp" hidden="1">#REF!</definedName>
    <definedName name="HMSeek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YearLabel" hidden="1">#REF!</definedName>
    <definedName name="HNJM" hidden="1">{#N/A,#N/A,FALSE,"Min compar us";#N/A,#N/A,FALSE,"Min US Equité ";#N/A,#N/A,FALSE,"Analyse U.S."}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pe" hidden="1">{#N/A,#N/A,FALSE,"LP Exp";#N/A,#N/A,FALSE,"Salary";#N/A,#N/A,FALSE,"Admin Exp";#N/A,#N/A,FALSE,"QTS Bud";#N/A,#N/A,FALSE,"Marketing"}</definedName>
    <definedName name="hope_condo" hidden="1">{#N/A,#N/A,FALSE,"LP Exp";#N/A,#N/A,FALSE,"Salary";#N/A,#N/A,FALSE,"Admin Exp";#N/A,#N/A,FALSE,"QTS Bud";#N/A,#N/A,FALSE,"Marketing"}</definedName>
    <definedName name="houy" hidden="1">{#N/A,#N/A,FALSE,"AD_Purchase";#N/A,#N/A,FALSE,"Credit";#N/A,#N/A,FALSE,"PF Acquisition";#N/A,#N/A,FALSE,"PF Offering"}</definedName>
    <definedName name="hthjtnjgtngjjyk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ml" hidden="1">{"'Assump'!$F$6:$J$6"}</definedName>
    <definedName name="HTML_CodePage" hidden="1">1252</definedName>
    <definedName name="HTML_Control" hidden="1">{"'Assump'!$F$6:$J$6"}</definedName>
    <definedName name="HTML_Description" hidden="1">""</definedName>
    <definedName name="HTML_Email" hidden="1">""</definedName>
    <definedName name="HTML_Header" hidden="1">"Rolling"</definedName>
    <definedName name="html_icontrol" hidden="1">{"'Cash Requirements 5F '!$A$1:$AC$48"}</definedName>
    <definedName name="HTML_LastUpdate" hidden="1">"7/24/98"</definedName>
    <definedName name="HTML_LineAfter" hidden="1">FALSE</definedName>
    <definedName name="HTML_LineBefore" hidden="1">FALSE</definedName>
    <definedName name="HTML_Name" hidden="1">"Paulie Englishman"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FileMac" hidden="1">"Macintosh HD:Web Site “~adamodar”:pc:datasets:MyHTML.html"</definedName>
    <definedName name="HTML_Title" hidden="1">"Property Month End Template"</definedName>
    <definedName name="htmlnew" hidden="1">{"'Assump'!$F$6:$J$6"}</definedName>
    <definedName name="htrhtht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m" hidden="1">{"RATES",#N/A,FALSE,"RECOVERY RATES";"CONTRIBUTIONS",#N/A,FALSE,"RECOVERY RATES";"GLA CATEGORY SUMMARY",#N/A,FALSE,"RECOVERY RATES"}</definedName>
    <definedName name="ignore" hidden="1">{#N/A,#N/A,FALSE,"WATCHDSC";#N/A,#N/A,FALSE,"2LOSSMOD";#N/A,#N/A,FALSE,"2LOSS";#N/A,#N/A,FALSE,"DSC";#N/A,#N/A,FALSE,"OPERAT";#N/A,#N/A,FALSE,"ADJUST";#N/A,#N/A,FALSE,"LEASE EXPIRE"}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CF1" hidden="1">#REF!</definedName>
    <definedName name="IHMPrintMR1" hidden="1">#REF!</definedName>
    <definedName name="IHMPrintMR2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intVAL1" hidden="1">#REF!</definedName>
    <definedName name="IHMPrintVAL2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HTR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I" hidden="1">{#N/A,#N/A,FALSE,"Adm comp";#N/A,#N/A,FALSE,"Adm ajust";"adm",#N/A,FALSE,"Administration";#N/A,#N/A,FALSE,"Adm Bgt 97 vs Prév. 96";#N/A,#N/A,FALSE,"Adm Bgt 97 vs 96"}</definedName>
    <definedName name="II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j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NHY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KLO" hidden="1">{#N/A,#N/A,FALSE,"Adm comp";#N/A,#N/A,FALSE,"Adm ajust";"adm",#N/A,FALSE,"Administration";#N/A,#N/A,FALSE,"Adm Bgt 97 vs Prév. 96";#N/A,#N/A,FALSE,"Adm Bgt 97 vs 96"}</definedName>
    <definedName name="I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ad" hidden="1">49</definedName>
    <definedName name="INININ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TROP" hidden="1">#REF!</definedName>
    <definedName name="IntroPrintArea" hidden="1">#REF!</definedName>
    <definedName name="IntroPrintArea_b" hidden="1">#REF!</definedName>
    <definedName name="inves" hidden="1">{#N/A,#N/A,FALSE,"Adm comp";#N/A,#N/A,FALSE,"Adm ajust";"adm",#N/A,FALSE,"Administration";#N/A,#N/A,FALSE,"Adm Bgt 97 vs Prév. 96";#N/A,#N/A,FALSE,"Adm Bgt 97 vs 96"}</definedName>
    <definedName name="Investi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estment_Name">#REF!</definedName>
    <definedName name="Investment_Period_Months">#REF!</definedName>
    <definedName name="INVV" hidden="1">{#N/A,#N/A,FALSE,"Adm comp";#N/A,#N/A,FALSE,"Adm ajust";"adm",#N/A,FALSE,"Administration";#N/A,#N/A,FALSE,"Adm Bgt 97 vs Prév. 96";#N/A,#N/A,FALSE,"Adm Bgt 97 vs 96"}</definedName>
    <definedName name="INVVV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OPPPP" hidden="1">{#N/A,#N/A,FALSE,"Adm comp";#N/A,#N/A,FALSE,"Adm ajust";"adm",#N/A,FALSE,"Administration";#N/A,#N/A,FALSE,"Adm Bgt 97 vs Prév. 96";#N/A,#N/A,FALSE,"Adm Bgt 97 vs 96"}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THOM" hidden="1">"c4005"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THOM" hidden="1">"c5187"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THOM" hidden="1">"c3999"</definedName>
    <definedName name="IQ_FFO_HIGH_EST" hidden="1">"c419"</definedName>
    <definedName name="IQ_FFO_HIGH_EST_CIQ" hidden="1">"c4977"</definedName>
    <definedName name="IQ_FFO_HIGH_EST_THOM" hidden="1">"c4001"</definedName>
    <definedName name="IQ_FFO_LOW_EST" hidden="1">"c420"</definedName>
    <definedName name="IQ_FFO_LOW_EST_CIQ" hidden="1">"c4978"</definedName>
    <definedName name="IQ_FFO_LOW_EST_THOM" hidden="1">"c4002"</definedName>
    <definedName name="IQ_FFO_MEDIAN_EST" hidden="1">"c1665"</definedName>
    <definedName name="IQ_FFO_MEDIAN_EST_CIQ" hidden="1">"c4979"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41484.4929050926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1" hidden="1">"IQ_REVENUE_EST_1"</definedName>
    <definedName name="IQ_REVENUE_EST_CIQ" hidden="1">"c3616"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38968.6239236111</definedName>
    <definedName name="IQ_REVISION_DATE__1" hidden="1">39125.817037037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Type">#REF!</definedName>
    <definedName name="IsColHidden" hidden="1">FALSE</definedName>
    <definedName name="IsLTMColHidden" hidden="1">FALSE</definedName>
    <definedName name="IsTemplate" hidden="1">#REF!</definedName>
    <definedName name="iuiuiuiuiu" hidden="1">{#N/A,#N/A,FALSE,"Centres";#N/A,#N/A,FALSE,"Partenariats";#N/A,#N/A,FALSE,"P.Diverses";#N/A,#N/A,FALSE,"Adm";#N/A,#N/A,FALSE,"Autres R-D";#N/A,#N/A,FALSE,"Intérêts"}</definedName>
    <definedName name="IUY" hidden="1">{#N/A,#N/A,FALSE,"Min compar us";#N/A,#N/A,FALSE,"Min US Equité ";#N/A,#N/A,FALSE,"Analyse U.S."}</definedName>
    <definedName name="iuyi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b" hidden="1">{"summary1",#N/A,TRUE,"Comps";"summary2",#N/A,TRUE,"Comps";"summary3",#N/A,TRUE,"Comps"}</definedName>
    <definedName name="JDFG" hidden="1">{#N/A,#N/A,FALSE,"Centres";#N/A,#N/A,FALSE,"Partenariats";#N/A,#N/A,FALSE,"P.Diverses";#N/A,#N/A,FALSE,"Adm";#N/A,#N/A,FALSE,"Autres R-D";#N/A,#N/A,FALSE,"Intérêts"}</definedName>
    <definedName name="jhgjh" hidden="1">{"Section 1",#N/A,TRUE,"Summary";"Section 2",#N/A,TRUE,"Summary";"Section 3",#N/A,TRUE,"Summary";"Section 4",#N/A,TRUE,"Summary"}</definedName>
    <definedName name="JHJHJHMHHMH" hidden="1">{#N/A,#N/A,FALSE,"CONTROLE"}</definedName>
    <definedName name="jhk" hidden="1">{#N/A,#N/A,FALSE,"Centres";#N/A,#N/A,FALSE,"Partenariats";#N/A,#N/A,FALSE,"P.Diverses";#N/A,#N/A,FALSE,"Adm";#N/A,#N/A,FALSE,"Autres R-D";#N/A,#N/A,FALSE,"Intérêts"}</definedName>
    <definedName name="JJJ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K" hidden="1">{#N/A,#N/A,FALSE,"Adm comp";#N/A,#N/A,FALSE,"Adm ajust";"adm",#N/A,FALSE,"Administration";#N/A,#N/A,FALSE,"Adm Bgt 97 vs Prév. 96";#N/A,#N/A,FALSE,"Adm Bgt 97 vs 96"}</definedName>
    <definedName name="JKK" hidden="1">{#N/A,#N/A,FALSE,"96 RENT SUM";#N/A,#N/A,FALSE,"LSGACTSCHED";#N/A,#N/A,FALSE,"Conc. Sched"}</definedName>
    <definedName name="JMK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peg" hidden="1">{"'Assump'!$F$6:$J$6"}</definedName>
    <definedName name="Jr_Funding_Month">#REF!</definedName>
    <definedName name="jsfda" hidden="1">{"incomemth",#N/A,TRUE,"forecast00";"incomepercentmth",#N/A,TRUE,"forecast00";"balancemth",#N/A,TRUE,"forecast00";"cashmth",#N/A,TRUE,"forecast00";"covenantmth",#N/A,TRUE,"forecast00"}</definedName>
    <definedName name="juhuhu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lie" hidden="1">{#N/A,#N/A,FALSE,"RENT ROLL"}</definedName>
    <definedName name="JUNK" hidden="1">{"SCHEDULE",#N/A,FALSE,"Fin_sched"}</definedName>
    <definedName name="Junk_condo" hidden="1">{"SCHEDULE",#N/A,FALSE,"Fin_sched"}</definedName>
    <definedName name="JUNK2" hidden="1">{"SUMMARY",#N/A,FALSE,"Fin_sched"}</definedName>
    <definedName name="jyjkykh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K2_WBEVMODE" hidden="1">-1</definedName>
    <definedName name="ke" hidden="1">#REF!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hhhhhhhhh" hidden="1">{"Output",#N/A,FALSE,"US_FL";"Output",#N/A,FALSE,"EUROPE_FL";"Output",#N/A,FALSE,"ASIA_FL"}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J" hidden="1">{#N/A,#N/A,FALSE,"Adm comp";#N/A,#N/A,FALSE,"Adm ajust";"adm",#N/A,FALSE,"Administration";#N/A,#N/A,FALSE,"Adm Bgt 97 vs Prév. 96";#N/A,#N/A,FALSE,"Adm Bgt 97 vs 96"}</definedName>
    <definedName name="KJH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l" hidden="1">{#N/A,#N/A,FALSE,"Min compa cad";#N/A,#N/A,FALSE,"Min CAN Equité ";#N/A,#N/A,FALSE,"Analyse can"}</definedName>
    <definedName name="kjojoj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kk" hidden="1">{#N/A,#N/A,FALSE,"B_Spread"}</definedName>
    <definedName name="kkkkkkkkkkkkkkk" hidden="1">{"Page1",#N/A,FALSE,"Summary";"Page2",#N/A,FALSE,"Summary";"Page3",#N/A,FALSE,"Summary";"Page4",#N/A,FALSE,"Summary"}</definedName>
    <definedName name="km" hidden="1">{#N/A,#N/A,FALSE,"Page 2";#N/A,#N/A,FALSE,"Page 1A";#N/A,#N/A,FALSE,"Page 1B";#N/A,#N/A,FALSE,"ExecSum";#N/A,#N/A,FALSE,"Budget";#N/A,#N/A,FALSE,"Lease Summary";#N/A,#N/A,FALSE,"Summary1";#N/A,#N/A,FALSE,"CashFlow";#N/A,#N/A,FALSE,"Page 3";#N/A,#N/A,FALSE,"Page 4";#N/A,#N/A,FALSE,"Carry"}</definedName>
    <definedName name="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yd.ChngCell.01." hidden="1">#REF!</definedName>
    <definedName name="kyd.CounterLimitCell.01." hidden="1">"x"</definedName>
    <definedName name="kyd.Dim.01." hidden="1">"tm1serv:company"</definedName>
    <definedName name="kyd.ElementList.01." hidden="1">#REF!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" hidden="1">{"Construction Costs",#N/A,FALSE,"Budget";"Income Statement",#N/A,FALSE,"Budget"}</definedName>
    <definedName name="Label_SF_M2">#REF!</definedName>
    <definedName name="Label_Unit_Type">#REF!</definedName>
    <definedName name="Label_Unit_Type_Singular">#REF!</definedName>
    <definedName name="lank" hidden="1">#REF!</definedName>
    <definedName name="leasing" hidden="1">{#N/A,#N/A,FALSE,"96 RENT SUM";#N/A,#N/A,FALSE,"LSGACTSCHED";#N/A,#N/A,FALSE,"Conc. Sched"}</definedName>
    <definedName name="LI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imcount" hidden="1">1</definedName>
    <definedName name="List_Location">OFFSET(#REF!,0,0,93-COUNTIF(#REF!,""),1)</definedName>
    <definedName name="List_Property_Type">OFFSET(#REF!,0,0,1,10-COUNTIF(#REF!,""))</definedName>
    <definedName name="lk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kdjfalk" hidden="1">{#N/A,#N/A,FALSE,"RENT ROLL"}</definedName>
    <definedName name="lkdsaflkdsjf" hidden="1">{#N/A,#N/A,FALSE,"RENT ROLL"}</definedName>
    <definedName name="LKJH" hidden="1">{#N/A,#N/A,FALSE,"Min compar us";#N/A,#N/A,FALSE,"Min US Equité ";#N/A,#N/A,FALSE,"Analyse U.S."}</definedName>
    <definedName name="lkjhgfd" hidden="1">{#N/A,#N/A,FALSE,"Centres";#N/A,#N/A,FALSE,"Partenariats";#N/A,#N/A,FALSE,"P.Diverses";#N/A,#N/A,FALSE,"Adm";#N/A,#N/A,FALSE,"Autres R-D";#N/A,#N/A,FALSE,"Intérêts"}</definedName>
    <definedName name="lkkkk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lklklkl" hidden="1">{#N/A,#N/A,FALSE,"Centres";#N/A,#N/A,FALSE,"Partenariats";#N/A,#N/A,FALSE,"P.Diverses";#N/A,#N/A,FALSE,"Adm";#N/A,#N/A,FALSE,"Autres R-D";#N/A,#N/A,FALSE,"Intérêts"}</definedName>
    <definedName name="ll" hidden="1">{"Construction Costs",#N/A,FALSE,"Budget";"Income Statement",#N/A,FALSE,"Budget"}</definedName>
    <definedName name="lll" hidden="1">{"Outflow 1",#N/A,FALSE,"Outflows-Inflows";"Outflow 2",#N/A,FALSE,"Outflows-Inflows";"Inflow 1",#N/A,FALSE,"Outflows-Inflows";"Inflow 2",#N/A,FALSE,"Outflows-Inflows"}</definedName>
    <definedName name="lllkkjhhgg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lll" hidden="1">{#N/A,#N/A,FALSE,"Adm comp";#N/A,#N/A,FALSE,"Adm ajust";"adm",#N/A,FALSE,"Administration";#N/A,#N/A,FALSE,"Adm Bgt 97 vs Prév. 96";#N/A,#N/A,FALSE,"Adm Bgt 97 vs 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ckard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pez" hidden="1">{#N/A,#N/A,FALSE,"RENT ROLL"}</definedName>
    <definedName name="Louvers" hidden="1">{#N/A,#N/A,TRUE,"Ericsson Stadium PCD ";#N/A,#N/A,TRUE,"Ericsson Stadium IOR"}</definedName>
    <definedName name="Louversa" hidden="1">{#N/A,#N/A,TRUE,"Ericsson Stadium PCD ";#N/A,#N/A,TRUE,"Ericsson Stadium IOR"}</definedName>
    <definedName name="lsldfkj" hidden="1">{#N/A,#N/A,FALSE,"RENT ROLL"}</definedName>
    <definedName name="LTC_Actual">#REF!</definedName>
    <definedName name="lulululul" hidden="1">{#N/A,#N/A,FALSE,"Centres";#N/A,#N/A,FALSE,"Partenariats";#N/A,#N/A,FALSE,"P.Diverses";#N/A,#N/A,FALSE,"Adm";#N/A,#N/A,FALSE,"Autres R-D";#N/A,#N/A,FALSE,"Intérêts"}</definedName>
    <definedName name="m" hidden="1">{#N/A,#N/A,FALSE,"matx B4 DS";#N/A,#N/A,FALSE,"matx B4 DS Hac";#N/A,#N/A,FALSE,"matx B4 DS Chabot";#N/A,#N/A,FALSE,"matx B4 DS Diablo"}</definedName>
    <definedName name="M_PlaceofPath" hidden="1">"F:\CMOTZ\excel\ati\ATI_VDF.XLS"</definedName>
    <definedName name="Manager_Salary_Per_Month">#N/A</definedName>
    <definedName name="Managersalaryper">#N/A</definedName>
    <definedName name="Managersalarypermonth">#N/A</definedName>
    <definedName name="mark" hidden="1">{#N/A,#N/A,FALSE,"RENT ROLL"}</definedName>
    <definedName name="MarketRent" hidden="1">#REF!</definedName>
    <definedName name="maryann" hidden="1">{#N/A,#N/A,FALSE,"RENT ROLL"}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e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melo" hidden="1">{"AnnualRentRoll",#N/A,FALSE,"RentRoll"}</definedName>
    <definedName name="meow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F_1st_Stab_Month">#REF!</definedName>
    <definedName name="MF_Module_On">#REF!</definedName>
    <definedName name="MF_Units">#REF!</definedName>
    <definedName name="MF_Untrended?">#REF!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ickey" hidden="1">{#N/A,#N/A,FALSE,"RENT ROLL"}</definedName>
    <definedName name="mkmkmkmk" hidden="1">{#N/A,#N/A,FALSE,"Centres";#N/A,#N/A,FALSE,"Partenariats";#N/A,#N/A,FALSE,"P.Diverses";#N/A,#N/A,FALSE,"Adm";#N/A,#N/A,FALSE,"Autres R-D";#N/A,#N/A,FALSE,"Intérêts"}</definedName>
    <definedName name="MLNK042408363cd84fae940205bc2d1baa4e" hidden="1">#REF!</definedName>
    <definedName name="MLNK6e26c0d95ee9464b8e6330ce373d8ca7" hidden="1">#REF!</definedName>
    <definedName name="mmmmmmmmmmmm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n" hidden="1">{#N/A,#N/A,FALSE,"Adm comp";#N/A,#N/A,FALSE,"Adm ajust";"adm",#N/A,FALSE,"Administration";#N/A,#N/A,FALSE,"Adm Bgt 97 vs Prév. 96";#N/A,#N/A,FALSE,"Adm Bgt 97 vs 96"}</definedName>
    <definedName name="MO" hidden="1">{#N/A,#N/A,FALSE,"Adm comp";#N/A,#N/A,FALSE,"Adm ajust";"adm",#N/A,FALSE,"Administration";#N/A,#N/A,FALSE,"Adm Bgt 97 vs Prév. 96";#N/A,#N/A,FALSE,"Adm Bgt 97 vs 96"}</definedName>
    <definedName name="MSforecast" hidden="1">{"'Sheet1'!$A$1:$I$10","'Sheet1'!$A$1:$I$11"}</definedName>
    <definedName name="MU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" hidden="1">#REF!</definedName>
    <definedName name="NAM" hidden="1">{#N/A,#N/A,FALSE,"Adm comp";#N/A,#N/A,FALSE,"Adm ajust";"adm",#N/A,FALSE,"Administration";#N/A,#N/A,FALSE,"Adm Bgt 97 vs Prév. 96";#N/A,#N/A,FALSE,"Adm Bgt 97 vs 96"}</definedName>
    <definedName name="nb" hidden="1">{#N/A,#N/A,FALSE,"Adm comp";#N/A,#N/A,FALSE,"Adm ajust";"adm",#N/A,FALSE,"Administration";#N/A,#N/A,FALSE,"Adm Bgt 97 vs Prév. 96";#N/A,#N/A,FALSE,"Adm Bgt 97 vs 96"}</definedName>
    <definedName name="NetSf" hidden="1">#REF!</definedName>
    <definedName name="new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order1" hidden="1">255</definedName>
    <definedName name="newhtml" hidden="1">{"'Assump'!$F$6:$J$6"}</definedName>
    <definedName name="NH" hidden="1">{#N/A,#N/A,FALSE,"CONTROLE"}</definedName>
    <definedName name="nn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nnn" hidden="1">{#N/A,#N/A,FALSE,"CONTROLE"}</definedName>
    <definedName name="no" hidden="1">{"Construction Costs",#N/A,FALSE,"Budget";"Income Statement",#N/A,FALSE,"Budget"}</definedName>
    <definedName name="noname1" hidden="1">#REF!</definedName>
    <definedName name="NON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thing" hidden="1">{"Construction Costs",#N/A,FALSE,"Budget";"Income Statement",#N/A,FALSE,"Budget"}</definedName>
    <definedName name="N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RA">#REF!</definedName>
    <definedName name="NVV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office1" hidden="1">{#N/A,#N/A,FALSE,"Cashflow Analysis";#N/A,#N/A,FALSE,"Sensitivity Analysis";#N/A,#N/A,FALSE,"PV";#N/A,#N/A,FALSE,"Pro Forma"}</definedName>
    <definedName name="offices" hidden="1">{"Construction Costs",#N/A,FALSE,"Budget";"Income Statement",#N/A,FALSE,"Budget"}</definedName>
    <definedName name="OIIUSDF" hidden="1">{#N/A,#N/A,FALSE,"Min compar us";#N/A,#N/A,FALSE,"Min US Equité ";#N/A,#N/A,FALSE,"Analyse U.S."}</definedName>
    <definedName name="oioioioioio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iu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YYY" hidden="1">{#N/A,#N/A,FALSE,"Min compa cad";#N/A,#N/A,FALSE,"Min CAN Equité ";#N/A,#N/A,FALSE,"Analyse can"}</definedName>
    <definedName name="ok" hidden="1">{"Construction Costs",#N/A,FALSE,"Budget";"Income Statement",#N/A,FALSE,"Budget"}</definedName>
    <definedName name="OKMJUH" hidden="1">{#N/A,#N/A,FALSE,"Centres";#N/A,#N/A,FALSE,"Partenariats";#N/A,#N/A,FALSE,"P.Diverses";#N/A,#N/A,FALSE,"Adm";#N/A,#N/A,FALSE,"Autres R-D";#N/A,#N/A,FALSE,"Intérêts"}</definedName>
    <definedName name="o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dDateStamp" hidden="1">#REF!</definedName>
    <definedName name="oldhtl" hidden="1">{"'Assump'!$F$6:$J$6"}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LIDA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P" hidden="1">{#N/A,#N/A,FALSE,"Min compar us";#N/A,#N/A,FALSE,"Min US Equité ";#N/A,#N/A,FALSE,"Analyse U.S."}</definedName>
    <definedName name="OL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S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o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ooo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peration_Period_Months">#REF!</definedName>
    <definedName name="Operations_Begin_Date">#REF!</definedName>
    <definedName name="Operations_Begin_Month">#REF!</definedName>
    <definedName name="ORDER" hidden="1">0</definedName>
    <definedName name="ORI_1st_Stab_Month">#REF!</definedName>
    <definedName name="ORI_Module_On">#REF!</definedName>
    <definedName name="ORI_Untrended?">#REF!</definedName>
    <definedName name="othername" hidden="1">{#N/A,#N/A,FALSE,"ExecSum";#N/A,#N/A,FALSE,"Budget";#N/A,#N/A,FALSE,"Summary1";#N/A,#N/A,FALSE,"CashFlow"}</definedName>
    <definedName name="OVNOV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" hidden="1">{#N/A,#N/A,FALSE,"Min compa cad";#N/A,#N/A,FALSE,"Min CAN Equité ";#N/A,#N/A,FALSE,"Analyse can"}</definedName>
    <definedName name="pa" hidden="1">{#N/A,#N/A,FALSE,"Min compa cad";#N/A,#N/A,FALSE,"Min CAN Equité ";#N/A,#N/A,FALSE,"Analyse can"}</definedName>
    <definedName name="PAAER" hidden="1">{#N/A,#N/A,FALSE,"Min compa cad";#N/A,#N/A,FALSE,"Min CAN Equité ";#N/A,#N/A,FALSE,"Analyse can"}</definedName>
    <definedName name="PAAP" hidden="1">{#N/A,#N/A,FALSE,"Min compa cad";#N/A,#N/A,FALSE,"Min CAN Equité ";#N/A,#N/A,FALSE,"Analyse can"}</definedName>
    <definedName name="PAAPP" hidden="1">{#N/A,#N/A,FALSE,"Min compar us";#N/A,#N/A,FALSE,"Min US Equité ";#N/A,#N/A,FALSE,"Analyse U.S."}</definedName>
    <definedName name="Package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EWQ" hidden="1">{#N/A,#N/A,FALSE,"Min compar us";#N/A,#N/A,FALSE,"Min US Equité ";#N/A,#N/A,FALSE,"Analyse U.S."}</definedName>
    <definedName name="palisades" hidden="1">{#N/A,#N/A,FALSE,"WATCHDSC";#N/A,#N/A,FALSE,"2LOSSMOD";#N/A,#N/A,FALSE,"2LOSS";#N/A,#N/A,FALSE,"DSC";#N/A,#N/A,FALSE,"OPERAT";#N/A,#N/A,FALSE,"ADJUST";#N/A,#N/A,FALSE,"LEASE EXPIRE"}</definedName>
    <definedName name="PAPA" hidden="1">{#N/A,#N/A,FALSE,"Min compa cad";#N/A,#N/A,FALSE,"Min CAN Equité ";#N/A,#N/A,FALSE,"Analyse can"}</definedName>
    <definedName name="PAPAP" hidden="1">{#N/A,#N/A,FALSE,"Min compar us";#N/A,#N/A,FALSE,"Min US Equité ";#N/A,#N/A,FALSE,"Analyse U.S."}</definedName>
    <definedName name="par" hidden="1">{#N/A,#N/A,FALSE,"Min compar us";#N/A,#N/A,FALSE,"Min US Equité ";#N/A,#N/A,FALSE,"Analyse U.S."}</definedName>
    <definedName name="Param_CumRent" hidden="1">#REF!</definedName>
    <definedName name="Param_CurrentDate" hidden="1">#REF!</definedName>
    <definedName name="Param_DRCredit" hidden="1">#REF!</definedName>
    <definedName name="Param_DRNonCredit" hidden="1">#REF!</definedName>
    <definedName name="Param_IncludeCPI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PVAbatement" hidden="1">#REF!</definedName>
    <definedName name="Param_SLAbatement" hidden="1">#REF!</definedName>
    <definedName name="Param_VacMarket" hidden="1">#REF!</definedName>
    <definedName name="Param_VacRenew" hidden="1">#REF!</definedName>
    <definedName name="Param_VacVacate" hidden="1">#REF!</definedName>
    <definedName name="PARPAR" hidden="1">{#N/A,#N/A,FALSE,"Min compa cad";#N/A,#N/A,FALSE,"Min CAN Equité ";#N/A,#N/A,FALSE,"Analyse can"}</definedName>
    <definedName name="PARR" hidden="1">{#N/A,#N/A,FALSE,"Min compar us";#N/A,#N/A,FALSE,"Min US Equité ";#N/A,#N/A,FALSE,"Analyse U.S."}</definedName>
    <definedName name="PARTPART" hidden="1">{#N/A,#N/A,FALSE,"Min compar us";#N/A,#N/A,FALSE,"Min US Equité ";#N/A,#N/A,FALSE,"Analyse U.S."}</definedName>
    <definedName name="PATR" hidden="1">{#N/A,#N/A,FALSE,"Min compa cad";#N/A,#N/A,FALSE,"Min CAN Equité ";#N/A,#N/A,FALSE,"Analyse can"}</definedName>
    <definedName name="Per_Unit_Type">#REF!</definedName>
    <definedName name="Perm_Debt_Funding">#REF!</definedName>
    <definedName name="PermDebt_Funding_Date">#REF!</definedName>
    <definedName name="PermDebt_Funding_Month">MAX(#REF!,1)</definedName>
    <definedName name="PHOTOS" hidden="1">{#N/A,#N/A,FALSE,"RENT ROLL"}</definedName>
    <definedName name="pier90" hidden="1">{"excavation",#N/A,FALSE,"DETAIL.XLS"}</definedName>
    <definedName name="PIPO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latform" hidden="1">{#N/A,#N/A,TRUE,"Ericsson Stadium PCD ";#N/A,#N/A,TRUE,"Ericsson Stadium IOR"}</definedName>
    <definedName name="platforma" hidden="1">{#N/A,#N/A,TRUE,"Ericsson Stadium PCD ";#N/A,#N/A,TRUE,"Ericsson Stadium IOR"}</definedName>
    <definedName name="plllll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O" hidden="1">{#N/A,#N/A,FALSE,"Min compa cad";#N/A,#N/A,FALSE,"Min CAN Equité ";#N/A,#N/A,FALSE,"Analyse can"}</definedName>
    <definedName name="pm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pn" hidden="1">#REF!</definedName>
    <definedName name="POAA" hidden="1">{#N/A,#N/A,FALSE,"Min compa cad";#N/A,#N/A,FALSE,"Min CAN Equité ";#N/A,#N/A,FALSE,"Analyse can"}</definedName>
    <definedName name="POI" hidden="1">{#N/A,#N/A,FALSE,"Adm comp";#N/A,#N/A,FALSE,"Adm ajust";"adm",#N/A,FALSE,"Administration";#N/A,#N/A,FALSE,"Adm Bgt 97 vs Prév. 96";#N/A,#N/A,FALSE,"Adm Bgt 97 vs 96"}</definedName>
    <definedName name="PO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oi" hidden="1">{#N/A,#N/A,FALSE,"Centres";#N/A,#N/A,FALSE,"Partenariats";#N/A,#N/A,FALSE,"P.Diverses";#N/A,#N/A,FALSE,"Adm";#N/A,#N/A,FALSE,"Autres R-D";#N/A,#N/A,FALSE,"Intérêts"}</definedName>
    <definedName name="poiuyt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popopop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pp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ppp" hidden="1">{#N/A,#N/A,FALSE,"Adm comp";#N/A,#N/A,FALSE,"Adm ajust";"adm",#N/A,FALSE,"Administration";#N/A,#N/A,FALSE,"Adm Bgt 97 vs Prév. 96";#N/A,#N/A,FALSE,"Adm Bgt 97 vs 96"}</definedName>
    <definedName name="pppppppppppppppppppp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referred_Return">#REF!</definedName>
    <definedName name="Preferred_Return_Monthly">#REF!</definedName>
    <definedName name="Print_Mode">#REF!</definedName>
    <definedName name="PrintFormat" hidden="1">#REF!</definedName>
    <definedName name="prntall" hidden="1">{#N/A,#N/A,FALSE,"Land";#N/A,#N/A,FALSE,"Cost Analysis";"Summary",#N/A,FALSE,"Equipment"}</definedName>
    <definedName name="promote" hidden="1">{"Investor",#N/A,FALSE,"Model";"Property",#N/A,FALSE,"Model";"Incentive Taxes",#N/A,FALSE,"Model"}</definedName>
    <definedName name="Promote_Structure">#REF!</definedName>
    <definedName name="Promote_Structure_Monthly">#REF!</definedName>
    <definedName name="Property_Type">#REF!</definedName>
    <definedName name="psc" hidden="1">#REF!</definedName>
    <definedName name="PTRU" hidden="1">{#N/A,#N/A,FALSE,"Min compar us";#N/A,#N/A,FALSE,"Min US Equité ";#N/A,#N/A,FALSE,"Analyse U.S."}</definedName>
    <definedName name="PUB_FileID" hidden="1">"L10004026.xls"</definedName>
    <definedName name="PUB_UserID" hidden="1">"MAYERX"</definedName>
    <definedName name="PY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AS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Z" hidden="1">{#N/A,#N/A,FALSE,"EOAF";#N/A,#N/A,FALSE,"Ingresos";#N/A,#N/A,FALSE,"Rat2";#N/A,#N/A,FALSE,"IFP";#N/A,#N/A,FALSE,"Anexo"}</definedName>
    <definedName name="qazaqa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IWUE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OAIWKSUIE" hidden="1">{#N/A,#N/A,FALSE,"Min compar us";#N/A,#N/A,FALSE,"Min US Equité ";#N/A,#N/A,FALSE,"Analyse U.S."}</definedName>
    <definedName name="QPPPP" hidden="1">{#N/A,#N/A,FALSE,"Adm comp";#N/A,#N/A,FALSE,"Adm ajust";"adm",#N/A,FALSE,"Administration";#N/A,#N/A,FALSE,"Adm Bgt 97 vs Prév. 96";#N/A,#N/A,FALSE,"Adm Bgt 97 vs 96"}</definedName>
    <definedName name="QPWOEIRU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q" hidden="1">{"ed1",#N/A,TRUE,"E-D";"ed2",#N/A,TRUE,"E-D"}</definedName>
    <definedName name="qqqq" hidden="1">{#N/A,#N/A,FALSE,"Adm comp";#N/A,#N/A,FALSE,"Adm ajust";"adm",#N/A,FALSE,"Administration";#N/A,#N/A,FALSE,"Adm Bgt 97 vs Prév. 96";#N/A,#N/A,FALSE,"Adm Bgt 97 vs 96"}</definedName>
    <definedName name="qqqqqq" hidden="1">{#N/A,#N/A,FALSE,"Min compar us";#N/A,#N/A,FALSE,"Min US Equité ";#N/A,#N/A,FALSE,"Analyse U.S."}</definedName>
    <definedName name="qqqqqqqqqqqqqqqq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sdddd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uarterly" hidden="1">{"CF",#N/A,FALSE,"Cash Flow";"RET",#N/A,FALSE,"Returns";"NPV",#N/A,FALSE,"Values";"ASMPT",#N/A,FALSE,"Assumptions"}</definedName>
    <definedName name="QUERY1.keep_password" hidden="1">TRUE</definedName>
    <definedName name="QUERY1.query_connection" hidden="1">{"Driver={Microsoft Visual FoxPro Driver};UID=;PWD=;SourceDB=g:\prop;SourceType=DBF;Exclusive=No;BackgroundFetch=No;Collate=Machine;Null=Yes;Deleted=Yes;"}</definedName>
    <definedName name="QUERY1.query_definition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options" hidden="1">{TRUE;FALSE}</definedName>
    <definedName name="QUERY1.query_statement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2.keep_password" hidden="1">TRUE</definedName>
    <definedName name="QUERY2.query_connection" hidden="1">{"Driver={Microsoft Visual FoxPro Driver};UID=;PWD=;SourceDB=P:\PROP\HUN\DATA;SourceType=DBF;Exclusive=No;BackgroundFetch=No;Collate=Machine;Null=Yes;Deleted=Yes;"}</definedName>
    <definedName name="QUERY2.query_definition" hidden="1">{"SELECT property.name, ALLTRIM(property.city)+', '+property.state, property.numunits
FROM property property"}</definedName>
    <definedName name="QUERY2.query_options" hidden="1">{TRUE;FALSE}</definedName>
    <definedName name="QUERY2.query_statement" hidden="1">{"SELECT property.name, ALLTRIM(property.city)+', '+property.state, property.numunits
FROM property property"}</definedName>
    <definedName name="QUERY3.keep_password" hidden="1">TRUE</definedName>
    <definedName name="QUERY3.query_connection" hidden="1">{"Driver={Microsoft Visual FoxPro Driver};UID=;PWD=;SourceDB=g:\prop;SourceType=DBF;Exclusive=No;BackgroundFetch=No;Collate=Machine;Null=Yes;Deleted=Yes;"}</definedName>
    <definedName name="QUERY3.query_definition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options" hidden="1">{TRUE;FALSE}</definedName>
    <definedName name="QUERY3.query_statement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4.keep_password" hidden="1">TRUE</definedName>
    <definedName name="QUERY4.query_connection" hidden="1">{"Driver={Microsoft Visual FoxPro Driver};UID=;PWD=;SourceDB=g:\prop;SourceType=DBF;Exclusive=No;BackgroundFetch=No;Collate=Machine;Null=Yes;Deleted=Yes;"}</definedName>
    <definedName name="QUERY4.query_definition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options" hidden="1">{TRUE;FALSE}</definedName>
    <definedName name="QUERY4.query_statement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5.keep_password" hidden="1">TRUE</definedName>
    <definedName name="QUERY5.query_connection" hidden="1">{"Driver={Microsoft Visual FoxPro Driver};UID=;PWD=;SourceDB=P:\PROP\ANN\DATA;SourceType=DBF;Exclusive=No;BackgroundFetch=No;Collate=Machine;Null=Yes;Deleted=Yes;"}</definedName>
    <definedName name="QUERY5.query_definition" hidden="1">{"SELECT property.name, ALLTRIM(property.city)+', '+property.state, property.numunits
FROM property property"}</definedName>
    <definedName name="QUERY5.query_options" hidden="1">{TRUE;FALSE}</definedName>
    <definedName name="QUERY5.query_statement" hidden="1">{"SELECT property.name, ALLTRIM(property.city)+', '+property.state, property.numunits
FROM property property"}</definedName>
    <definedName name="QUERY6.keep_password" hidden="1">TRUE</definedName>
    <definedName name="QUERY6.query_connection" hidden="1">{"Driver={Microsoft Visual FoxPro Driver};UID=;PWD=;SourceDB=G:\PROP;SourceType=DBF;Exclusive=No;BackgroundFetch=No;Collate=Machine;Null=Yes;Deleted=Yes;"}</definedName>
    <definedName name="QUERY6.query_definition" hidden="1">{"SELECT * FROM ANNTURN a WHERE (a.prop='ANN')
ORDER BY a.year"}</definedName>
    <definedName name="QUERY6.query_options" hidden="1">{FALSE;FALSE}</definedName>
    <definedName name="QUERY6.query_statement" hidden="1">{"SELECT * FROM ANNTURN a WHERE (a.prop='ANN')
ORDER BY a.year"}</definedName>
    <definedName name="qw" hidden="1">{"FCB_ALL",#N/A,FALSE,"FCB";"GREY_ALL",#N/A,FALSE,"GREY"}</definedName>
    <definedName name="QWE" hidden="1">{#N/A,#N/A,FALSE,"Min compar us";#N/A,#N/A,FALSE,"Min US Equité ";#N/A,#N/A,FALSE,"Analyse U.S."}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OISD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QWQ" hidden="1">{#N/A,#N/A,FALSE,"Min compa cad";#N/A,#N/A,FALSE,"Min CAN Equité ";#N/A,#N/A,FALSE,"Analyse can"}</definedName>
    <definedName name="QWSXC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e_Architecture">OFFSET(#REF!,0,0,1,PermDebt_Funding_Month)</definedName>
    <definedName name="Range_Carry">OFFSET(#REF!,0,0,1,PermDebt_Funding_Month)</definedName>
    <definedName name="Range_CFO">OFFSET(#REF!,0,0,1,#REF!)</definedName>
    <definedName name="Range_Construction">OFFSET(#REF!,0,0,1,PermDebt_Funding_Month)</definedName>
    <definedName name="Range_Cumulative_Spent">OFFSET(#REF!,,,1,PermDebt_Funding_Month)</definedName>
    <definedName name="Range_Dates">OFFSET(#REF!,0,0,1,PermDebt_Funding_Month)</definedName>
    <definedName name="Range_Dates_Monthly">"OFFSET($F$53,,,1,Analysis_End_Month+1)"</definedName>
    <definedName name="Range_Equity_Draws">OFFSET(#REF!,0,0,1,PermDebt_Funding_Month)</definedName>
    <definedName name="Range_FFE">OFFSET(#REF!,0,0,1,PermDebt_Funding_Month)</definedName>
    <definedName name="Range_Interest_Fees">OFFSET(#REF!,0,0,1,PermDebt_Funding_Month)</definedName>
    <definedName name="Range_Land">OFFSET(#REF!,0,0,1,PermDebt_Funding_Month)</definedName>
    <definedName name="Range_Loan_Draws_NoInt">OFFSET(#REF!,0,0,1,PermDebt_Funding_Month)</definedName>
    <definedName name="Range_NOI">OFFSET(#REF!,0,0,1,#REF!)</definedName>
    <definedName name="Range_NRA_Cum_Expired">OFFSET(#REF!,0,0,1,#REF!)</definedName>
    <definedName name="Range_NRA_Expiring">OFFSET(#REF!,0,0,1,#REF!)</definedName>
    <definedName name="Range_NRA_Previously_Expired">OFFSET(#REF!,0,0,1,#REF!)</definedName>
    <definedName name="Range_OpShortfall">OFFSET(#REF!,0,0,1,PermDebt_Funding_Month)</definedName>
    <definedName name="Range_Other">OFFSET(#REF!,0,0,1,PermDebt_Funding_Month)</definedName>
    <definedName name="Range_PivotTable_Tenancy_Data">OFFSET(#REF!,0,0,COUNT(#REF!)+1,7)</definedName>
    <definedName name="Range_Property_Value">OFFSET(#REF!,0,0,1,MAX(#REF!))</definedName>
    <definedName name="Range_Soft">OFFSET(#REF!,0,0,1,PermDebt_Funding_Month)</definedName>
    <definedName name="Range_TI">OFFSET(#REF!,0,0,1,PermDebt_Funding_Month)</definedName>
    <definedName name="RCIII" hidden="1">{"ba1",#N/A,TRUE,"B-A";"ba2",#N/A,TRUE,"B-A"}</definedName>
    <definedName name="re" hidden="1">#REF!</definedName>
    <definedName name="READ" hidden="1">FALSE</definedName>
    <definedName name="redo" hidden="1">{#N/A,#N/A,FALSE,"ACQ_GRAPHS";#N/A,#N/A,FALSE,"T_1 GRAPHS";#N/A,#N/A,FALSE,"T_2 GRAPHS";#N/A,#N/A,FALSE,"COMB_GRAPHS"}</definedName>
    <definedName name="Refinance_Funding_Month">#REF!</definedName>
    <definedName name="Refinance_True?">#REF!</definedName>
    <definedName name="reforma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REIWU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lat" hidden="1">{#N/A,#N/A,FALSE,"CONTROLE";#N/A,#N/A,FALSE,"CONTROLE"}</definedName>
    <definedName name="renat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serve">#N/A</definedName>
    <definedName name="Residu" hidden="1">{#N/A,#N/A,TRUE,"Summary";"AnnualRentRoll",#N/A,TRUE,"RentRoll";#N/A,#N/A,TRUE,"ExitStratigy";#N/A,#N/A,TRUE,"OperatingAssumptions"}</definedName>
    <definedName name="Residual_End_Date">#REF!</definedName>
    <definedName name="Residual_End_Month">#REF!</definedName>
    <definedName name="Residual_Land_Analysis_On?">#REF!</definedName>
    <definedName name="Reversion_Year">#REF!</definedName>
    <definedName name="rf" hidden="1">{#N/A,#N/A,FALSE,"CF Yr3";#N/A,#N/A,FALSE,"Rent Roll";#N/A,#N/A,FALSE,"Rent Yr3";#N/A,#N/A,FALSE,"Occ Yr3";#N/A,#N/A,FALSE,"TI+Com Yr3";#N/A,#N/A,FALSE,"OER Yr3";#N/A,#N/A,FALSE,"OE Yr3"}</definedName>
    <definedName name="rfkdjfd" hidden="1">{#N/A,#N/A,FALSE,"Min compa cad";#N/A,#N/A,FALSE,"Min CAN Equité ";#N/A,#N/A,FALSE,"Analyse can"}</definedName>
    <definedName name="RG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hfrhhjtyjfyjtj" hidden="1">{#N/A,#N/A,FALSE,"Centres";#N/A,#N/A,FALSE,"Partenariats";#N/A,#N/A,FALSE,"P.Diverses";#N/A,#N/A,FALSE,"Adm";#N/A,#N/A,FALSE,"Autres R-D";#N/A,#N/A,FALSE,"Intérêts"}</definedName>
    <definedName name="RLAINPUT_DebtLoan1Funding" hidden="1">#REF!,#REF!,#REF!</definedName>
    <definedName name="RLAINPUT_DebtLoan2Funding" hidden="1">#REF!,#REF!,#REF!</definedName>
    <definedName name="RLAINPUT_DebtLoan3Funding" hidden="1">#REF!,#REF!,#REF!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Loan3Refi" hidden="1">#REF!,#REF!,#REF!</definedName>
    <definedName name="Roof" hidden="1">{"Roofs Page 1",#N/A,FALSE,"Roof Outline";"Roofs Page 2",#N/A,FALSE,"Roof Outline"}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eparaturen" hidden="1">#REF!</definedName>
    <definedName name="rrr" hidden="1">{#N/A,#N/A,FALSE,"ExecutiveSummary";#N/A,#N/A,FALSE,"CostDetail";#N/A,#N/A,FALSE,"IncomeDetail"}</definedName>
    <definedName name="rrrr" hidden="1">{#N/A,#N/A,FALSE,"Adm comp";#N/A,#N/A,FALSE,"Adm ajust";"adm",#N/A,FALSE,"Administration";#N/A,#N/A,FALSE,"Adm Bgt 97 vs Prév. 96";#N/A,#N/A,FALSE,"Adm Bgt 97 vs 96"}</definedName>
    <definedName name="RRRR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rrrrrr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" hidden="1">{"inputs raw data",#N/A,TRUE,"INPUT"}</definedName>
    <definedName name="rtrhtrhtrhtrhtr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TR" hidden="1">{#N/A,#N/A,FALSE,"Min compar us";#N/A,#N/A,FALSE,"Min US Equité ";#N/A,#N/A,FALSE,"Analyse U.S."}</definedName>
    <definedName name="rtyuiop" hidden="1">{#N/A,#N/A,FALSE,"Min compar us";#N/A,#N/A,FALSE,"Min US Equité ";#N/A,#N/A,FALSE,"Analyse U.S."}</definedName>
    <definedName name="rw" hidden="1">{#N/A,#N/A,FALSE,"Adm comp";#N/A,#N/A,FALSE,"Adm ajust";"adm",#N/A,FALSE,"Administration";#N/A,#N/A,FALSE,"Adm Bgt 97 vs Prév. 96";#N/A,#N/A,FALSE,"Adm Bgt 97 vs 96"}</definedName>
    <definedName name="Rwvu.ALL." hidden="1">#REF!,#REF!</definedName>
    <definedName name="Rwvu.CAM._.RECOVERIES." hidden="1">#REF!,#REF!,#REF!</definedName>
    <definedName name="Rwvu.CAM._.TABLE." hidden="1">#REF!,#REF!,#REF!</definedName>
    <definedName name="Rwvu.INSURANCE._.RECOVERIES." hidden="1">#REF!,#REF!,#REF!,#REF!</definedName>
    <definedName name="Rwvu.MINIMUM._.RENT." hidden="1">#REF!,#REF!</definedName>
    <definedName name="Rwvu.OCCUPANCY._.ANALYSIS." hidden="1">#REF!,#REF!,#REF!</definedName>
    <definedName name="Rwvu.PERCENTAGE._.RENT." hidden="1">#REF!,#REF!,#REF!</definedName>
    <definedName name="Rwvu.TAX._.RECOVERIES." hidden="1">#REF!,#REF!,#REF!,#REF!</definedName>
    <definedName name="Rwvu.WAT." hidden="1">#REF!</definedName>
    <definedName name="s" hidden="1">{#N/A,#N/A,FALSE,"Internal";#N/A,#N/A,FALSE,"CLOSING-EXT";#N/A,#N/A,FALSE,"GAIN-LOSS"}</definedName>
    <definedName name="sa" hidden="1">{"cap_structure",#N/A,FALSE,"Graph-Mkt Cap";"price",#N/A,FALSE,"Graph-Price";"ebit",#N/A,FALSE,"Graph-EBITDA";"ebitda",#N/A,FALSE,"Graph-EBITDA"}</definedName>
    <definedName name="saa" hidden="1">{"rtn",#N/A,FALSE,"RTN";"tables",#N/A,FALSE,"RTN";"cf",#N/A,FALSE,"CF";"stats",#N/A,FALSE,"Stats";"prop",#N/A,FALSE,"Prop"}</definedName>
    <definedName name="sadd" hidden="1">{"MonthlyRentRoll",#N/A,FALSE,"RentRoll"}</definedName>
    <definedName name="sadd1" hidden="1">{"MonthlyRentRoll",#N/A,FALSE,"RentRoll"}</definedName>
    <definedName name="sadd2" hidden="1">{"MonthlyRentRoll",#N/A,FALSE,"RentRoll"}</definedName>
    <definedName name="sadd22" hidden="1">{"MonthlyRentRoll",#N/A,FALSE,"RentRoll"}</definedName>
    <definedName name="saddd" hidden="1">{"AnnualRentRoll",#N/A,FALSE,"RentRoll"}</definedName>
    <definedName name="saddd2" hidden="1">{"AnnualRentRoll",#N/A,FALSE,"RentRoll"}</definedName>
    <definedName name="sadddd2" hidden="1">{"AnnualRentRoll",#N/A,FALSE,"RentRoll"}</definedName>
    <definedName name="saddddd" hidden="1">{"AnnualRentRoll",#N/A,FALSE,"RentRoll"}</definedName>
    <definedName name="saddddddd2" hidden="1">{#N/A,#N/A,FALSE,"ExitStratigy"}</definedName>
    <definedName name="sadddddddd" hidden="1">{#N/A,#N/A,FALSE,"ExitStratigy"}</definedName>
    <definedName name="saddddddddd2" hidden="1">{#N/A,#N/A,FALSE,"LoanAssumptions"}</definedName>
    <definedName name="sadddddddddd" hidden="1">{#N/A,#N/A,FALSE,"LoanAssumptions"}</definedName>
    <definedName name="saddddddddddd2" hidden="1">{#N/A,#N/A,FALSE,"OperatingAssumptions"}</definedName>
    <definedName name="saddddddddddddd" hidden="1">{#N/A,#N/A,FALSE,"OperatingAssumptions"}</definedName>
    <definedName name="sadsadsa" hidden="1">{"'Assump'!$F$6:$J$6"}</definedName>
    <definedName name="SADSADSADSA" hidden="1">{#N/A,#N/A,FALSE,"CONTROLE"}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ary">#N/A</definedName>
    <definedName name="Sales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SANDER" hidden="1">{#N/A,#N/A,FALSE,"A";#N/A,#N/A,FALSE,"C"}</definedName>
    <definedName name="sandra" hidden="1">{#N/A,#N/A,FALSE,"RENT ROLL"}</definedName>
    <definedName name="sand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SAPBEXdnldView" hidden="1">"3SK7F7OFPP13FE31LWSFONY3P"</definedName>
    <definedName name="SAPBEXrevision" hidden="1">3</definedName>
    <definedName name="SAPBEXsysID" hidden="1">"B01"</definedName>
    <definedName name="SAPBEXwbID" hidden="1">"1OKLBDAAGJ3NPBUSNNGRFDKQH"</definedName>
    <definedName name="sas" hidden="1">{"Outflow 1",#N/A,FALSE,"Outflows-Inflows";"Outflow 2",#N/A,FALSE,"Outflows-Inflows";"Inflow 1",#N/A,FALSE,"Outflows-Inflows";"Inflow 2",#N/A,FALSE,"Outflows-Inflows"}</definedName>
    <definedName name="Scurve_dist">#REF!</definedName>
    <definedName name="sd" hidden="1">{#N/A,#N/A,FALSE,"Adm comp";#N/A,#N/A,FALSE,"Adm ajust";"adm",#N/A,FALSE,"Administration";#N/A,#N/A,FALSE,"Adm Bgt 97 vs Prév. 96";#N/A,#N/A,FALSE,"Adm Bgt 97 vs 96"}</definedName>
    <definedName name="SD_1x1_11x1_3_G_9003" hidden="1">#REF!</definedName>
    <definedName name="SD_1x1_2_G_0" hidden="1">#REF!</definedName>
    <definedName name="SD_1x1_3_G_0" hidden="1">#REF!</definedName>
    <definedName name="SD_1x1_62_G_0" hidden="1">#REF!</definedName>
    <definedName name="SD_1x1_6x1_1_B_9000" hidden="1">#REF!</definedName>
    <definedName name="SD_1x1_6x1_10_B_20" hidden="1">#REF!</definedName>
    <definedName name="SD_1x1_6x1_11_B_0" hidden="1">#REF!</definedName>
    <definedName name="SD_1x1_6x1_12_B_0" hidden="1">#REF!</definedName>
    <definedName name="SD_1x1_6x1_13_B_0" hidden="1">#REF!</definedName>
    <definedName name="SD_1x1_6x1_14_B_0" hidden="1">#REF!</definedName>
    <definedName name="SD_1x1_6x1_15_B_0" hidden="1">#REF!</definedName>
    <definedName name="SD_1x1_6x1_16_B_0" hidden="1">#REF!</definedName>
    <definedName name="SD_1x1_6x1_17_B_0" hidden="1">#REF!</definedName>
    <definedName name="SD_1x1_6x1_18_B_0" hidden="1">#REF!</definedName>
    <definedName name="SD_1x1_6x1_19_B_0" hidden="1">#REF!</definedName>
    <definedName name="SD_1x1_6x1_20_B_0" hidden="1">#REF!</definedName>
    <definedName name="SD_1x1_6x1_21_B_0" hidden="1">#REF!</definedName>
    <definedName name="SD_1x1_6x1_22_B_0" hidden="1">#REF!</definedName>
    <definedName name="SD_1x1_6x1_25_B_0" hidden="1">#REF!</definedName>
    <definedName name="SD_1x1_6x1_3_B_0" hidden="1">#REF!</definedName>
    <definedName name="SD_1x1_6x1_4_B_0" hidden="1">#REF!</definedName>
    <definedName name="SD_1x1_6x1_5_B_0" hidden="1">#REF!</definedName>
    <definedName name="SD_1x1_6x1_6_B_0" hidden="1">#REF!</definedName>
    <definedName name="SD_1x1_6x1_7_B_14" hidden="1">#REF!</definedName>
    <definedName name="SD_1x1_6x1_8_B_11" hidden="1">#REF!</definedName>
    <definedName name="SD_1x1_6x1_9_B_0" hidden="1">#REF!</definedName>
    <definedName name="SD_1x1_6x10_1_B_9000" hidden="1">#REF!</definedName>
    <definedName name="SD_1x1_6x10_10_B_20" hidden="1">#REF!</definedName>
    <definedName name="SD_1x1_6x10_11_B_0" hidden="1">#REF!</definedName>
    <definedName name="SD_1x1_6x10_12_B_0" hidden="1">#REF!</definedName>
    <definedName name="SD_1x1_6x10_13_B_0" hidden="1">#REF!</definedName>
    <definedName name="SD_1x1_6x10_14_B_0" hidden="1">#REF!</definedName>
    <definedName name="SD_1x1_6x10_15_B_0" hidden="1">#REF!</definedName>
    <definedName name="SD_1x1_6x10_16_B_0" hidden="1">#REF!</definedName>
    <definedName name="SD_1x1_6x10_17_B_0" hidden="1">#REF!</definedName>
    <definedName name="SD_1x1_6x10_18_B_0" hidden="1">#REF!</definedName>
    <definedName name="SD_1x1_6x10_19_B_0" hidden="1">#REF!</definedName>
    <definedName name="SD_1x1_6x10_20_B_0" hidden="1">#REF!</definedName>
    <definedName name="SD_1x1_6x10_21_B_0" hidden="1">#REF!</definedName>
    <definedName name="SD_1x1_6x10_22_B_0" hidden="1">#REF!</definedName>
    <definedName name="SD_1x1_6x10_25_B_0" hidden="1">#REF!</definedName>
    <definedName name="SD_1x1_6x10_3_B_0" hidden="1">#REF!</definedName>
    <definedName name="SD_1x1_6x10_4_B_0" hidden="1">#REF!</definedName>
    <definedName name="SD_1x1_6x10_5_B_0" hidden="1">#REF!</definedName>
    <definedName name="SD_1x1_6x10_6_B_0" hidden="1">#REF!</definedName>
    <definedName name="SD_1x1_6x10_7_B_14" hidden="1">#REF!</definedName>
    <definedName name="SD_1x1_6x10_8_B_11" hidden="1">#REF!</definedName>
    <definedName name="SD_1x1_6x10_9_B_0" hidden="1">#REF!</definedName>
    <definedName name="SD_1x1_6x11_1_B_9000" hidden="1">#REF!</definedName>
    <definedName name="SD_1x1_6x11_10_B_20" hidden="1">#REF!</definedName>
    <definedName name="SD_1x1_6x11_11_B_0" hidden="1">#REF!</definedName>
    <definedName name="SD_1x1_6x11_12_B_0" hidden="1">#REF!</definedName>
    <definedName name="SD_1x1_6x11_13_B_0" hidden="1">#REF!</definedName>
    <definedName name="SD_1x1_6x11_14_B_0" hidden="1">#REF!</definedName>
    <definedName name="SD_1x1_6x11_15_B_0" hidden="1">#REF!</definedName>
    <definedName name="SD_1x1_6x11_16_B_0" hidden="1">#REF!</definedName>
    <definedName name="SD_1x1_6x11_17_B_0" hidden="1">#REF!</definedName>
    <definedName name="SD_1x1_6x11_18_B_0" hidden="1">#REF!</definedName>
    <definedName name="SD_1x1_6x11_19_B_0" hidden="1">#REF!</definedName>
    <definedName name="SD_1x1_6x11_20_B_0" hidden="1">#REF!</definedName>
    <definedName name="SD_1x1_6x11_21_B_0" hidden="1">#REF!</definedName>
    <definedName name="SD_1x1_6x11_22_B_0" hidden="1">#REF!</definedName>
    <definedName name="SD_1x1_6x11_25_B_0" hidden="1">#REF!</definedName>
    <definedName name="SD_1x1_6x11_3_B_0" hidden="1">#REF!</definedName>
    <definedName name="SD_1x1_6x11_4_B_0" hidden="1">#REF!</definedName>
    <definedName name="SD_1x1_6x11_5_B_0" hidden="1">#REF!</definedName>
    <definedName name="SD_1x1_6x11_6_B_0" hidden="1">#REF!</definedName>
    <definedName name="SD_1x1_6x11_7_B_14" hidden="1">#REF!</definedName>
    <definedName name="SD_1x1_6x11_8_B_11" hidden="1">#REF!</definedName>
    <definedName name="SD_1x1_6x11_9_B_0" hidden="1">#REF!</definedName>
    <definedName name="SD_1x1_6x12_1_B_9000" hidden="1">#REF!</definedName>
    <definedName name="SD_1x1_6x12_10_B_20" hidden="1">#REF!</definedName>
    <definedName name="SD_1x1_6x12_11_B_0" hidden="1">#REF!</definedName>
    <definedName name="SD_1x1_6x12_12_B_0" hidden="1">#REF!</definedName>
    <definedName name="SD_1x1_6x12_13_B_0" hidden="1">#REF!</definedName>
    <definedName name="SD_1x1_6x12_14_B_0" hidden="1">#REF!</definedName>
    <definedName name="SD_1x1_6x12_15_B_0" hidden="1">#REF!</definedName>
    <definedName name="SD_1x1_6x12_16_B_0" hidden="1">#REF!</definedName>
    <definedName name="SD_1x1_6x12_17_B_0" hidden="1">#REF!</definedName>
    <definedName name="SD_1x1_6x12_18_B_0" hidden="1">#REF!</definedName>
    <definedName name="SD_1x1_6x12_19_B_0" hidden="1">#REF!</definedName>
    <definedName name="SD_1x1_6x12_20_B_0" hidden="1">#REF!</definedName>
    <definedName name="SD_1x1_6x12_21_B_0" hidden="1">#REF!</definedName>
    <definedName name="SD_1x1_6x12_22_B_0" hidden="1">#REF!</definedName>
    <definedName name="SD_1x1_6x12_25_B_0" hidden="1">#REF!</definedName>
    <definedName name="SD_1x1_6x12_3_B_0" hidden="1">#REF!</definedName>
    <definedName name="SD_1x1_6x12_4_B_0" hidden="1">#REF!</definedName>
    <definedName name="SD_1x1_6x12_5_B_0" hidden="1">#REF!</definedName>
    <definedName name="SD_1x1_6x12_6_B_0" hidden="1">#REF!</definedName>
    <definedName name="SD_1x1_6x12_7_B_14" hidden="1">#REF!</definedName>
    <definedName name="SD_1x1_6x12_8_B_11" hidden="1">#REF!</definedName>
    <definedName name="SD_1x1_6x12_9_B_0" hidden="1">#REF!</definedName>
    <definedName name="SD_1x1_6x13_1_B_9000" hidden="1">#REF!</definedName>
    <definedName name="SD_1x1_6x13_10_B_20" hidden="1">#REF!</definedName>
    <definedName name="SD_1x1_6x13_11_B_0" hidden="1">#REF!</definedName>
    <definedName name="SD_1x1_6x13_12_B_0" hidden="1">#REF!</definedName>
    <definedName name="SD_1x1_6x13_13_B_0" hidden="1">#REF!</definedName>
    <definedName name="SD_1x1_6x13_14_B_0" hidden="1">#REF!</definedName>
    <definedName name="SD_1x1_6x13_15_B_0" hidden="1">#REF!</definedName>
    <definedName name="SD_1x1_6x13_16_B_0" hidden="1">#REF!</definedName>
    <definedName name="SD_1x1_6x13_17_B_0" hidden="1">#REF!</definedName>
    <definedName name="SD_1x1_6x13_18_B_0" hidden="1">#REF!</definedName>
    <definedName name="SD_1x1_6x13_19_B_0" hidden="1">#REF!</definedName>
    <definedName name="SD_1x1_6x13_20_B_0" hidden="1">#REF!</definedName>
    <definedName name="SD_1x1_6x13_21_B_0" hidden="1">#REF!</definedName>
    <definedName name="SD_1x1_6x13_22_B_0" hidden="1">#REF!</definedName>
    <definedName name="SD_1x1_6x13_25_B_0" hidden="1">#REF!</definedName>
    <definedName name="SD_1x1_6x13_3_B_0" hidden="1">#REF!</definedName>
    <definedName name="SD_1x1_6x13_4_B_0" hidden="1">#REF!</definedName>
    <definedName name="SD_1x1_6x13_5_B_0" hidden="1">#REF!</definedName>
    <definedName name="SD_1x1_6x13_6_B_0" hidden="1">#REF!</definedName>
    <definedName name="SD_1x1_6x13_7_B_14" hidden="1">#REF!</definedName>
    <definedName name="SD_1x1_6x13_8_B_11" hidden="1">#REF!</definedName>
    <definedName name="SD_1x1_6x13_9_B_0" hidden="1">#REF!</definedName>
    <definedName name="SD_1x1_6x14_1_B_9000" hidden="1">#REF!</definedName>
    <definedName name="SD_1x1_6x14_10_B_20" hidden="1">#REF!</definedName>
    <definedName name="SD_1x1_6x14_11_B_0" hidden="1">#REF!</definedName>
    <definedName name="SD_1x1_6x14_12_B_0" hidden="1">#REF!</definedName>
    <definedName name="SD_1x1_6x14_13_B_0" hidden="1">#REF!</definedName>
    <definedName name="SD_1x1_6x14_14_B_0" hidden="1">#REF!</definedName>
    <definedName name="SD_1x1_6x14_15_B_0" hidden="1">#REF!</definedName>
    <definedName name="SD_1x1_6x14_16_B_0" hidden="1">#REF!</definedName>
    <definedName name="SD_1x1_6x14_17_B_0" hidden="1">#REF!</definedName>
    <definedName name="SD_1x1_6x14_18_B_0" hidden="1">#REF!</definedName>
    <definedName name="SD_1x1_6x14_19_B_0" hidden="1">#REF!</definedName>
    <definedName name="SD_1x1_6x14_20_B_0" hidden="1">#REF!</definedName>
    <definedName name="SD_1x1_6x14_21_B_0" hidden="1">#REF!</definedName>
    <definedName name="SD_1x1_6x14_22_B_0" hidden="1">#REF!</definedName>
    <definedName name="SD_1x1_6x14_25_B_0" hidden="1">#REF!</definedName>
    <definedName name="SD_1x1_6x14_3_B_0" hidden="1">#REF!</definedName>
    <definedName name="SD_1x1_6x14_4_B_0" hidden="1">#REF!</definedName>
    <definedName name="SD_1x1_6x14_5_B_0" hidden="1">#REF!</definedName>
    <definedName name="SD_1x1_6x14_6_B_0" hidden="1">#REF!</definedName>
    <definedName name="SD_1x1_6x14_7_B_14" hidden="1">#REF!</definedName>
    <definedName name="SD_1x1_6x14_8_B_11" hidden="1">#REF!</definedName>
    <definedName name="SD_1x1_6x14_9_B_0" hidden="1">#REF!</definedName>
    <definedName name="SD_1x1_6x15_1_B_9000" hidden="1">#REF!</definedName>
    <definedName name="SD_1x1_6x15_10_B_20" hidden="1">#REF!</definedName>
    <definedName name="SD_1x1_6x15_11_B_0" hidden="1">#REF!</definedName>
    <definedName name="SD_1x1_6x15_12_B_0" hidden="1">#REF!</definedName>
    <definedName name="SD_1x1_6x15_13_B_0" hidden="1">#REF!</definedName>
    <definedName name="SD_1x1_6x15_14_B_0" hidden="1">#REF!</definedName>
    <definedName name="SD_1x1_6x15_15_B_0" hidden="1">#REF!</definedName>
    <definedName name="SD_1x1_6x15_16_B_0" hidden="1">#REF!</definedName>
    <definedName name="SD_1x1_6x15_17_B_0" hidden="1">#REF!</definedName>
    <definedName name="SD_1x1_6x15_18_B_0" hidden="1">#REF!</definedName>
    <definedName name="SD_1x1_6x15_19_B_0" hidden="1">#REF!</definedName>
    <definedName name="SD_1x1_6x15_20_B_0" hidden="1">#REF!</definedName>
    <definedName name="SD_1x1_6x15_21_B_0" hidden="1">#REF!</definedName>
    <definedName name="SD_1x1_6x15_22_B_0" hidden="1">#REF!</definedName>
    <definedName name="SD_1x1_6x15_25_B_0" hidden="1">#REF!</definedName>
    <definedName name="SD_1x1_6x15_3_B_0" hidden="1">#REF!</definedName>
    <definedName name="SD_1x1_6x15_4_B_0" hidden="1">#REF!</definedName>
    <definedName name="SD_1x1_6x15_5_B_0" hidden="1">#REF!</definedName>
    <definedName name="SD_1x1_6x15_6_B_0" hidden="1">#REF!</definedName>
    <definedName name="SD_1x1_6x15_7_B_14" hidden="1">#REF!</definedName>
    <definedName name="SD_1x1_6x15_8_B_11" hidden="1">#REF!</definedName>
    <definedName name="SD_1x1_6x15_9_B_0" hidden="1">#REF!</definedName>
    <definedName name="SD_1x1_6x2_1_B_9000" hidden="1">#REF!</definedName>
    <definedName name="SD_1x1_6x2_10_B_20" hidden="1">#REF!</definedName>
    <definedName name="SD_1x1_6x2_11_B_0" hidden="1">#REF!</definedName>
    <definedName name="SD_1x1_6x2_12_B_0" hidden="1">#REF!</definedName>
    <definedName name="SD_1x1_6x2_13_B_0" hidden="1">#REF!</definedName>
    <definedName name="SD_1x1_6x2_14_B_0" hidden="1">#REF!</definedName>
    <definedName name="SD_1x1_6x2_15_B_0" hidden="1">#REF!</definedName>
    <definedName name="SD_1x1_6x2_16_B_0" hidden="1">#REF!</definedName>
    <definedName name="SD_1x1_6x2_17_B_0" hidden="1">#REF!</definedName>
    <definedName name="SD_1x1_6x2_18_B_0" hidden="1">#REF!</definedName>
    <definedName name="SD_1x1_6x2_19_B_0" hidden="1">#REF!</definedName>
    <definedName name="SD_1x1_6x2_20_B_0" hidden="1">#REF!</definedName>
    <definedName name="SD_1x1_6x2_21_B_0" hidden="1">#REF!</definedName>
    <definedName name="SD_1x1_6x2_22_B_0" hidden="1">#REF!</definedName>
    <definedName name="SD_1x1_6x2_25_B_0" hidden="1">#REF!</definedName>
    <definedName name="SD_1x1_6x2_3_B_0" hidden="1">#REF!</definedName>
    <definedName name="SD_1x1_6x2_4_B_0" hidden="1">#REF!</definedName>
    <definedName name="SD_1x1_6x2_5_B_0" hidden="1">#REF!</definedName>
    <definedName name="SD_1x1_6x2_6_B_0" hidden="1">#REF!</definedName>
    <definedName name="SD_1x1_6x2_7_B_14" hidden="1">#REF!</definedName>
    <definedName name="SD_1x1_6x2_8_B_11" hidden="1">#REF!</definedName>
    <definedName name="SD_1x1_6x2_9_B_0" hidden="1">#REF!</definedName>
    <definedName name="SD_1x1_6x3_1_B_9000" hidden="1">#REF!</definedName>
    <definedName name="SD_1x1_6x3_10_B_20" hidden="1">#REF!</definedName>
    <definedName name="SD_1x1_6x3_11_B_0" hidden="1">#REF!</definedName>
    <definedName name="SD_1x1_6x3_12_B_0" hidden="1">#REF!</definedName>
    <definedName name="SD_1x1_6x3_13_B_0" hidden="1">#REF!</definedName>
    <definedName name="SD_1x1_6x3_14_B_0" hidden="1">#REF!</definedName>
    <definedName name="SD_1x1_6x3_15_B_0" hidden="1">#REF!</definedName>
    <definedName name="SD_1x1_6x3_16_B_0" hidden="1">#REF!</definedName>
    <definedName name="SD_1x1_6x3_17_B_0" hidden="1">#REF!</definedName>
    <definedName name="SD_1x1_6x3_18_B_0" hidden="1">#REF!</definedName>
    <definedName name="SD_1x1_6x3_19_B_0" hidden="1">#REF!</definedName>
    <definedName name="SD_1x1_6x3_20_B_0" hidden="1">#REF!</definedName>
    <definedName name="SD_1x1_6x3_21_B_0" hidden="1">#REF!</definedName>
    <definedName name="SD_1x1_6x3_22_B_0" hidden="1">#REF!</definedName>
    <definedName name="SD_1x1_6x3_25_B_0" hidden="1">#REF!</definedName>
    <definedName name="SD_1x1_6x3_3_B_0" hidden="1">#REF!</definedName>
    <definedName name="SD_1x1_6x3_4_B_0" hidden="1">#REF!</definedName>
    <definedName name="SD_1x1_6x3_5_B_0" hidden="1">#REF!</definedName>
    <definedName name="SD_1x1_6x3_6_B_0" hidden="1">#REF!</definedName>
    <definedName name="SD_1x1_6x3_7_B_14" hidden="1">#REF!</definedName>
    <definedName name="SD_1x1_6x3_8_B_11" hidden="1">#REF!</definedName>
    <definedName name="SD_1x1_6x3_9_B_0" hidden="1">#REF!</definedName>
    <definedName name="SD_1x1_6x4_1_B_9000" hidden="1">#REF!</definedName>
    <definedName name="SD_1x1_6x4_10_B_20" hidden="1">#REF!</definedName>
    <definedName name="SD_1x1_6x4_11_B_0" hidden="1">#REF!</definedName>
    <definedName name="SD_1x1_6x4_12_B_0" hidden="1">#REF!</definedName>
    <definedName name="SD_1x1_6x4_13_B_0" hidden="1">#REF!</definedName>
    <definedName name="SD_1x1_6x4_14_B_0" hidden="1">#REF!</definedName>
    <definedName name="SD_1x1_6x4_15_B_0" hidden="1">#REF!</definedName>
    <definedName name="SD_1x1_6x4_16_B_0" hidden="1">#REF!</definedName>
    <definedName name="SD_1x1_6x4_17_B_0" hidden="1">#REF!</definedName>
    <definedName name="SD_1x1_6x4_18_B_0" hidden="1">#REF!</definedName>
    <definedName name="SD_1x1_6x4_19_B_0" hidden="1">#REF!</definedName>
    <definedName name="SD_1x1_6x4_20_B_0" hidden="1">#REF!</definedName>
    <definedName name="SD_1x1_6x4_21_B_0" hidden="1">#REF!</definedName>
    <definedName name="SD_1x1_6x4_22_B_0" hidden="1">#REF!</definedName>
    <definedName name="SD_1x1_6x4_25_B_0" hidden="1">#REF!</definedName>
    <definedName name="SD_1x1_6x4_3_B_0" hidden="1">#REF!</definedName>
    <definedName name="SD_1x1_6x4_4_B_0" hidden="1">#REF!</definedName>
    <definedName name="SD_1x1_6x4_5_B_0" hidden="1">#REF!</definedName>
    <definedName name="SD_1x1_6x4_6_B_0" hidden="1">#REF!</definedName>
    <definedName name="SD_1x1_6x4_7_B_14" hidden="1">#REF!</definedName>
    <definedName name="SD_1x1_6x4_8_B_11" hidden="1">#REF!</definedName>
    <definedName name="SD_1x1_6x4_9_B_0" hidden="1">#REF!</definedName>
    <definedName name="SD_1x1_6x5_1_B_9000" hidden="1">#REF!</definedName>
    <definedName name="SD_1x1_6x5_10_B_20" hidden="1">#REF!</definedName>
    <definedName name="SD_1x1_6x5_11_B_0" hidden="1">#REF!</definedName>
    <definedName name="SD_1x1_6x5_12_B_0" hidden="1">#REF!</definedName>
    <definedName name="SD_1x1_6x5_13_B_0" hidden="1">#REF!</definedName>
    <definedName name="SD_1x1_6x5_14_B_0" hidden="1">#REF!</definedName>
    <definedName name="SD_1x1_6x5_15_B_0" hidden="1">#REF!</definedName>
    <definedName name="SD_1x1_6x5_16_B_0" hidden="1">#REF!</definedName>
    <definedName name="SD_1x1_6x5_17_B_0" hidden="1">#REF!</definedName>
    <definedName name="SD_1x1_6x5_18_B_0" hidden="1">#REF!</definedName>
    <definedName name="SD_1x1_6x5_19_B_0" hidden="1">#REF!</definedName>
    <definedName name="SD_1x1_6x5_20_B_0" hidden="1">#REF!</definedName>
    <definedName name="SD_1x1_6x5_21_B_0" hidden="1">#REF!</definedName>
    <definedName name="SD_1x1_6x5_22_B_0" hidden="1">#REF!</definedName>
    <definedName name="SD_1x1_6x5_25_B_0" hidden="1">#REF!</definedName>
    <definedName name="SD_1x1_6x5_3_B_0" hidden="1">#REF!</definedName>
    <definedName name="SD_1x1_6x5_4_B_0" hidden="1">#REF!</definedName>
    <definedName name="SD_1x1_6x5_5_B_0" hidden="1">#REF!</definedName>
    <definedName name="SD_1x1_6x5_6_B_0" hidden="1">#REF!</definedName>
    <definedName name="SD_1x1_6x5_7_B_14" hidden="1">#REF!</definedName>
    <definedName name="SD_1x1_6x5_8_B_11" hidden="1">#REF!</definedName>
    <definedName name="SD_1x1_6x5_9_B_0" hidden="1">#REF!</definedName>
    <definedName name="SD_1x1_6x6_1_B_9000" hidden="1">#REF!</definedName>
    <definedName name="SD_1x1_6x6_10_B_20" hidden="1">#REF!</definedName>
    <definedName name="SD_1x1_6x6_11_B_0" hidden="1">#REF!</definedName>
    <definedName name="SD_1x1_6x6_12_B_0" hidden="1">#REF!</definedName>
    <definedName name="SD_1x1_6x6_13_B_0" hidden="1">#REF!</definedName>
    <definedName name="SD_1x1_6x6_14_B_0" hidden="1">#REF!</definedName>
    <definedName name="SD_1x1_6x6_15_B_0" hidden="1">#REF!</definedName>
    <definedName name="SD_1x1_6x6_16_B_0" hidden="1">#REF!</definedName>
    <definedName name="SD_1x1_6x6_17_B_0" hidden="1">#REF!</definedName>
    <definedName name="SD_1x1_6x6_18_B_0" hidden="1">#REF!</definedName>
    <definedName name="SD_1x1_6x6_19_B_0" hidden="1">#REF!</definedName>
    <definedName name="SD_1x1_6x6_20_B_0" hidden="1">#REF!</definedName>
    <definedName name="SD_1x1_6x6_21_B_0" hidden="1">#REF!</definedName>
    <definedName name="SD_1x1_6x6_22_B_0" hidden="1">#REF!</definedName>
    <definedName name="SD_1x1_6x6_25_B_0" hidden="1">#REF!</definedName>
    <definedName name="SD_1x1_6x6_3_B_0" hidden="1">#REF!</definedName>
    <definedName name="SD_1x1_6x6_4_B_0" hidden="1">#REF!</definedName>
    <definedName name="SD_1x1_6x6_5_B_0" hidden="1">#REF!</definedName>
    <definedName name="SD_1x1_6x6_6_B_0" hidden="1">#REF!</definedName>
    <definedName name="SD_1x1_6x6_7_B_14" hidden="1">#REF!</definedName>
    <definedName name="SD_1x1_6x6_8_B_11" hidden="1">#REF!</definedName>
    <definedName name="SD_1x1_6x6_9_B_0" hidden="1">#REF!</definedName>
    <definedName name="SD_1x1_6x7_1_B_9000" hidden="1">#REF!</definedName>
    <definedName name="SD_1x1_6x7_10_B_20" hidden="1">#REF!</definedName>
    <definedName name="SD_1x1_6x7_11_B_0" hidden="1">#REF!</definedName>
    <definedName name="SD_1x1_6x7_12_B_0" hidden="1">#REF!</definedName>
    <definedName name="SD_1x1_6x7_13_B_0" hidden="1">#REF!</definedName>
    <definedName name="SD_1x1_6x7_14_B_0" hidden="1">#REF!</definedName>
    <definedName name="SD_1x1_6x7_15_B_0" hidden="1">#REF!</definedName>
    <definedName name="SD_1x1_6x7_16_B_0" hidden="1">#REF!</definedName>
    <definedName name="SD_1x1_6x7_17_B_0" hidden="1">#REF!</definedName>
    <definedName name="SD_1x1_6x7_18_B_0" hidden="1">#REF!</definedName>
    <definedName name="SD_1x1_6x7_19_B_0" hidden="1">#REF!</definedName>
    <definedName name="SD_1x1_6x7_20_B_0" hidden="1">#REF!</definedName>
    <definedName name="SD_1x1_6x7_21_B_0" hidden="1">#REF!</definedName>
    <definedName name="SD_1x1_6x7_22_B_0" hidden="1">#REF!</definedName>
    <definedName name="SD_1x1_6x7_25_B_0" hidden="1">#REF!</definedName>
    <definedName name="SD_1x1_6x7_3_B_0" hidden="1">#REF!</definedName>
    <definedName name="SD_1x1_6x7_4_B_0" hidden="1">#REF!</definedName>
    <definedName name="SD_1x1_6x7_5_B_0" hidden="1">#REF!</definedName>
    <definedName name="SD_1x1_6x7_6_B_0" hidden="1">#REF!</definedName>
    <definedName name="SD_1x1_6x7_7_B_14" hidden="1">#REF!</definedName>
    <definedName name="SD_1x1_6x7_8_B_11" hidden="1">#REF!</definedName>
    <definedName name="SD_1x1_6x7_9_B_0" hidden="1">#REF!</definedName>
    <definedName name="SD_1x1_6x8_1_B_9000" hidden="1">#REF!</definedName>
    <definedName name="SD_1x1_6x8_10_B_20" hidden="1">#REF!</definedName>
    <definedName name="SD_1x1_6x8_11_B_0" hidden="1">#REF!</definedName>
    <definedName name="SD_1x1_6x8_12_B_0" hidden="1">#REF!</definedName>
    <definedName name="SD_1x1_6x8_13_B_0" hidden="1">#REF!</definedName>
    <definedName name="SD_1x1_6x8_14_B_0" hidden="1">#REF!</definedName>
    <definedName name="SD_1x1_6x8_15_B_0" hidden="1">#REF!</definedName>
    <definedName name="SD_1x1_6x8_16_B_0" hidden="1">#REF!</definedName>
    <definedName name="SD_1x1_6x8_17_B_0" hidden="1">#REF!</definedName>
    <definedName name="SD_1x1_6x8_18_B_0" hidden="1">#REF!</definedName>
    <definedName name="SD_1x1_6x8_19_B_0" hidden="1">#REF!</definedName>
    <definedName name="SD_1x1_6x8_20_B_0" hidden="1">#REF!</definedName>
    <definedName name="SD_1x1_6x8_21_B_0" hidden="1">#REF!</definedName>
    <definedName name="SD_1x1_6x8_22_B_0" hidden="1">#REF!</definedName>
    <definedName name="SD_1x1_6x8_25_B_0" hidden="1">#REF!</definedName>
    <definedName name="SD_1x1_6x8_3_B_0" hidden="1">#REF!</definedName>
    <definedName name="SD_1x1_6x8_4_B_0" hidden="1">#REF!</definedName>
    <definedName name="SD_1x1_6x8_5_B_0" hidden="1">#REF!</definedName>
    <definedName name="SD_1x1_6x8_6_B_0" hidden="1">#REF!</definedName>
    <definedName name="SD_1x1_6x8_7_B_14" hidden="1">#REF!</definedName>
    <definedName name="SD_1x1_6x8_8_B_11" hidden="1">#REF!</definedName>
    <definedName name="SD_1x1_6x8_9_B_0" hidden="1">#REF!</definedName>
    <definedName name="SD_1x1_6x9_1_B_9000" hidden="1">#REF!</definedName>
    <definedName name="SD_1x1_6x9_10_B_20" hidden="1">#REF!</definedName>
    <definedName name="SD_1x1_6x9_11_B_0" hidden="1">#REF!</definedName>
    <definedName name="SD_1x1_6x9_12_B_0" hidden="1">#REF!</definedName>
    <definedName name="SD_1x1_6x9_13_B_0" hidden="1">#REF!</definedName>
    <definedName name="SD_1x1_6x9_14_B_0" hidden="1">#REF!</definedName>
    <definedName name="SD_1x1_6x9_15_B_0" hidden="1">#REF!</definedName>
    <definedName name="SD_1x1_6x9_16_B_0" hidden="1">#REF!</definedName>
    <definedName name="SD_1x1_6x9_17_B_0" hidden="1">#REF!</definedName>
    <definedName name="SD_1x1_6x9_18_B_0" hidden="1">#REF!</definedName>
    <definedName name="SD_1x1_6x9_19_B_0" hidden="1">#REF!</definedName>
    <definedName name="SD_1x1_6x9_20_B_0" hidden="1">#REF!</definedName>
    <definedName name="SD_1x1_6x9_21_B_0" hidden="1">#REF!</definedName>
    <definedName name="SD_1x1_6x9_22_B_0" hidden="1">#REF!</definedName>
    <definedName name="SD_1x1_6x9_25_B_0" hidden="1">#REF!</definedName>
    <definedName name="SD_1x1_6x9_3_B_0" hidden="1">#REF!</definedName>
    <definedName name="SD_1x1_6x9_4_B_0" hidden="1">#REF!</definedName>
    <definedName name="SD_1x1_6x9_5_B_0" hidden="1">#REF!</definedName>
    <definedName name="SD_1x1_6x9_6_B_0" hidden="1">#REF!</definedName>
    <definedName name="SD_1x1_6x9_7_B_14" hidden="1">#REF!</definedName>
    <definedName name="SD_1x1_6x9_8_B_11" hidden="1">#REF!</definedName>
    <definedName name="SD_1x1_6x9_9_B_0" hidden="1">#REF!</definedName>
    <definedName name="SD_1x1_8_G_12" hidden="1">#REF!</definedName>
    <definedName name="sdadaa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cds" hidden="1">{"'Assump'!$F$6:$J$6"}</definedName>
    <definedName name="sdf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ass" hidden="1">{"Outflow 1",#N/A,FALSE,"Outflows-Inflows";"Outflow 2",#N/A,FALSE,"Outflows-Inflows";"Inflow 1",#N/A,FALSE,"Outflows-Inflows";"Inflow 2",#N/A,FALSE,"Outflows-Inflows"}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fs" hidden="1">{#N/A,#N/A,FALSE,"96 RENT SUM";#N/A,#N/A,FALSE,"LSGACTSCHED";#N/A,#N/A,FALSE,"Conc. Sched"}</definedName>
    <definedName name="sencount" hidden="1">1</definedName>
    <definedName name="Senior_Payoff_Month">#REF!</definedName>
    <definedName name="Sensitivity" hidden="1">{"mgmt forecast",#N/A,FALSE,"Mgmt Forecast";"dcf table",#N/A,FALSE,"Mgmt Forecast";"sensitivity",#N/A,FALSE,"Mgmt Forecast";"table inputs",#N/A,FALSE,"Mgmt Forecast";"calculations",#N/A,FALSE,"Mgmt Forecast"}</definedName>
    <definedName name="SEV" hidden="1">{#N/A,#N/A,FALSE,"CONTROLE"}</definedName>
    <definedName name="sheet2" hidden="1">{"CF",#N/A,FALSE,"Cash Flow";"RET",#N/A,FALSE,"Returns";"NPV",#N/A,FALSE,"Values";"ASMPT",#N/A,FALSE,"Assumptions"}</definedName>
    <definedName name="shit" hidden="1">{"'Assump'!$F$6:$J$6"}</definedName>
    <definedName name="ShowSP50" hidden="1">#REF!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mp" hidden="1">#NULL!</definedName>
    <definedName name="solver_tol" hidden="1">0.05</definedName>
    <definedName name="solver_typ" hidden="1">3</definedName>
    <definedName name="solver_val" hidden="1">977151308.25</definedName>
    <definedName name="sourcesd" hidden="1">{"Joint Venture Analysis",#N/A,FALSE,"Rossmore"}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S" hidden="1">{"schedule1",#N/A,FALSE,"Sheet1";"schedule2",#N/A,FALSE,"Sheet1";"schedule3",#N/A,FALSE,"Sheet1";"schedule4",#N/A,FALSE,"Sheet1";"schedule5",#N/A,FALSE,"Sheet1";"schedule6",#N/A,FALSE,"Sheet1"}</definedName>
    <definedName name="sssddfgf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sss" hidden="1">{#N/A,#N/A,FALSE,"Adm comp";#N/A,#N/A,FALSE,"Adm ajust";"adm",#N/A,FALSE,"Administration";#N/A,#N/A,FALSE,"Adm Bgt 97 vs Prév. 96";#N/A,#N/A,FALSE,"Adm Bgt 97 vs 96"}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bilization_Date">#REF!</definedName>
    <definedName name="Stabilization_Month">#REF!</definedName>
    <definedName name="Stabilized_First_Full_Year">#REF!</definedName>
    <definedName name="Stadium" hidden="1">{#N/A,#N/A,TRUE,"Ericsson Stadium PCD ";#N/A,#N/A,TRUE,"Ericsson Stadium IOR"}</definedName>
    <definedName name="stadiuma" hidden="1">{#N/A,#N/A,TRUE,"Ericsson Stadium PCD ";#N/A,#N/A,TRUE,"Ericsson Stadium IOR"}</definedName>
    <definedName name="stupid" hidden="1">{"cap_structure",#N/A,FALSE,"Graph-Mkt Cap";"price",#N/A,FALSE,"Graph-Price";"ebit",#N/A,FALSE,"Graph-EBITDA";"ebitda",#N/A,FALSE,"Graph-EBITDA"}</definedName>
    <definedName name="Summary" hidden="1">{#N/A,#N/A,FALSE,"96 RENT SUM";#N/A,#N/A,FALSE,"LSGACTSCHED";#N/A,#N/A,FALSE,"Conc. Sched"}</definedName>
    <definedName name="SUMMARY_BOOK" hidden="1">{"page1",#N/A,FALSE,"GIRLBO";"page2",#N/A,FALSE,"GIRLBO";"page3",#N/A,FALSE,"GIRLBO";"page4",#N/A,FALSE,"GIRLBO";"page5",#N/A,FALSE,"GIRLBO"}</definedName>
    <definedName name="Swvu.activo." hidden="1">#REF!</definedName>
    <definedName name="Swvu.CAM._.RECOVERIES." hidden="1">#REF!</definedName>
    <definedName name="Swvu.CAM._.TABLE." hidden="1">#REF!</definedName>
    <definedName name="Swvu.ingresos." hidden="1">#REF!</definedName>
    <definedName name="Swvu.INSURANCE._.RECOVERIES." hidden="1">#REF!</definedName>
    <definedName name="Swvu.MINIMUM._.RENT." hidden="1">#REF!</definedName>
    <definedName name="Swvu.OCCUPANCY._.ANALYSIS." hidden="1">#REF!</definedName>
    <definedName name="Swvu.PERCENTAGE._.RENT." hidden="1">#REF!</definedName>
    <definedName name="Swvu.TAX._.RECOVERIES." hidden="1">#REF!</definedName>
    <definedName name="Swvu.WAT." hidden="1">#REF!</definedName>
    <definedName name="t" hidden="1">{"Construction Costs",#N/A,FALSE,"Budget";"Income Statement",#N/A,FALSE,"Budget"}</definedName>
    <definedName name="t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Target_LTC">#REF!</definedName>
    <definedName name="taxes" hidden="1">{#N/A,#N/A,FALSE,"96 RENT SUM";#N/A,#N/A,FALSE,"LSGACTSCHED";#N/A,#N/A,FALSE,"Conc. Sched"}</definedName>
    <definedName name="temp" hidden="1">{#N/A,#N/A,FALSE,"96 RENT SUM";#N/A,#N/A,FALSE,"LSGACTSCHED";#N/A,#N/A,FALSE,"Conc. Sched"}</definedName>
    <definedName name="tempshee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st" hidden="1">{"History+Projection+5Comps",#N/A,FALSE,"HISTORY (2)";"$ Per Occupied History+Projection+5Comps",#N/A,FALSE,"HISTORY (2)";"History+Projection",#N/A,FALSE,"HISTORY (2)"}</definedName>
    <definedName name="test1" hidden="1">#REF!</definedName>
    <definedName name="test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e" hidden="1">{#N/A,#N/A,FALSE,"CONTROLE"}</definedName>
    <definedName name="testII" hidden="1">{"History+Projection+5Comps",#N/A,FALSE,"HISTORY (2)";"$ Per Occupied History+Projection+5Comps",#N/A,FALSE,"HISTORY (2)";"History+Projection",#N/A,FALSE,"HISTORY (2)"}</definedName>
    <definedName name="TextRefCopyRangeCount" hidden="1">69</definedName>
    <definedName name="tfrtt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HY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otal_Equity">#REF!</definedName>
    <definedName name="Total_Equity_Monthly">#REF!</definedName>
    <definedName name="tp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rial" hidden="1">{"Outflow 1",#N/A,FALSE,"Outflows-Inflows";"Outflow 2",#N/A,FALSE,"Outflows-Inflows";"Inflow 1",#N/A,FALSE,"Outflows-Inflows";"Inflow 2",#N/A,FALSE,"Outflows-Inflows"}</definedName>
    <definedName name="tt" hidden="1">{#N/A,#N/A,FALSE,"CPresup";#N/A,#N/A,FALSE,"Ana";#N/A,#N/A,FALSE,"Desv";#N/A,#N/A,FALSE,"Ratios";#N/A,#N/A,FALSE,"Tex-Pub";#N/A,#N/A,FALSE,"Tarifas";#N/A,#N/A,FALSE,"ByN";#N/A,#N/A,FALSE,"Promo";#N/A,#N/A,FALSE,"Deleg"}</definedName>
    <definedName name="ttt" hidden="1">{"Outflow 1",#N/A,FALSE,"Outflows-Inflows";"Outflow 2",#N/A,FALSE,"Outflows-Inflows";"Inflow 1",#N/A,FALSE,"Outflows-Inflows";"Inflow 2",#N/A,FALSE,"Outflows-Inflows"}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" hidden="1">{#N/A,#N/A,FALSE,"Centres";#N/A,#N/A,FALSE,"Partenariats";#N/A,#N/A,FALSE,"P.Diverses";#N/A,#N/A,FALSE,"Adm";#N/A,#N/A,FALSE,"Autres R-D";#N/A,#N/A,FALSE,"Intérêts"}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" hidden="1">{#N/A,#N/A,FALSE,"Adm comp";#N/A,#N/A,FALSE,"Adm ajust";"adm",#N/A,FALSE,"Administration";#N/A,#N/A,FALSE,"Adm Bgt 97 vs Prév. 96";#N/A,#N/A,FALSE,"Adm Bgt 97 vs 96"}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ttt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wins" hidden="1">{"Construction Costs",#N/A,FALSE,"Budget";"Income Statement",#N/A,FALSE,"Budget"}</definedName>
    <definedName name="tyj" hidden="1">{#N/A,#N/A,FALSE,"EOAF";#N/A,#N/A,FALSE,"Ingresos";#N/A,#N/A,FALSE,"Rat2";#N/A,#N/A,FALSE,"IFP";#N/A,#N/A,FALSE,"Anexo"}</definedName>
    <definedName name="TYTYT" hidden="1">{#N/A,#N/A,FALSE,"Min compa cad";#N/A,#N/A,FALSE,"Min CAN Equité ";#N/A,#N/A,FALSE,"Analyse can"}</definedName>
    <definedName name="TYU" hidden="1">{#N/A,#N/A,FALSE,"Min compa cad";#N/A,#N/A,FALSE,"Min CAN Equité ";#N/A,#N/A,FALSE,"Analyse can"}</definedName>
    <definedName name="u" hidden="1">{#N/A,#N/A,FALSE,"Min compar us";#N/A,#N/A,FALSE,"Min US Equité ";#N/A,#N/A,FALSE,"Analyse U.S."}</definedName>
    <definedName name="UHT" hidden="1">{#N/A,#N/A,FALSE,"Adm comp";#N/A,#N/A,FALSE,"Adm ajust";"adm",#N/A,FALSE,"Administration";#N/A,#N/A,FALSE,"Adm Bgt 97 vs Prév. 96";#N/A,#N/A,FALSE,"Adm Bgt 97 vs 96"}</definedName>
    <definedName name="UHV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IOYYYUU" hidden="1">{#N/A,#N/A,FALSE,"Min compar us";#N/A,#N/A,FALSE,"Min US Equité ";#N/A,#N/A,FALSE,"Analyse U.S."}</definedName>
    <definedName name="UJK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nitsPopulated" hidden="1">#REF!</definedName>
    <definedName name="uu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u" hidden="1">{#N/A,#N/A,FALSE,"Min compa cad";#N/A,#N/A,FALSE,"Min CAN Equité ";#N/A,#N/A,FALSE,"Analyse can"}</definedName>
    <definedName name="UUUUUU" hidden="1">{#N/A,#N/A,FALSE,"Centres";#N/A,#N/A,FALSE,"Partenariats";#N/A,#N/A,FALSE,"P.Diverses";#N/A,#N/A,FALSE,"Adm";#N/A,#N/A,FALSE,"Autres R-D";#N/A,#N/A,FALSE,"Intérêts"}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T" hidden="1">{#N/A,#N/A,FALSE,"Centres";#N/A,#N/A,FALSE,"Partenariats";#N/A,#N/A,FALSE,"P.Diverses";#N/A,#N/A,FALSE,"Adm";#N/A,#N/A,FALSE,"Autres R-D";#N/A,#N/A,FALSE,"Intérêts"}</definedName>
    <definedName name="v_Key1" hidden="1">#REF!</definedName>
    <definedName name="v_Key2" hidden="1">#REF!</definedName>
    <definedName name="Value.2" hidden="1">{#N/A,#N/A,FALSE,"Cashflow Analysis";#N/A,#N/A,FALSE,"Sensitivity Analysis";#N/A,#N/A,FALSE,"PV";#N/A,#N/A,FALSE,"Pro Forma"}</definedName>
    <definedName name="Value_Stabilized">#REF!</definedName>
    <definedName name="value1.2" hidden="1">{#N/A,#N/A,FALSE,"Cashflow Analysis";#N/A,#N/A,FALSE,"Sensitivity Analysis";#N/A,#N/A,FALSE,"PV";#N/A,#N/A,FALSE,"Pro Forma"}</definedName>
    <definedName name="var96_96" hidden="1">{#N/A,#N/A,FALSE,"B_Spread"}</definedName>
    <definedName name="vc" hidden="1">{#N/A,#N/A,FALSE,"Adm comp";#N/A,#N/A,FALSE,"Adm ajust";"adm",#N/A,FALSE,"Administration";#N/A,#N/A,FALSE,"Adm Bgt 97 vs Prév. 96";#N/A,#N/A,FALSE,"Adm Bgt 97 vs 96"}</definedName>
    <definedName name="VD" hidden="1">{#N/A,#N/A,FALSE,"CONTROLE"}</definedName>
    <definedName name="VE" hidden="1">{#N/A,#N/A,FALSE,"CONTROLE"}</definedName>
    <definedName name="VEEX" hidden="1">{#N/A,#N/A,FALSE,"Centres";#N/A,#N/A,FALSE,"Partenariats";#N/A,#N/A,FALSE,"P.Diverses";#N/A,#N/A,FALSE,"Adm";#N/A,#N/A,FALSE,"Autres R-D";#N/A,#N/A,FALSE,"Intérêts"}</definedName>
    <definedName name="Verify">1</definedName>
    <definedName name="vfrfvf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HU" hidden="1">{#N/A,#N/A,FALSE,"Min compa cad";#N/A,#N/A,FALSE,"Min CAN Equité ";#N/A,#N/A,FALSE,"Analyse can"}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R" hidden="1">{#N/A,#N/A,FALSE,"Centres";#N/A,#N/A,FALSE,"Partenariats";#N/A,#N/A,FALSE,"P.Diverses";#N/A,#N/A,FALSE,"Adm";#N/A,#N/A,FALSE,"Autres R-D";#N/A,#N/A,FALSE,"Intérêts"}</definedName>
    <definedName name="vv" hidden="1">{"mgmt forecast",#N/A,FALSE,"Mgmt Forecast";"dcf table",#N/A,FALSE,"Mgmt Forecast";"sensitivity",#N/A,FALSE,"Mgmt Forecast";"table inputs",#N/A,FALSE,"Mgmt Forecast";"calculations",#N/A,FALSE,"Mgmt Forecast"}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VVVVV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" hidden="1">{"Construction Costs",#N/A,FALSE,"Budget";"Income Statement",#N/A,FALSE,"Budget"}</definedName>
    <definedName name="wafe" hidden="1">{"summary1",#N/A,TRUE,"Comps";"summary2",#N/A,TRUE,"Comps";"summary3",#N/A,TRUE,"Comps"}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QQE" hidden="1">{"summary1",#N/A,TRUE,"Comps";"summary2",#N/A,TRUE,"Comps";"summary3",#N/A,TRUE,"Comps"}</definedName>
    <definedName name="wetadf" hidden="1">{"Assump",#N/A,TRUE,"Proforma";"first",#N/A,TRUE,"Proforma";"second",#N/A,TRUE,"Proforma";"lease1",#N/A,TRUE,"Proforma";"lease2",#N/A,TRUE,"Proforma"}</definedName>
    <definedName name="WEWEW" hidden="1">{#N/A,#N/A,FALSE,"Min compa cad";#N/A,#N/A,FALSE,"Min CAN Equité ";#N/A,#N/A,FALSE,"Analyse can"}</definedName>
    <definedName name="what" hidden="1">{"Summary Including DHC",#N/A,TRUE,"SUMMARY";"Financial Assumptions",#N/A,TRUE,"Financial Assumptions";"Sources &amp; Uses",#N/A,TRUE,"Financial Assumptions";"History &amp; Projection",#N/A,TRUE,"History - Proforma"}</definedName>
    <definedName name="what_asdf2" hidden="1">{#N/A,#N/A,FALSE,"OperatingAssumptions"}</definedName>
    <definedName name="Whatever" hidden="1">#REF!</definedName>
    <definedName name="whatwhat" hidden="1">{"Page1",#N/A,FALSE,"7979";"Page2",#N/A,FALSE,"7979";"Page3",#N/A,FALSE,"7979"}</definedName>
    <definedName name="wh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WIEDJSH" hidden="1">{#N/A,#N/A,FALSE,"Min compa cad";#N/A,#N/A,FALSE,"Min CAN Equité ";#N/A,#N/A,FALSE,"Analyse can"}</definedName>
    <definedName name="WIEUR" hidden="1">{#N/A,#N/A,FALSE,"Min compar us";#N/A,#N/A,FALSE,"Min US Equité ";#N/A,#N/A,FALSE,"Analyse U.S."}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..tt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d.2._.pagers.3" hidden="1">{"Cover",#N/A,FALSE,"Cover";"Summary",#N/A,FALSE,"Summarpage"}</definedName>
    <definedName name="wrn.10._.Year._.Analysis." hidden="1">{"Data Input",#N/A,TRUE,"Data Input";"10-Yr Cash Flow",#N/A,TRUE,"Cash Flow";"10-Yr Value",#N/A,TRUE,"Value "}</definedName>
    <definedName name="wrn.12._.MONTH._.SPREAD.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0W45." hidden="1">{#N/A,#N/A,FALSE,"1";#N/A,#N/A,FALSE,"1x";#N/A,#N/A,FALSE,"2";#N/A,#N/A,FALSE,"2x";#N/A,#N/A,FALSE,"3";#N/A,#N/A,FALSE,"3x"}</definedName>
    <definedName name="wrn.15._.Year._.Analysis." hidden="1">{"Data Input",#N/A,TRUE,"Data Input";"15-Yr Cash Flow",#N/A,TRUE,"Cash Flow";"15-Yr Value",#N/A,TRUE,"Value "}</definedName>
    <definedName name="wrn.1994._.Projected._.Cashflow." hidden="1">{"Debt Analysis",#N/A,FALSE,"Debt Analysis";"Calender Year",#N/A,FALSE,"Project Cash Flows";"Fiscal Year",#N/A,FALSE,"Project Cash Flows"}</definedName>
    <definedName name="wrn.1995._.Analysis." hidden="1">{#N/A,#N/A,FALSE,"1995 Rev &amp; Exp"}</definedName>
    <definedName name="wrn.1996._.analysis." hidden="1">{#N/A,#N/A,FALSE,"1995 Rev &amp; Exp"}</definedName>
    <definedName name="wrn.1998._.Budget.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._.year._.alt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full.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01._.budget.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nd._.Year." hidden="1">{#N/A,#N/A,TRUE,"CF Yr2";#N/A,#N/A,TRUE,"Rent Roll";#N/A,#N/A,TRUE,"Rent Yr2";#N/A,#N/A,TRUE,"Occ Yr2";#N/A,#N/A,TRUE,"TI+Com Yr2";#N/A,#N/A,TRUE,"OER Yr2";#N/A,#N/A,TRUE,"OE Yr2"}</definedName>
    <definedName name="wrn.3._.Year._.Summary." hidden="1">{#N/A,#N/A,FALSE,"3-Year Summary"}</definedName>
    <definedName name="wrn.399." hidden="1">{#N/A,#N/A,FALSE,"A";#N/A,#N/A,FALSE,"C"}</definedName>
    <definedName name="wrn.3rd._.Year." hidden="1">{#N/A,#N/A,FALSE,"CF Yr3";#N/A,#N/A,FALSE,"Rent Roll";#N/A,#N/A,FALSE,"Rent Yr3";#N/A,#N/A,FALSE,"Occ Yr3";#N/A,#N/A,FALSE,"TI+Com Yr3";#N/A,#N/A,FALSE,"OER Yr3";#N/A,#N/A,FALSE,"OE Yr3"}</definedName>
    <definedName name="wrn.3yr.CF." hidden="1">{"assume",#N/A,FALSE,"K&amp;20th Month CF";"MoCF",#N/A,FALSE,"K&amp;20th Month CF";"AnCF",#N/A,FALSE,"K&amp;20th Month CF"}</definedName>
    <definedName name="wrn.98A.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BUDGET.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ess." hidden="1">{"Access",#N/A,FALSE,"Access"}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quisition." hidden="1">{#N/A,#N/A,TRUE,"Title Page";#N/A,#N/A,TRUE,"Executive Summary";#N/A,#N/A,TRUE,"Vacant Space";#N/A,#N/A,TRUE,"Cash Flow";#N/A,#N/A,TRUE,"Residual (Year 10)";#N/A,#N/A,TRUE,"Pricing Matrix";#N/A,#N/A,TRUE,"Vacancy Detail";#N/A,#N/A,TRUE,"Value Matrix";#N/A,#N/A,TRUE,"GI Detail";#N/A,#N/A,TRUE,"Exp Detail"}</definedName>
    <definedName name="wrn.Acquisition_matrix." hidden="1">{"Acq_matrix",#N/A,FALSE,"Acquisition Matrix"}</definedName>
    <definedName name="wrn.Acquisitions." hidden="1">{"One",#N/A,FALSE,"Acquisitions";"Two",#N/A,FALSE,"Acquisitions"}</definedName>
    <definedName name="wrn.adj95." hidden="1">{"adj95mult",#N/A,FALSE,"COMPCO";"adj95est",#N/A,FALSE,"COMPCO"}</definedName>
    <definedName name="wrn.administration." hidden="1">{#N/A,#N/A,FALSE,"Adm comp";#N/A,#N/A,FALSE,"Adm ajust";"adm",#N/A,FALSE,"Administration";#N/A,#N/A,FALSE,"Adm Bgt 97 vs Prév. 96";#N/A,#N/A,FALSE,"Adm Bgt 97 vs 96"}</definedName>
    <definedName name="wrn.ADP3." hidden="1">{#VALUE!,#N/A,TRUE,0;#N/A,#N/A,TRUE,0;#N/A,#N/A,TRUE,0;#N/A,#N/A,TRUE,0}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Budget._.Detail_Forecast." hidden="1">{"All Budget Detail-Forecast",#N/A,FALSE,"Forecast"}</definedName>
    <definedName name="wrn.All._.Budget._.Detail_Reit." hidden="1">{"All Budget Detail-Reit",#N/A,FALSE,"Forecast"}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Non._.Recov._.Op._.Exp_Forecast." hidden="1">{"All Non-Recov. Op. Exp-Forecast",#N/A,FALSE,"Forecast"}</definedName>
    <definedName name="wrn.All._.Non._.Recov._.Op._.Exp_Reit." hidden="1">{"All Non-Recov. Op. Exp-Reit",#N/A,FALSE,"Forecast"}</definedName>
    <definedName name="wrn.ALL._.PAGES.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Rental._.Income_Forecast." hidden="1">{"All Rental Income-Reforecast",#N/A,FALSE,"Forecast"}</definedName>
    <definedName name="wrn.All._.Rental._.Income_Reit." hidden="1">{"All Rental Income-Reit",#N/A,FALSE,"Forecast"}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ortization." hidden="1">{"Exist Debt Amort",#N/A,TRUE,"Financials";"Intangible Amort",#N/A,TRUE,"Financials";"Proj Debt Amort",#N/A,TRUE,"Financials";"Proj Pfd Amort",#N/A,TRUE,"Financials"}</definedName>
    <definedName name="wrn.Annual." hidden="1">{"ANNUAL",#N/A,FALSE,"Summary";"ANNUAL",#N/A,FALSE,"Pro Forma";"ANNUAL",#N/A,FALSE,"Equity"}</definedName>
    <definedName name="wrn.Annual._.Report." hidden="1">{"annual",#N/A,FALSE,"Pro Forma";#N/A,#N/A,FALSE,"Golf Operations"}</definedName>
    <definedName name="wrn.AnnualRentRoll" hidden="1">{"AnnualRentRoll",#N/A,FALSE,"RentRoll"}</definedName>
    <definedName name="wrn.AnnualRentRoll." hidden="1">{"AnnualRentRoll",#N/A,FALSE,"RentRoll"}</definedName>
    <definedName name="wrn.annualrentroll2" hidden="1">{"AnnualRentRoll",#N/A,FALSE,"RentRoll"}</definedName>
    <definedName name="wrn.appendix._.c." hidden="1">{"interim 20",#N/A,TRUE,"Interim";"landsale 20",#N/A,TRUE,"LandSale";"noi 20",#N/A,TRUE,"NOI";"bldg sale 20",#N/A,TRUE,"BldgSale";"aff hsg",#N/A,TRUE,"AffHsg"}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QUIROR._.DCF." hidden="1">{"AQUIRORDCF",#N/A,FALSE,"Merger consequences";"Acquirorassns",#N/A,FALSE,"Merger consequences"}</definedName>
    <definedName name="wrn.Arena._.PCD." hidden="1">{#N/A,#N/A,TRUE,"Maritime Park Arena PCD";#N/A,#N/A,TRUE,"Maritime Park Arena IOR"}</definedName>
    <definedName name="wrn.Asset._.Management." hidden="1">{#N/A,#N/A,FALSE,"ASSET MGMT."}</definedName>
    <definedName name="wrn.Assumptions." hidden="1">{"Assumptions",#N/A,FALSE,"Assum"}</definedName>
    <definedName name="wrn.Auto._.Comp." hidden="1">{#N/A,#N/A,FALSE,"Sheet1"}</definedName>
    <definedName name="wrn.B._.Spread._.Worksheet._.Summary.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._.sheet." hidden="1">{"bs",#N/A,FALSE,"SCF"}</definedName>
    <definedName name="wrn.Balance_Sheet." hidden="1">{"One",#N/A,FALSE,"Balance Sheet"}</definedName>
    <definedName name="wrn.Balcor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nk." hidden="1">{#N/A,#N/A,TRUE,"Execsum";#N/A,#N/A,TRUE,"Summary";#N/A,#N/A,TRUE,"Budget";#N/A,#N/A,TRUE,"Cashflow";#N/A,#N/A,TRUE,"Cashflow (level)"}</definedName>
    <definedName name="wrn.Base._.Case._.Print.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hidden="1">{#N/A,#N/A,FALSE}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b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nds." hidden="1">{#N/A,#N/A,FALSE,"Bonds - Consol";#N/A,#N/A,FALSE,"Bonds - Lakes";#N/A,#N/A,FALSE,"Bonds - Chabot";#N/A,#N/A,FALSE,"Bonds - Diablo"}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th._.Outputs." hidden="1">{"LTV Output",#N/A,FALSE,"Output";"DCR Output",#N/A,FALSE,"Output"}</definedName>
    <definedName name="wrn.BOV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T._.Report." hidden="1">{#N/A,#N/A,FALSE,"BTCostSummary";#N/A,#N/A,FALSE,"Finance";#N/A,#N/A,FALSE,"Land";"Construction with Retention",#N/A,FALSE,"Construction";#N/A,#N/A,FALSE,"BTA&amp;E";#N/A,#N/A,FALSE,"Indirect"}</definedName>
    <definedName name="wrn.bud98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." hidden="1">{"Budget",#N/A,FALSE,"2033K-R6"}</definedName>
    <definedName name="wrn.BUDGET._.PACKAGE.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budget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llshit1." hidden="1">{#N/A,#N/A,FALSE,"Sheet1";#N/A,#N/A,FALSE,"Summary";#N/A,#N/A,FALSE,"proj1";#N/A,#N/A,FALSE,"proj2"}</definedName>
    <definedName name="wrn.CAM._.Allocation." hidden="1">{"CAM_Summary",#N/A,FALSE,"CAM Allocation";"CAM1",#N/A,FALSE,"CAM Allocation";"CAM2",#N/A,FALSE,"CAM Allocation";"CAM3",#N/A,FALSE,"CAM Allocation"}</definedName>
    <definedName name="wrn.Capital._.Expenditures." hidden="1">{"Commission Cost",#N/A,FALSE,"Capital Expenditures";"Tenant Improvements",#N/A,FALSE,"Capital Expenditures"}</definedName>
    <definedName name="wrn.Capital_Increm.." hidden="1">{#N/A,#N/A,FALSE,"Capital-Incremental"}</definedName>
    <definedName name="wrn.Capital_Nonincre.." hidden="1">{#N/A,#N/A,FALSE,"Capital-Nonincremental"}</definedName>
    <definedName name="wrn.CAPREIT." hidden="1">{#N/A,#N/A,FALSE,"CAPREIT"}</definedName>
    <definedName name="wrn.CAPREIT2" hidden="1">{#N/A,#N/A,FALSE,"CAPREIT"}</definedName>
    <definedName name="wrn.Cash." hidden="1">{"Cash_detail",#N/A,FALSE,"Cash";"Cash_summary",#N/A,FALSE,"Cash";"Cash_adjustments",#N/A,FALSE,"Cash";"Cash_reconciliation",#N/A,FALSE,"Cash";"Cash_Variance",#N/A,FALSE,"Cash"}</definedName>
    <definedName name="wrn.Cash._.Flow.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_.Anal.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._.Summary." hidden="1">{"Cash Flow Summary",#N/A,FALSE,"CashFlowSummary";"Finance Cash Flow Summary",#N/A,FALSE,"FinanceCashFlow";"Equity Cash Flow Summary",#N/A,FALSE,"EquityReturns"}</definedName>
    <definedName name="wrn.CASH._.FLOWS._.ONLY." hidden="1">{#N/A,#N/A,FALSE,"Assumptions";#N/A,#N/A,FALSE,"Consol CF";#N/A,#N/A,FALSE,"Hacienda CF";#N/A,#N/A,FALSE,"Chabot CF";#N/A,#N/A,FALSE,"Diablo CF"}</definedName>
    <definedName name="wrn.cash.both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ash_Flow." hidden="1">{"One",#N/A,FALSE,"Cash Flow Statement"}</definedName>
    <definedName name="wrn.CashFlow._.Budget.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CC." hidden="1">{#N/A,#N/A,FALSE,"A";#N/A,#N/A,FALSE,"B"}</definedName>
    <definedName name="wrn.CCC._.OPEX.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D." hidden="1">{"CD1",#N/A,TRUE,"C-D (R)";"CD2",#N/A,TRUE,"C-D (R)"}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s." hidden="1">{"Checks",#N/A,FALSE,"Checks"}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mcgest." hidden="1">{#N/A,#N/A,FALSE,"CPresup";#N/A,#N/A,FALSE,"Ana";#N/A,#N/A,FALSE,"Desv";#N/A,#N/A,FALSE,"Ratios";#N/A,#N/A,FALSE,"Tex-Pub";#N/A,#N/A,FALSE,"Tarifas";#N/A,#N/A,FALSE,"ByN";#N/A,#N/A,FALSE,"Promo";#N/A,#N/A,FALSE,"Deleg"}</definedName>
    <definedName name="wrn.cmdirgen." hidden="1">{#N/A,#N/A,FALSE,"Res.Eco.";#N/A,#N/A,FALSE,"ReMen";#N/A,#N/A,FALSE,"ABCe"}</definedName>
    <definedName name="wrn.cmdisrb." hidden="1">{#N/A,#N/A,FALSE,"Mes";#N/A,#N/A,FALSE,"Desv";#N/A,#N/A,FALSE,"ABCM";#N/A,#N/A,FALSE,"ABCS";#N/A,#N/A,FALSE,"BYN";#N/A,#N/A,FALSE,"Ranking";#N/A,#N/A,FALSE,"Coste Distr.";#N/A,#N/A,FALSE,"Incid";#N/A,#N/A,FALSE,"EjAtr";#N/A,#N/A,FALSE,"Atípico";#N/A,#N/A,FALSE,"P.Cero"}</definedName>
    <definedName name="wrn.cmfinan." hidden="1">{#N/A,#N/A,FALSE,"EOAF";#N/A,#N/A,FALSE,"Ingresos";#N/A,#N/A,FALSE,"Rat2";#N/A,#N/A,FALSE,"IFP";#N/A,#N/A,FALSE,"Anexo"}</definedName>
    <definedName name="wrn.CMINFORM." hidden="1">{#N/A,#N/A,FALSE,"Ratios";#N/A,#N/A,FALSE,"Proy"}</definedName>
    <definedName name="wrn.cmprod." hidden="1">{#N/A,#N/A,FALSE,"Even";#N/A,#N/A,FALSE,"Hora";#N/A,#N/A,FALSE,"Bobinas";#N/A,#N/A,FALSE,"Paro";#N/A,#N/A,FALSE,"Perd";#N/A,#N/A,FALSE,"Color";#N/A,#N/A,FALSE,"Exter";#N/A,#N/A,FALSE,"ConsMes"}</definedName>
    <definedName name="wrn.cmproduc." hidden="1">{#N/A,#N/A,FALSE,"Ratios";#N/A,#N/A,FALSE,"Graf";#N/A,#N/A,FALSE,"Tirada";#N/A,#N/A,FALSE,"Desviaciones";#N/A,#N/A,FALSE,"Perdido"}</definedName>
    <definedName name="wrn.CMPUB." hidden="1">{#N/A,#N/A,FALSE,"Mes";#N/A,#N/A,FALSE,"desviac";#N/A,#N/A,FALSE,"Pesetas";#N/A,#N/A,FALSE,"Páginas";#N/A,#N/A,FALSE,"Encarte";#N/A,#N/A,FALSE,"Sectores"}</definedName>
    <definedName name="wrn.color." hidden="1">{#N/A,#N/A,FALSE,"IFP";#N/A,#N/A,FALSE,"Tesor";#N/A,#N/A,FALSE,"GBce";#N/A,#N/A,FALSE,"Perso";#N/A,#N/A,FALSE,"GPers";#N/A,#N/A,FALSE,"Papel";#N/A,#N/A,FALSE,"GPap";#N/A,#N/A,FALSE,"Gasto";#N/A,#N/A,FALSE,"GGast";#N/A,#N/A,FALSE,"Dif.Dist.Pub";#N/A,#N/A,FALSE,"GDif";#N/A,#N/A,FALSE,"Ingre";#N/A,#N/A,FALSE,"GIngr";#N/A,#N/A,FALSE,"GBAI";#N/A,#N/A,FALSE,"Res.Eco.";#N/A,#N/A,FALSE,"GSituac"}</definedName>
    <definedName name="wrn.COM." hidden="1">{"COM",#N/A,FALSE,"800 10th"}</definedName>
    <definedName name="wrn.COM2" hidden="1">{"COM",#N/A,FALSE,"800 10th"}</definedName>
    <definedName name="wrn.COMBINED." hidden="1">{#N/A,#N/A,FALSE,"Page 2";#N/A,#N/A,FALSE,"Page 1A";#N/A,#N/A,FALSE,"Page 1B";#N/A,#N/A,FALSE,"FCE Returns";#N/A,#N/A,FALSE,"ExecSum";#N/A,#N/A,FALSE,"Budget";#N/A,#N/A,FALSE,"Summary1";#N/A,#N/A,FALSE,"Lease Summary";#N/A,#N/A,FALSE,"CashFlow";#N/A,#N/A,FALSE,"Year1 Cash Flow";#N/A,#N/A,FALSE,"Page 3";#N/A,#N/A,FALSE,"Page 4";#N/A,#N/A,FALSE,"Carry"}</definedName>
    <definedName name="wrn.comco." hidden="1">{"all",#N/A,FALSE,"Compco";"summary",#N/A,FALSE,"Compco"}</definedName>
    <definedName name="wrn.COMLAWTC." hidden="1">{"Commish",#N/A,FALSE,"LAWTC"}</definedName>
    <definedName name="wrn.COMLAWTC2" hidden="1">{"Commish",#N/A,FALSE,"LAWTC"}</definedName>
    <definedName name="wrn.Commissions." hidden="1">{"Commisions",#N/A,FALSE,"2033K-R6"}</definedName>
    <definedName name="wrn.compco." hidden="1">{"page1",#N/A,FALSE,"BHCOMPC5";"page2",#N/A,FALSE,"BHCOMPC5";"page3",#N/A,FALSE,"BHCOMPC5";"page4",#N/A,FALSE,"BHCOMPC5"}</definedName>
    <definedName name="wrn.Competitive._.Set._.Information." hidden="1">{"Competitive Set Info",#N/A,FALSE,"Competitive Set";"YTD Information",#N/A,FALSE,"Competitive Set YTD"}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Cash._.Flow._.Summary." hidden="1">{"Cash Flow Summary",#N/A,TRUE,"CashFlowSummary";"Finance Cash Flow Summary",#N/A,TRUE,"FinanceCashFlow";"Equity Cash Flow Summary",#N/A,TRUE,"EquityReturns";"LeaseUp Cash Flow Summary",#N/A,TRUE,"LeaseUp";"Land Cash Flow Summary",#N/A,TRUE,"LandCashFlow";"Construction Cash Flow Summary",#N/A,TRUE,"ConstCashFlow";"A&amp;E Cash Flow Summary",#N/A,TRUE,"A&amp;ECashFlow";"Indirect Cash Flow Summary",#N/A,TRUE,"IndirectCashFlow";"G&amp;A Cash Flow Summary",#N/A,TRUE,"G&amp;ACashFlow";"Marketing Cash Flow Summary",#N/A,TRUE,"MarketingCashFlow"}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ejo." hidden="1">{#N/A,#N/A,FALSE,"GSituac";#N/A,#N/A,FALSE,"Res.Eco.";#N/A,#N/A,FALSE,"GBAI";#N/A,#N/A,FALSE,"Real 96";#N/A,#N/A,FALSE,"Pto 96";#N/A,#N/A,FALSE,"Real 95";#N/A,#N/A,FALSE,"GIngr";#N/A,#N/A,FALSE,"Ingre";#N/A,#N/A,FALSE,"GDif";#N/A,#N/A,FALSE,"Dif.Dist.Pub";#N/A,#N/A,FALSE,"GGast";#N/A,#N/A,FALSE,"Gasto";#N/A,#N/A,FALSE,"GPap";#N/A,#N/A,FALSE,"Papel";#N/A,#N/A,FALSE,"GPers";#N/A,#N/A,FALSE,"Perso";#N/A,#N/A,FALSE,"GBce";#N/A,#N/A,FALSE,"Tesor";#N/A,#N/A,FALSE,"IFP";#N/A,#N/A,FALSE,"Grupo"}</definedName>
    <definedName name="wrn.conso.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ntribution." hidden="1">{#N/A,#N/A,FALSE,"Contribution Analysis"}</definedName>
    <definedName name="wrn.contribution.1" hidden="1">{#N/A,#N/A,FALSE,"Contribution Analysis"}</definedName>
    <definedName name="wrn.Control._.Sheet." hidden="1">{#N/A,#N/A,FALSE,"CONTROL"}</definedName>
    <definedName name="wrn.Core." hidden="1">{#N/A,#N/A,FALSE,"Summary";#N/A,#N/A,FALSE,"Summary (2)";#N/A,#N/A,FALSE,"100 Wall (ll)";#N/A,#N/A,FALSE,"100 Wall (pj)";#N/A,#N/A,FALSE,"88 Pine (ll)";#N/A,#N/A,FALSE,"88 Pine (pj)";#N/A,#N/A,FALSE,"1 WTC (ll)";#N/A,#N/A,FALSE,"1 WTC (pj)"}</definedName>
    <definedName name="wrn.Corporate." hidden="1">{"One",#N/A,FALSE,"Corporate"}</definedName>
    <definedName name="wrn.Cost._.Report." hidden="1">{#N/A,#N/A,TRUE,"CostSumm";#N/A,#N/A,TRUE,"Land";#N/A,#N/A,TRUE,"Construction";#N/A,#N/A,TRUE,"A&amp;E";#N/A,#N/A,TRUE,"Indirect";#N/A,#N/A,TRUE,"Marketing";#N/A,#N/A,TRUE,"Finance";#N/A,#N/A,TRUE,"Gen and Admin"}</definedName>
    <definedName name="wrn.Cost._.Schedules." hidden="1">{#N/A,#N/A,TRUE,"CNST SCHD";#N/A,#N/A,TRUE,"TI SCHD";#N/A,#N/A,TRUE,"COM SCHD";#N/A,#N/A,TRUE,"LU INT-FFO SCHD"}</definedName>
    <definedName name="wrn.cotop." hidden="1">{"ReportTop",#N/A,FALSE,"report top"}</definedName>
    <definedName name="wrn.Credit._.Summary." hidden="1">{#N/A,#N/A,FALSE,"CREDIT"}</definedName>
    <definedName name="wrn.Crossings." hidden="1">{"One",#N/A,FALSE,"Crossings";"Two",#N/A,FALSE,"Crossings";"Three",#N/A,FALSE,"Crossings";"Fous",#N/A,FALSE,"Crossings";"Five",#N/A,FALSE,"Crossings"}</definedName>
    <definedName name="wrn.crossroads." hidden="1">{#N/A,#N/A,FALSE,"RENT ROLL";#N/A,#N/A,FALSE,"CAM";#N/A,#N/A,FALSE,"TAXES";#N/A,#N/A,FALSE,"INSURANCE";#N/A,#N/A,FALSE,"HVAC";#N/A,#N/A,FALSE,"MARKETING"}</definedName>
    <definedName name="wrn.csc." hidden="1">{"orixcsc",#N/A,FALSE,"ORIX CSC";"orixcsc2",#N/A,FALSE,"ORIX CSC"}</definedName>
    <definedName name="wrn.csc.1" hidden="1">{"orixcsc",#N/A,FALSE,"ORIX CSC";"orixcsc2",#N/A,FALSE,"ORIX CSC"}</definedName>
    <definedName name="wrn.csc.3" hidden="1">{#N/A,#N/A,FALSE,"ORIX CSC"}</definedName>
    <definedName name="wrn.csc2." hidden="1">{#N/A,#N/A,FALSE,"ORIX CSC"}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data." hidden="1">{"data",#N/A,FALSE,"INPUT"}</definedName>
    <definedName name="wrn.data5" hidden="1">{"data",#N/A,FALSE,"INPUT"}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hidden="1">{"qchm_dcf",#N/A,FALSE,"QCHMDCF2";"qchm_terminal",#N/A,FALSE,"QCHMDCF2"}</definedName>
    <definedName name="wrn.DCR._.Output." hidden="1">{"DCR Output",#N/A,FALSE,"Output"}</definedName>
    <definedName name="wrn.Depreciation." hidden="1">{"One",#N/A,FALSE,"Depreciation"}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ed._.Partnership._.Returns._.Leveraged." hidden="1">{"Return Analysis - Leveraged",#N/A,FALSE,"Return Analysis - Leveraged"}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" hidden="1">{"Construction Costs",#N/A,FALSE,"Budget";"Income Statement",#N/A,FALSE,"Budget"}</definedName>
    <definedName name="wrn.Development._.Budget." hidden="1">{"Year 1",#N/A,FALSE,"Budget";"Year 2",#N/A,FALSE,"Budget";"Year 3",#N/A,FALSE,"Budget";"Year 4",#N/A,FALSE,"Budget"}</definedName>
    <definedName name="wrn.Development2" hidden="1">{"Construction Costs",#N/A,FALSE,"Budget";"Income Statement",#N/A,FALSE,"Budget"}</definedName>
    <definedName name="wrn.DRAFT2.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tl.schedules" hidden="1">{"ACCOUNT DETAIL",#N/A,FALSE,"SCHEDULE E";"ACCOUNT DETAIL",#N/A,FALSE,"SCHEDULE G";"ACCOUNT DETAIL",#N/A,FALSE,"SCHEDULE H";"ACCOUNT DETAIL",#N/A,FALSE,"SCHEDULE I"}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bit." hidden="1">{"Ebit_detail",#N/A,FALSE,"P&amp;L";"Ebit_division_direct",#N/A,FALSE,"P&amp;L";"Ebit_indirect_allocation",#N/A,FALSE,"P&amp;L";"Ebit_division_indirect",#N/A,FALSE,"P&amp;L";"Ebit_Variance",#N/A,FALSE,"P&amp;L"}</definedName>
    <definedName name="wrn.EC1." hidden="1">{"eca",#N/A,TRUE,"E-C1 (R)";"ecb",#N/A,TRUE,"E-C1 (R)"}</definedName>
    <definedName name="wrn.Economic._.Value._.Added._.Analysis." hidden="1">{"EVA",#N/A,FALSE,"EVA";"WACC",#N/A,FALSE,"WACC"}</definedName>
    <definedName name="wrn.ED." hidden="1">{"ed1",#N/A,TRUE,"E-D";"ed2",#N/A,TRUE,"E-D"}</definedName>
    <definedName name="wrn.Engineering." hidden="1">{#N/A,#N/A,FALSE,"ENGINEERING"}</definedName>
    <definedName name="wrn.ENTIRE.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.Package." hidden="1">{"Summary",#N/A,FALSE,"Assumptions";"Development 1 2",#N/A,FALSE,"Budget";"Operating Income",#N/A,FALSE,"Budget"}</definedName>
    <definedName name="wrn.Environmental." hidden="1">{#N/A,#N/A,FALSE,"ENVIRONMENTAL"}</definedName>
    <definedName name="wrn.equity." hidden="1">{#N/A,#N/A,FALSE,"Cover";#N/A,#N/A,FALSE,"Equity Sum";#N/A,#N/A,FALSE,"Constr Phase";#N/A,#N/A,FALSE,"Graph";#N/A,#N/A,FALSE,"Proforma";#N/A,#N/A,FALSE,"SQFT";#N/A,#N/A,FALSE,"TDC";#N/A,#N/A,FALSE,"Loan";#N/A,#N/A,FALSE,"Start Costs";#N/A,#N/A,FALSE,"Oper Exp";#N/A,#N/A,FALSE,"Grid"}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cavation." hidden="1">{"excavation",#N/A,FALSE,"DETAIL.XLS"}</definedName>
    <definedName name="wrn.EXCLUHGLT." hidden="1">{#N/A,#N/A,FALSE,"Centres";#N/A,#N/A,FALSE,"Partenariats";#N/A,#N/A,FALSE,"P.Diverses";#N/A,#N/A,FALSE,"Adm";#N/A,#N/A,FALSE,"Autres R-D";#N/A,#N/A,FALSE,"Intérêts"}</definedName>
    <definedName name="wrn.Exec._.Summary." hidden="1">{#N/A,#N/A,FALSE,"Index"}</definedName>
    <definedName name="wrn.Exhibits." hidden="1">{#N/A,#N/A,FALSE,"Historical";#N/A,#N/A,FALSE,"Adjusted";#N/A,#N/A,FALSE,"CAM Alloc.";#N/A,#N/A,FALSE,"Projected CAM"}</definedName>
    <definedName name="wrn.ExitAndSalesAssumptions." hidden="1">{#N/A,#N/A,FALSE,"ExitStratigy"}</definedName>
    <definedName name="wrn.EXPENSE." hidden="1">{#N/A,#N/A,FALSE,"Common Area Accrual";#N/A,#N/A,FALSE,"Unit One LaSalle";#N/A,#N/A,FALSE,"Unit One CW";#N/A,#N/A,FALSE,"Unit One LaSallle + C &amp; W";#N/A,#N/A,FALSE,"Consolidated Accrual"}</definedName>
    <definedName name="wrn.Expense._.Detail." hidden="1">{#N/A,#N/A,FALSE,"Common Area Accrual";#N/A,#N/A,FALSE,"Unit One LaSalle";#N/A,#N/A,FALSE,"Unit One CW";#N/A,#N/A,FALSE,"Unit One LaSalle + C &amp; W";#N/A,#N/A,FALSE,"Consolidated Accrual"}</definedName>
    <definedName name="wrn.Expense._.Schedules." hidden="1">{"Expense Schedules",#N/A,FALSE,"Expense Schedules"}</definedName>
    <definedName name="wrn.Exterior._.Wall." hidden="1">{#N/A,#N/A,FALSE,"Paramters";"print range",#N/A,FALSE,"GSF.XLS";"exterior wall",#N/A,FALSE,"DETAIL.XLS"}</definedName>
    <definedName name="wrn.External.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FCB." hidden="1">{"FCB_ALL",#N/A,FALSE,"FCB"}</definedName>
    <definedName name="wrn.fcb2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I1CF." hidden="1">{#N/A,#N/A,FALSE,"NO.1"}</definedName>
    <definedName name="wrn.FCRP." hidden="1">{#N/A,#N/A,FALSE,"FCRP EQUITY BAL BY PROJECT";#N/A,#N/A,FALSE,"TB Variance (2)"}</definedName>
    <definedName name="wrn.FCRP._.STRATEGIC._.PLAN.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2." hidden="1">{"Reconciliation",#N/A,FALSE,"Rec";"Ebit_detail",#N/A,FALSE,"P&amp;L";"Cash_summary",#N/A,FALSE,"Cash"}</definedName>
    <definedName name="wrn.Financial._.Reports." hidden="1">{#N/A,#N/A,FALSE,"Overview";#N/A,#N/A,FALSE,"santafe";#N/A,#N/A,FALSE,"noble";#N/A,#N/A,FALSE,"Combined Results";#N/A,#N/A,FALSE,"Earnings"}</definedName>
    <definedName name="wrn.Financial._.Statements." hidden="1">{#N/A,#N/A,FALSE,"BS";#N/A,#N/A,FALSE,"IS";#N/A,#N/A,FALSE,"CF";#N/A,#N/A,FALSE,"EXP";#N/A,#N/A,FALSE,"FURN";#N/A,#N/A,FALSE,"MANNOI"}</definedName>
    <definedName name="wrn.Financials." hidden="1">{"Inc Stmt",#N/A,TRUE,"Financials";"Common Size",#N/A,TRUE,"Financials";"BS Assets",#N/A,TRUE,"Financials";"BS Liabilities",#N/A,TRUE,"Financials";"Cash Flow Stmt",#N/A,TRUE,"Financials";"DCF",#N/A,TRUE,"Financials"}</definedName>
    <definedName name="wrn.Financing." hidden="1">{"One",#N/A,FALSE,"Financing";"Two",#N/A,FALSE,"Financing";"Three",#N/A,FALSE,"Financing";"Four",#N/A,FALSE,"Financing"}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et." hidden="1">{"FleetDetailsNE",#N/A,FALSE,"NEForecast"}</definedName>
    <definedName name="wrn.Fmgmtfee." hidden="1">{#N/A,#N/A,FALSE,"Fmgmtfee"}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schedules." hidden="1">{"FOschedule1",#N/A,FALSE,"Sheet1";"FOschedule2",#N/A,FALSE,"Sheet1";"FOschedule3",#N/A,FALSE,"Sheet1"}</definedName>
    <definedName name="wrn.Fredrik." hidden="1">{#N/A,#N/A,TRUE,"Title Page";#N/A,#N/A,TRUE,"Executive Summary";#N/A,#N/A,TRUE,"Assumptions";#N/A,#N/A,TRUE,"Narrative Assumptions";#N/A,#N/A,TRUE,"Vacant Space";#N/A,#N/A,TRUE,"2nd Generation";#N/A,#N/A,TRUE,"Cash Flow";#N/A,#N/A,TRUE,"Residual (Year 10)";#N/A,#N/A,TRUE,"Residual (Year 20)";#N/A,#N/A,TRUE,"Pricing Matrix";#N/A,#N/A,TRUE,"Expiration Schedule";#N/A,#N/A,TRUE,"Expiration Graph ";#N/A,#N/A,TRUE,"Vacancy Detail";#N/A,#N/A,TRUE,"Value Matrix";#N/A,#N/A,TRUE,"Value Matrix (2)";#N/A,#N/A,TRUE,"GI Detail";#N/A,#N/A,TRUE,"ALease-up Schedule";#N/A,#N/A,TRUE,"Exp Detail";#N/A,#N/A,TRUE,"Exp Analysis Fixed-Var";#N/A,#N/A,TRUE,"Capital Plan"}</definedName>
    <definedName name="wrn.Full." hidden="1">{#N/A,#N/A,FALSE,"ExecutiveSummary";#N/A,#N/A,FALSE,"CostDetail";#N/A,#N/A,FALSE,"IncomeDetail";#N/A,#N/A,FALSE,"InterestCalculation"}</definedName>
    <definedName name="wrn.Full._.Budget.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COMPARISON." hidden="1">{"Full Sheet",#N/A,FALSE,"Expense Comparison"}</definedName>
    <definedName name="wrn.Full._.Print.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un." hidden="1">{#N/A,#N/A,FALSE,"Summary";#N/A,#N/A,FALSE,"Remaining Obligation";#N/A,#N/A,FALSE,"Sublease Income";#N/A,#N/A,FALSE,"New Lease"}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Garage." hidden="1">{#N/A,#N/A,FALSE,"Garage Assumpt 1";#N/A,#N/A,FALSE,"Garage Op Proj";#N/A,#N/A,FALSE,"Hist I&amp;E";#N/A,#N/A,FALSE,"Garage Lease"}</definedName>
    <definedName name="wrn.Gen_Misc._.Input." hidden="1">{"General Input",#N/A,FALSE,"General Info";"Miscellaneous Input",#N/A,FALSE,"General Info"}</definedName>
    <definedName name="wrn.General." hidden="1">{"Balance",#N/A,FALSE,"General Assumptions";"Cost",#N/A,FALSE,"General Assumptions";"Working",#N/A,FALSE,"General Assumptions"}</definedName>
    <definedName name="wrn.global.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o._.Support._.Documents.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ross._.up." hidden="1">{#N/A,#N/A,FALSE,"Gross-Up"}</definedName>
    <definedName name="wrn.Ground._.Lease._.Analysis." hidden="1">{#N/A,#N/A,TRUE,"OVERVIEW";#N/A,#N/A,TRUE,"ABSTRACT";#N/A,#N/A,TRUE,"CASH FLOW";#N/A,#N/A,TRUE,"CASH FLOW SUMMARY";#N/A,#N/A,TRUE,"NPV ANALYSIS"}</definedName>
    <definedName name="wrn.GSA._.PRINT." hidden="1">{#N/A,#N/A,FALSE,"DEV COSTS";#N/A,#N/A,FALSE,"10-YR C. F."}</definedName>
    <definedName name="wrn.gsa._PRINT5" hidden="1">{#N/A,#N/A,FALSE,"DEV COSTS";#N/A,#N/A,FALSE,"10-YR C. F."}</definedName>
    <definedName name="wrn.Gund._.Arena._.PCD." hidden="1">{#N/A,#N/A,TRUE,"Gund Arena PCD";#N/A,#N/A,TRUE,"Gund Arena IOR"}</definedName>
    <definedName name="wrn.Hanover._.Portfolio._.Info..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EAT." hidden="1">{#N/A,#N/A,FALSE,"Heat";#N/A,#N/A,FALSE,"DCF";#N/A,#N/A,FALSE,"LBO";#N/A,#N/A,FALSE,"A";#N/A,#N/A,FALSE,"C";#N/A,#N/A,FALSE,"impd";#N/A,#N/A,FALSE,"Accr-Dilu"}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ical._.Analysis." hidden="1">{#N/A,#N/A,FALSE,"HISTORICAL REV &amp; EXP"}</definedName>
    <definedName name="wrn.Historical._.Rev._.Exp." hidden="1">{#N/A,#N/A,FALSE,"Historical Rev &amp; Exp"}</definedName>
    <definedName name="wrn.History._.Proforma." hidden="1">{"History &amp; Projection",#N/A,FALSE,"History - Proforma"}</definedName>
    <definedName name="wrn.History._.Projection._.Comps.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rizon._.Bay." hidden="1">{"NOI Annual",#N/A,FALSE,"NOI";"NOI 2002",#N/A,FALSE,"NOI";"NOI 2003",#N/A,FALSE,"NOI";"NOI 2004",#N/A,FALSE,"NOI";"NOI 2005",#N/A,FALSE,"NOI";"NOI 2006",#N/A,FALSE,"NOI";"NOI (not annualized)",#N/A,FALSE,"NOI";"Routine CAPEX 2002",#N/A,FALSE,"Routine CAPEX";"Routine CAPEX Inputs",#N/A,FALSE,"Routine CAPEX Inputs";"Routine CAPEX 2003",#N/A,FALSE,"Routine CAPEX";"Routine CAPEX 2004",#N/A,FALSE,"Routine CAPEX";"Routine CAPEX 2005",#N/A,FALSE,"Routine CAPEX";"Routine CAPEX 2006",#N/A,FALSE,"Routine CAPEX";"Routine CAPEX Per Room",#N/A,FALSE,"Routine CAPEX";"Routine CAPEX Annual",#N/A,FALSE,"Routine CAPEX";"Reno Summary",#N/A,FALSE,"Reno CAPEX";"Reno 2002",#N/A,FALSE,"Reno CAPEX";"Reno 2003",#N/A,FALSE,"Reno CAPEX";"Reno 2004",#N/A,FALSE,"Reno CAPEX";"Reno Annual",#N/A,FALSE,"Reno CAPEX";"Unlev CF 2002",#N/A,FALSE,"Unlev CF";"Unlev CF 2003",#N/A,FALSE,"Unlev CF";"UNlev CF 2004",#N/A,FALSE,"Unlev CF";"Unlev CF 2005",#N/A,FALSE,"Unlev CF";"Unlev CF 2006",#N/A,FALSE,"Unlev CF";"Lease 2002",#N/A,FALSE,"Leases";"Leases 2003",#N/A,FALSE,"Leases";"Leases 2004",#N/A,FALSE,"Leases";"Leases 2005",#N/A,FALSE,"Leases";"Leases 2006",#N/A,FALSE,"Leases";"Lease Pay 2002",#N/A,FALSE,"Leases";"Lease Pay 2003",#N/A,FALSE,"Leases";"Lease Pay 2004",#N/A,FALSE,"Leases";"Lease Pay 2005",#N/A,FALSE,"Leases";"Lease Pay 2006",#N/A,FALSE,"Leases";"Lease Annual",#N/A,FALSE,"Leases";"Lease Pay Summary",#N/A,FALSE,"Leases";"Escrows 2002",#N/A,FALSE,"Escrows";"Escrows 2003",#N/A,FALSE,"Escrows";"Escrows 2004",#N/A,FALSE,"Escrows";"Escrows 2005",#N/A,FALSE,"Escrows";"Escrows 2006",#N/A,FALSE,"Escrows";"Escrows Summary",#N/A,FALSE,"Escrows";"Con Paydown 2002",#N/A,FALSE,"Consolidated Debt";"Con Interest 2002",#N/A,FALSE,"Consolidated Debt";"Con Paydown 2003",#N/A,FALSE,"Consolidated Debt";"Con Interest 2003",#N/A,FALSE,"Consolidated Debt";"Con Paydown 2004",#N/A,FALSE,"Consolidated Debt";"Con Interest 2004",#N/A,FALSE,"Consolidated Debt";"GDP Summary",#N/A,FALSE,"GDP";"GDP 2002",#N/A,FALSE,"GDP";"GDP 2003",#N/A,FALSE,"GDP";"GDP 2004",#N/A,FALSE,"GDP";"GDP 2005",#N/A,FALSE,"GDP";"GDP 2006",#N/A,FALSE,"GDP";"WH CF 2002",#N/A,FALSE,"WH Lev CF";"WH CF 2003",#N/A,FALSE,"WH Lev CF";"WH CF 2004",#N/A,FALSE,"WH Lev CF";"WH CF 2005",#N/A,FALSE,"WH Lev CF";"Wh CF 2006",#N/A,FALSE,"WH Lev CF";"levCF2002",#N/A,FALSE,"WH Lev CF";"levCF2003",#N/A,FALSE,"WH Lev CF";"levCF2004",#N/A,FALSE,"WH Lev CF";"levCF2005",#N/A,FALSE,"WH Lev CF";"levCF2006",#N/A,FALSE,"WH Lev CF"}</definedName>
    <definedName name="wrn.Hyatt._.Report." hidden="1">{"History+Projection+5Comps",#N/A,FALSE,"HISTORY (2)";"$ Per Occupied History+Projection+5Comps",#N/A,FALSE,"HISTORY (2)";"History+Projection",#N/A,FALSE,"HISTORY (2)"}</definedName>
    <definedName name="wrn.Hyatt_.Report" hidden="1">{"History+Projection+5Comps",#N/A,FALSE,"HISTORY (2)";"$ Per Occupied History+Projection+5Comps",#N/A,FALSE,"HISTORY (2)";"History+Projection",#N/A,FALSE,"HISTORY (2)"}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I." hidden="1">{"IBI PRIMERA",#N/A,FALSE,"IBI 2002";"IBI SEGUNDA",#N/A,FALSE,"IBI 2002"}</definedName>
    <definedName name="wrn.III." hidden="1">{"CASHFLOW",#N/A,FALSE,"Northpointe"}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_Statement." hidden="1">{"One",#N/A,FALSE,"Income Statement";"Two",#N/A,FALSE,"Income Statement";"Three",#N/A,FALSE,"Income Statement";"Four",#N/A,FALSE,"Income Statement"}</definedName>
    <definedName name="wrn.Index." hidden="1">{#N/A,#N/A,FALSE,"INDEX"}</definedName>
    <definedName name="wrn.Individual._.Regions." hidden="1">{#N/A,#N/A,FALSE,"Summary";#N/A,#N/A,FALSE,"AIME";#N/A,#N/A,FALSE,"Asia (2)";#N/A,#N/A,FALSE,"Europe";#N/A,#N/A,FALSE,"LA"}</definedName>
    <definedName name="wrn.Input._.Assumption._.Sheets." hidden="1">{#N/A,#N/A,TRUE,"inp. genl.";#N/A,#N/A,TRUE,"inp. cnst. cost";#N/A,#N/A,TRUE,"inp. lease-up";#N/A,#N/A,TRUE,"inp. exp."}</definedName>
    <definedName name="wrn.Inputs." hidden="1">{#N/A,#N/A,FALSE,"Input"}</definedName>
    <definedName name="wrn.Interior._.finishes." hidden="1">{"interior finishes",#N/A,FALSE,"DETAIL.XLS"}</definedName>
    <definedName name="wrn.Internal." hidden="1">{#N/A,#N/A,FALSE,"Apt. Exec Sum";#N/A,#N/A,FALSE,"Master Budget";#N/A,#N/A,FALSE,"Assumptions";#N/A,#N/A,FALSE,"Unit Schedule no Condo";#N/A,#N/A,FALSE,"Apt.CashFlow";#N/A,#N/A,FALSE,"Apt. Lease-up"}</definedName>
    <definedName name="wrn.INTERNAL._.COST." hidden="1">{"COST.PROFIT",#N/A,TRUE,"Cost.profit";"DDCOHEAD",#N/A,TRUE,"D,D&amp;C overhead"}</definedName>
    <definedName name="wrn.Investment._.Review." hidden="1">{#N/A,#N/A,FALSE,"Proforma Five Yr";#N/A,#N/A,FALSE,"Capital Input";#N/A,#N/A,FALSE,"Calculations";#N/A,#N/A,FALSE,"Transaction Summary-DTW"}</definedName>
    <definedName name="wrn.Investment._.Summary._.Golf._.Suites." hidden="1">{"Preferred Equity IRR",#N/A,FALSE,"PROFORMA";"GP Cash Flow and IRR",#N/A,FALSE,"PROFORMA"}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Ist._.Year." hidden="1">{#N/A,#N/A,FALSE,"CF Yr1";#N/A,#N/A,FALSE,"Rent Roll";#N/A,#N/A,FALSE,"Rent Yr1";#N/A,#N/A,FALSE,"Occ Yr1";#N/A,#N/A,FALSE,"TI+Com Yr1";#N/A,#N/A,FALSE,"OER Yr1";#N/A,#N/A,FALSE,"OE Yr1"}</definedName>
    <definedName name="wrn.JM." hidden="1">{#N/A,#N/A,FALSE,"ExecSum";#N/A,#N/A,FALSE,"Budget";#N/A,#N/A,FALSE,"Summary1";#N/A,#N/A,FALSE,"CashFlow";#N/A,#N/A,FALSE,"Year1 Cash Flow";#N/A,#N/A,FALSE,"Carry";#N/A,#N/A,FALSE,"Page 3"}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V." hidden="1">{"One",#N/A,FALSE,"JV"}</definedName>
    <definedName name="wrn.kathys." hidden="1">{"page1",#N/A,FALSE,"Cashflow";"page2",#N/A,FALSE,"Cashflow"}</definedName>
    <definedName name="wrn.LAKEANNE7." hidden="1">{#N/A,#N/A,FALSE,"DEV SUMMARY";#N/A,#N/A,FALSE,"INV SUMMARY";#N/A,#N/A,FALSE,"REV SUMMARY";#N/A,#N/A,FALSE,"CONST COST"}</definedName>
    <definedName name="wrn.Large._.Cash._.Flow." hidden="1">{"CashFlow_Large",#N/A,FALSE,"CashFlowSummary";"Finance_Large",#N/A,FALSE,"FinanceCashFlow";"Equity_Large",#N/A,FALSE,"EquityCashFlow";"LeaseUp_Large",#N/A,FALSE,"LeaseUp";"Land_Large",#N/A,FALSE,"LandCashFlow";"Construction_Large",#N/A,FALSE,"ConstCashFlow";"A&amp;E_Large",#N/A,FALSE,"A&amp;ECashFlow";"Indirect_Large",#N/A,FALSE,"IndirectCashFlow";"G&amp;A_Large",#N/A,FALSE,"G&amp;ACashFlow";"Marketing_Large",#N/A,FALSE,"MarketingCashFlow";"Returns_Large",#N/A,FALSE,"EquityReturns"}</definedName>
    <definedName name="wrn.Large._.Cash._.Flow._.Summary." hidden="1">{"Cash Flow_Large",#N/A,FALSE,"CashFlowSummary";"Finance_Large",#N/A,FALSE,"FinanceCashFlow";"Equity_Large",#N/A,FALSE,"EquityReturns";"LeaseUp_Large",#N/A,FALSE,"LeaseUp"}</definedName>
    <definedName name="wrn.Lease._.Rollover." hidden="1">{#N/A,#N/A,FALSE,"Lease Rollover"}</definedName>
    <definedName name="wrn.Lease._.Up._.Summary." hidden="1">{"Lease Up Summary",#N/A,FALSE,"2033K-R6"}</definedName>
    <definedName name="wrn.Leases." hidden="1">{#N/A,#N/A,FALSE,"Leases"}</definedName>
    <definedName name="wrn.LEASING." hidden="1">{#N/A,#N/A,FALSE,"96 RENT SUM";#N/A,#N/A,FALSE,"LSGACTSCHED";#N/A,#N/A,FALSE,"Conc. Sched"}</definedName>
    <definedName name="wrn.Leasing._.Assumptions." hidden="1">{"Assumptions",#N/A,FALSE,"Leasing Assumptions"}</definedName>
    <definedName name="wrn.Leasing._.Variance." hidden="1">{#N/A,#N/A,FALSE,"Leasing 6A"}</definedName>
    <definedName name="wrn.LEASING._1" hidden="1">{#N/A,#N/A,FALSE,"96 RENT SUM";#N/A,#N/A,FALSE,"LSGACTSCHED";#N/A,#N/A,FALSE,"Conc. Sched"}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 hidden="1">{"Loan Summary",#N/A,FALSE,"Phase 1 loan &amp; data"}</definedName>
    <definedName name="wrn.Loan._.Pricing._.Analysis." hidden="1">{#N/A,#N/A,FALSE,"LOAN ANALYSIS"}</definedName>
    <definedName name="wrn.Loan._.Summary." hidden="1">{"Loan Summary",#N/A,FALSE,"Phase 1 loan &amp; data"}</definedName>
    <definedName name="wrn.LoanInformation." hidden="1">{#N/A,#N/A,FALSE,"LoanAssumptions"}</definedName>
    <definedName name="wrn.LOWY._.REPORT." hidden="1">{"TITLE",#N/A,TRUE,"TITLE SHEET";"cover_sheet",#N/A,TRUE,"COVER SHHET";"PROFOMA",#N/A,TRUE,"Feasability";"DRTSMRY",#N/A,TRUE,"DIRECT COST";"NEW_ROLL",#N/A,TRUE,"NEW RENT ROLL";"LOST_RENT",#N/A,TRUE,"Lost rent-buyout"}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hidden="1">{"LTV Output",#N/A,FALSE,"Output"}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rket." hidden="1">{#N/A,#N/A,FALSE,"SUBMKT";#N/A,#N/A,FALSE,"MARKET";#N/A,#N/A,FALSE,"VACANCY";#N/A,#N/A,FALSE,"ABSORB";#N/A,#N/A,FALSE,"SUBLEASE";#N/A,#N/A,FALSE,"CONSTRCT"}</definedName>
    <definedName name="wrn.Market._.Values." hidden="1">{#N/A,#N/A,TRUE,"10 Yr Hold";#N/A,#N/A,TRUE,"7 Yr Hold";#N/A,#N/A,TRUE,"5 Yr Hold";#N/A,#N/A,TRUE,"3 Yr Hold"}</definedName>
    <definedName name="wrn.MARKETING." hidden="1">{#N/A,#N/A,FALSE,"MARKETING I";#N/A,#N/A,FALSE,"MARKETING II";#N/A,#N/A,FALSE,"MARKETING III"}</definedName>
    <definedName name="wrn.Master." hidden="1">{#N/A,#N/A,FALSE,"Master Summary 1";#N/A,#N/A,FALSE,"245 Park-Rem. Obl.";#N/A,#N/A,FALSE,"245 Park-N, Lse";#N/A,#N/A,FALSE,"245 Park-N, Lse (2)";#N/A,#N/A,FALSE,"245 Park- SL";#N/A,#N/A,FALSE,"250 Park";#N/A,#N/A,FALSE,"1285 6th";#N/A,#N/A,FALSE,"101 Park";#N/A,#N/A,FALSE,"Sublease Commission"}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emo." hidden="1">{#N/A,#N/A,FALSE,"Internal";#N/A,#N/A,FALSE,"CLOSING-EXT";#N/A,#N/A,FALSE,"GAIN-LOSS"}</definedName>
    <definedName name="wrn.merge.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inrenn" hidden="1">{"MINRENT2",#N/A,FALSE,"SCHEDULE B"}</definedName>
    <definedName name="wrn.MINRENT." hidden="1">{"MINRENT2",#N/A,FALSE,"SCHEDULE B"}</definedName>
    <definedName name="wrn.minrent.2" hidden="1">{"MINRENT2",#N/A,FALSE,"SCHEDULE B"}</definedName>
    <definedName name="wrn.mkting" hidden="1">{#N/A,#N/A,FALSE,"MARKETING I";#N/A,#N/A,FALSE,"MARKETING II";#N/A,#N/A,FALSE,"MARKETING III"}</definedName>
    <definedName name="wrn.m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Model." hidden="1">{"Investor",#N/A,FALSE,"Model";"Property",#N/A,FALSE,"Model";"Incentive Taxes",#N/A,FALSE,"Model"}</definedName>
    <definedName name="wrn.model2." hidden="1">{"Investor",#N/A,FALSE,"Model";"Property",#N/A,FALSE,"Model";"Incentive Taxes",#N/A,FALSE,"Model"}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hidden="1">{"MONTHLY",#N/A,FALSE,"Pro Forma";"MONTHLY",#N/A,FALSE,"Equity"}</definedName>
    <definedName name="wrn.Monthly._.Cash._.Flow._.Report." hidden="1">{"Cash Flow_Small",#N/A,TRUE,"CashFlowSummary";"Finance_Small",#N/A,TRUE,"FinanceCashFlow";"Marketing_Small",#N/A,TRUE,"MarketingCashFlow";"Construction_Small",#N/A,TRUE,"ConstCashFlow";"Land_Small",#N/A,TRUE,"LandCashFlow";"A&amp;E_Small",#N/A,TRUE,"A&amp;ECashFlow";"Indirect_Small",#N/A,TRUE,"IndirectCashFlow";"G&amp;A_Small",#N/A,TRUE,"G&amp;ACashFlow"}</definedName>
    <definedName name="wrn.Monthly._.Cost._.Report." hidden="1">{#N/A,#N/A,TRUE,"Cover";#N/A,#N/A,TRUE,"BTCostSummary";"Construction with Retention",#N/A,TRUE,"Construction";#N/A,#N/A,TRUE,"Finance";#N/A,#N/A,TRUE,"Marketing";#N/A,#N/A,TRUE,"A&amp;E";#N/A,#N/A,TRUE,"Indirect";#N/A,#N/A,TRUE,"Gen and Admin"}</definedName>
    <definedName name="wrn.monthly._.financial." hidden="1">{#N/A,#N/A,FALSE,"SUMMARY 4a";#N/A,#N/A,FALSE,"GBA 4b";#N/A,#N/A,FALSE,"TENANT 4c";#N/A,#N/A,FALSE,"BUDGET DETAIL";#N/A,#N/A,FALSE,"PRO FORMA"}</definedName>
    <definedName name="wrn.Monthly._.Report." hidden="1">{"pro forma monthly",#N/A,FALSE,"Pro Forma";"equity monthly",#N/A,FALSE,"Equity";"TCC monthly",#N/A,FALSE,"TCC"}</definedName>
    <definedName name="wrn.MonthlyRentRoll." hidden="1">{"MonthlyRentRoll",#N/A,FALSE,"RentRoll"}</definedName>
    <definedName name="wrn.Mortgage._.Loan._.Sch." hidden="1">{#N/A,#N/A,FALSE,"Mortgage Loan Sch"}</definedName>
    <definedName name="wrn.negro." hidden="1">{#N/A,#N/A,FALSE,"Real 96";#N/A,#N/A,FALSE,"Pto 96";#N/A,#N/A,FALSE,"Real 95";#N/A,#N/A,FALSE,"Grupo"}</definedName>
    <definedName name="wrn.ne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New_Business." hidden="1">{"One",#N/A,FALSE,"New Business"}</definedName>
    <definedName name="wrn.newest." hidden="1">{#N/A,#N/A,TRUE,"TS";#N/A,#N/A,TRUE,"Combo";#N/A,#N/A,TRUE,"FAIR";#N/A,#N/A,TRUE,"RBC";#N/A,#N/A,TRUE,"xxxx"}</definedName>
    <definedName name="wrn.NoAptRR.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rth._.America." hidden="1">{#N/A,#N/A,FALSE,"NA All";#N/A,#N/A,FALSE,"Joe Champ";#N/A,#N/A,FALSE,"Joe Long"}</definedName>
    <definedName name="wrn.NOV96.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NYT." hidden="1">{#N/A,#N/A,FALSE,"Dev Short RPT 00 01 &amp; 02";#N/A,#N/A,FALSE,"Rollup 00 01 &amp; 02";#N/A,#N/A,FALSE,"NYT Dev Short RPT 01% &amp; 02";#N/A,#N/A,FALSE,"NYT Committment Rollup";#N/A,#N/A,FALSE,"NYT Committment Rollup %";#N/A,#N/A,FALSE,"FCRC Dev Short RPT 00 &amp; 01%";#N/A,#N/A,FALSE,"FCRC Rollup 00 &amp; 01%"}</definedName>
    <definedName name="wrn.nyt._.times._.full." hidden="1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ODB." hidden="1">{"ODB",#N/A,FALSE,"Hold Scenario"}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.BUDGET." hidden="1">{#N/A,#N/A,FALSE,"LP Exp";#N/A,#N/A,FALSE,"Salary";#N/A,#N/A,FALSE,"Admin Exp";#N/A,#N/A,FALSE,"QTS Bud";#N/A,#N/A,FALSE,"Marketing"}</definedName>
    <definedName name="wrn.ontario." hidden="1">{"page1",#N/A,FALSE,"sheet 1";"Page2",#N/A,FALSE,"sheet 1";"page3",#N/A,FALSE,"sheet 1";"page4",#N/A,FALSE,"sheet 1"}</definedName>
    <definedName name="wrn.Operating._.Expenses." hidden="1">{"Operating Expenses",#N/A,FALSE,"2033K-R6"}</definedName>
    <definedName name="wrn.OperatingAssumtions." hidden="1">{#N/A,#N/A,FALSE,"OperatingAssumptions"}</definedName>
    <definedName name="wrn.Operations._.Review." hidden="1">{#N/A,#N/A,FALSE,"Proforma Five Yr";#N/A,#N/A,FALSE,"Occ and Rate";#N/A,#N/A,FALSE,"PF Input";#N/A,#N/A,FALSE,"Hotcomps"}</definedName>
    <definedName name="wrn.Output." hidden="1">{#N/A,#N/A,TRUE,"Cover";#N/A,#N/A,TRUE,"Summary";#N/A,#N/A,TRUE,"Assumptions";#N/A,#N/A,TRUE,"Stack";#N/A,#N/A,TRUE,"Budget";#N/A,#N/A,TRUE,"Condo Summary";#N/A,#N/A,TRUE,"Sellout Summary"}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outputr1a" hidden="1">{#N/A,#N/A,TRUE,"Cover";#N/A,#N/A,TRUE,"Summary";#N/A,#N/A,TRUE,"Assumptions";#N/A,#N/A,TRUE,"Stack";#N/A,#N/A,TRUE,"Budget";#N/A,#N/A,TRUE,"Condo Summary";#N/A,#N/A,TRUE,"Sellout Summary"}</definedName>
    <definedName name="wrn.outputr2a." hidden="1">{#N/A,#N/A,TRUE,"Cover";#N/A,#N/A,TRUE,"Summary";#N/A,#N/A,TRUE,"Assumptions";#N/A,#N/A,TRUE,"Stack";#N/A,#N/A,TRUE,"Budget";#N/A,#N/A,TRUE,"Condo Summary";#N/A,#N/A,TRUE,"Sellout Summary"}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Package." hidden="1">{#N/A,#N/A,FALSE,"Title Page";#N/A,#N/A,FALSE,"Index";#N/A,#N/A,FALSE,"Executive Summary";#N/A,#N/A,FALSE,"Construction Costs";#N/A,#N/A,FALSE,"Professional Fees";#N/A,#N/A,FALSE,"Marketing Fees";#N/A,#N/A,FALSE,"Finance";#N/A,#N/A,FALSE,"Rental Revenue";#N/A,#N/A,FALSE,"Lease Up Schedule";#N/A,#N/A,FALSE,"Cash Flow"}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lms._.at._.South._.Shore." hidden="1">{#N/A,#N/A,FALSE,"loananalysis";#N/A,#N/A,FALSE,"proforma";#N/A,#N/A,FALSE,"unitmix"}</definedName>
    <definedName name="wrn.pa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Parking." hidden="1">{"Parking",#N/A,FALSE,"Parking"}</definedName>
    <definedName name="wrn.partcan." hidden="1">{#N/A,#N/A,FALSE,"Min compa cad";#N/A,#N/A,FALSE,"Min CAN Equité ";#N/A,#N/A,FALSE,"Analyse can"}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_Template." hidden="1">{#N/A,#N/A,FALSE,"1Summary";#N/A,#N/A,FALSE,"2Assumptions";#N/A,#N/A,FALSE,"3Cash Flow";#N/A,#N/A,FALSE,"6Residual";#N/A,#N/A,FALSE,"AExpiration Schedule"}</definedName>
    <definedName name="wrn.partus." hidden="1">{#N/A,#N/A,FALSE,"Min compar us";#N/A,#N/A,FALSE,"Min US Equité ";#N/A,#N/A,FALSE,"Analyse U.S."}</definedName>
    <definedName name="wrn.PERCENTAGE._.RENT." hidden="1">{"PERCENTAGE RENT",#N/A,TRUE,"SCHEDULE B"}</definedName>
    <definedName name="wrn.Phase._.I." hidden="1">{#N/A,#N/A,FALSE,"Transaction Summary-DTW";#N/A,#N/A,FALSE,"Proforma Five Yr";#N/A,#N/A,FALSE,"Occ and Rate"}</definedName>
    <definedName name="wrn.Phil." hidden="1">{#N/A,#N/A,FALSE,"Summary";#N/A,#N/A,FALSE,"41 Mad (Our)";#N/A,#N/A,FALSE,"41 Mad (Comp)";#N/A,#N/A,FALSE,"41 Mad (Rudin's)";#N/A,#N/A,FALSE,"41 Mad (7,354)"}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K._.Variance." hidden="1">{#N/A,#N/A,FALSE,"399 Park Var";#N/A,#N/A,FALSE,"PK NOTES"}</definedName>
    <definedName name="wrn.pl." hidden="1">{#N/A,#N/A,FALSE,"Cons PL-Accrual"}</definedName>
    <definedName name="wrn.Plan." hidden="1">{#N/A,#N/A,FALSE,"Highridge Return Analysis";#N/A,#N/A,FALSE,"Sale @ end of year 3 (4yr Plan)";#N/A,#N/A,FALSE,"Highridge Assumption Page"}</definedName>
    <definedName name="wrn.Plan._.Book._.FC._.Presentation." hidden="1">{#N/A,#N/A,FALSE,"RECAP of CASH";#N/A,#N/A,FALSE,"CASH @ FC %";#N/A,#N/A,FALSE,"EBDT Reconciliation";#N/A,#N/A,FALSE,"CASH &amp; EARNINGS @ OWN%";#N/A,#N/A,FALSE,"Total Return Summary @ FC %";#N/A,#N/A,FALSE,"Total Returns @ FC %";#N/A,#N/A,FALSE,"PROFORMA CASH"}</definedName>
    <definedName name="wrn.Plan._.Book._.Supplemental._.Data." hidden="1">{#N/A,#N/A,FALSE,"Major Assumptions";#N/A,#N/A,FALSE,"Issues List";#N/A,#N/A,FALSE,"RECAP of CASH (100%)";#N/A,#N/A,FALSE,"EBDT Reconciliation";#N/A,#N/A,FALSE,"CASH &amp; EARNINGS @ 100%";#N/A,#N/A,FALSE,"Total Return Component Details";#N/A,#N/A,FALSE,"PROFORMA CASH (100%)";#N/A,#N/A,FALSE,"IRR"}</definedName>
    <definedName name="wrn.PLAZA._.AMERICA." hidden="1">{#N/A,#N/A,FALSE,"INV SUMMARY";#N/A,#N/A,FALSE,"REV SUMMARY";#N/A,#N/A,FALSE,"CONST COST"}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tfolio." hidden="1">{#N/A,#N/A,FALSE,"Portfolio Summary";#N/A,#N/A,FALSE,"Portfolio Operating Stmt";#N/A,#N/A,FALSE,"Portfolio Cash Flow"}</definedName>
    <definedName name="wrn.ppt" hidden="1">{#N/A,#N/A,FALSE,"96 RENT SUM";#N/A,#N/A,FALSE,"LSGACTSCHED";#N/A,#N/A,FALSE,"Conc. Sched"}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cntrent" hidden="1">{"PERCENTAGE RENT",#N/A,TRUE,"SCHEDULE B"}</definedName>
    <definedName name="wrn.prelist." hidden="1">{#N/A,#N/A,FALSE,"rent roll";#N/A,#N/A,FALSE,"I&amp;E";#N/A,#N/A,FALSE,"96noleaseup";#N/A,#N/A,FALSE,"96noleaseup matrix";#N/A,#N/A,FALSE,"leaseup96";#N/A,#N/A,FALSE,"leaseup96 matrix";#N/A,#N/A,FALSE,"Leaseup and Exp."}</definedName>
    <definedName name="wrn.Prepaid_Recov.." hidden="1">{#N/A,#N/A,FALSE,"Prepaid Recoverable"}</definedName>
    <definedName name="wrn.Presentation." hidden="1">{#N/A,#N/A,TRUE,"Summary";"AnnualRentRoll",#N/A,TRUE,"RentRoll";#N/A,#N/A,TRUE,"ExitStratigy";#N/A,#N/A,TRUE,"OperatingAssumptions"}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hidden="1">{"Primarily Competition",#N/A,FALSE,"Comp.&amp; Market Penet."}</definedName>
    <definedName name="wrn.Print" hidden="1">{"vi1",#N/A,FALSE,"Financial Statements";"vi2",#N/A,FALSE,"Financial Statements";#N/A,#N/A,FALSE,"DCF"}</definedName>
    <definedName name="wrn.Print." hidden="1">{"View1",#N/A,FALSE,"Sheet1";"View2",#N/A,FALSE,"Sheet1"}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cq._.and._.Develop._.Assumptions." hidden="1">{"Acquisition and Develop Assumptions",#N/A,FALSE,"Rossmore"}</definedName>
    <definedName name="wrn.PRINT._.ALL." hidden="1">{#N/A,#N/A,FALSE,"Expense Detail ";#N/A,#N/A,FALSE,"Worksheet";#N/A,#N/A,FALSE,"Audit";#N/A,#N/A,FALSE,"Exclusions";#N/A,#N/A,FALSE,"Variance";#N/A,#N/A,FALSE,"Reconciliation"}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s." hidden="1">{"acquisition and development assumptions",#N/A,FALSE,"Rossmore";"Cash Flows",#N/A,FALSE,"Rossmore";"Return Analysis",#N/A,FALSE,"Rossmore";"Joint Venture Analysis",#N/A,FALSE,"Rossmore";#N/A,#N/A,FALSE,"Rossmore"}</definedName>
    <definedName name="wrn.Print._.Cash._.Flows." hidden="1">{"Cash Flows",#N/A,FALSE,"Rossmore"}</definedName>
    <definedName name="wrn.Print._.Cash._.Flows._.and._.Assumptions." hidden="1">{"Cash Flows and Assumptions",#N/A,FALSE,"Rossmore"}</definedName>
    <definedName name="wrn.Print._.DDC.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ebt._.Calculations." hidden="1">{"Debt Calculations",#N/A,FALSE,"Hillside"}</definedName>
    <definedName name="wrn.Print._.Everythin.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Full.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raphs." hidden="1">{"cap_structure",#N/A,FALSE,"Graph-Mkt Cap";"price",#N/A,FALSE,"Graph-Price";"ebit",#N/A,FALSE,"Graph-EBITDA";"ebitda",#N/A,FALSE,"Graph-EBITDA"}</definedName>
    <definedName name="wrn.Print._.Inv._.Rec." hidden="1">{"Cash Flows",#N/A,FALSE,"Hillside";"Return Analysis",#N/A,FALSE,"Hillside";#N/A,#N/A,FALSE,"Hillside"}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Joint._.Venture._.Analysis." hidden="1">{"Joint Venture Analysis",#N/A,FALSE,"Rossmore"}</definedName>
    <definedName name="wrn.Print._.Lodging._.Only.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td._.Ptr._.Heller." hidden="1">{#N/A,#N/A,FALSE,"Summary Schedule Heller Ltd";#N/A,#N/A,FALSE,"Qtrly  heller Page 1";#N/A,#N/A,FALSE,"Qtrly heller Page 3"}</definedName>
    <definedName name="wrn.Print._.Package.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raw._.data._.entry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Report._.Package." hidden="1">{"Cash Flows",#N/A,FALSE,"Rossmore";"Return Analysis",#N/A,FALSE,"Rossmore";"Unit Rent Analysis",#N/A,FALSE,"Rossmore"}</definedName>
    <definedName name="wrn.Print._.Return._.Analysis." hidden="1">{"Return Analysis",#N/A,FALSE,"Rossmore"}</definedName>
    <definedName name="wrn.print._.standalone." hidden="1">{"standalone1",#N/A,FALSE,"DCFBase";"standalone2",#N/A,FALSE,"DCFBase"}</definedName>
    <definedName name="wrn.Print._.sum." hidden="1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mary._.sheets." hidden="1">{"summary1",#N/A,TRUE,"Comps";"summary2",#N/A,TRUE,"Comps";"summary3",#N/A,TRUE,"Comps"}</definedName>
    <definedName name="wrn.Print._.Unit._.Rent._.Analysis." hidden="1">{"Unit Rent Analysis",#N/A,FALSE,"Rossmore"}</definedName>
    <definedName name="wrn.Print._.Workbook." hidden="1">{#N/A,#N/A,FALSE,"Exec. Summ";#N/A,#N/A,FALSE,"Income";#N/A,#N/A,FALSE,"Expenses";#N/A,#N/A,FALSE,"Loan Options";#N/A,#N/A,FALSE,"Sources &amp; Uses";#N/A,#N/A,FALSE,"Spreadsheet"}</definedName>
    <definedName name="wrn.Print_All." hidden="1">{"Cover_PA1",#N/A,TRUE,"Cover";"TOC_PA1",#N/A,TRUE,"TOC";"Definitions_PA1",#N/A,TRUE,"Definitions";"LBO_Input_PA1",#N/A,TRUE,"LBO Input";"LBO_Output_PA1",#N/A,TRUE,"LBO Output";"IRR_PA1",#N/A,TRUE,"IRR";"Case_PA1",#N/A,TRUE,"Case";"DivSum_PA1",#N/A,TRUE,"DivSum";"SidebySide_PA1",#N/A,TRUE,"SideBySide";"Group_PA1",#N/A,TRUE,"Group";"BSheet_PA1",#N/A,TRUE,"BSheet";"Debt_PA1",#N/A,TRUE,"Debt";"Tax_PA1",#N/A,TRUE,"Tax";"Consolidated_PA1",#N/A,TRUE,"Consolidated";"BEL_PA1",#N/A,TRUE,"BEL";"NL_PA1",#N/A,TRUE,"NL";"PRT_PA1",#N/A,TRUE,"PRT";"IRL_PA1",#N/A,TRUE,"IRL";"ROU_PA1",#N/A,TRUE,"ROU(EUR)";"HQ_PA1",#N/A,TRUE,"HQ";"Publitec_PA1",#N/A,TRUE,"Publitec";"ZAF_PA1",#N/A,TRUE,"ZAF(EUR)";"PRI_PA1",#N/A,TRUE,"PRI(EUR)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Heller.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LBO." hidden="1">{"Cover_PA1",#N/A,TRUE,"Cover";"LBO_Input_PA1",#N/A,TRUE,"LBO Input";"LBO_Output_PA1",#N/A,TRUE,"LBO Output"}</definedName>
    <definedName name="wrn.Print_Subsidiaries." hidden="1">{"Consolidated_PA1",#N/A,TRUE,"Consolidated";"BEL_PA1",#N/A,TRUE,"BEL";"NL_PA1",#N/A,TRUE,"NL";"PRT_PA1",#N/A,TRUE,"PRT";"IRL_PA1",#N/A,TRUE,"IRL";"ROU_PA1",#N/A,TRUE,"ROU(EUR)";"HQ_PA1",#N/A,TRUE,"HQ";"Publitec_PA1",#N/A,TRUE,"Publitec"}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.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All.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or._.Year._.Amounts." hidden="1">{"PriorYr1",#N/A,FALSE,"Prior Year Amounts";"PriorYr2",#N/A,FALSE,"Prior Year Amounts"}</definedName>
    <definedName name="wrn.PRO." hidden="1">{#N/A,#N/A,FALSE,"COVER";#N/A,#N/A,FALSE,"Construction CF";#N/A,#N/A,FALSE,"PROFORMA";#N/A,#N/A,FALSE,"CASHFLOW"}</definedName>
    <definedName name="wrn.Pro._.Forma." hidden="1">{#N/A,#N/A,FALSE,"ACQ";#N/A,#N/A,FALSE,"ASSUMP";#N/A,#N/A,FALSE,"CASH FLOW";#N/A,#N/A,FALSE,"SALE";#N/A,#N/A,FALSE,"TIS";#N/A,#N/A,FALSE,"RENT ROLL"}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orma." hidden="1">{"Proforma - Dollars",#N/A,FALSE,"Proforma"}</definedName>
    <definedName name="wrn.Proforma._.Review." hidden="1">{#N/A,#N/A,FALSE,"Occ and Rate";#N/A,#N/A,FALSE,"PF Input";#N/A,#N/A,FALSE,"Proforma Five Yr";#N/A,#N/A,FALSE,"Hotcomps"}</definedName>
    <definedName name="wrn.Program._.Compliance." hidden="1">{#N/A,#N/A,FALSE,"COMPLIANCE"}</definedName>
    <definedName name="wrn.Projects._.1." hidden="1">{"Project_details",#N/A,FALSE,"Projects";"Project_checks",#N/A,FALSE,"Projects";"Project_completion",#N/A,FALSE,"Projects"}</definedName>
    <definedName name="wrn.Projects._.2." hidden="1">{"Project_profit",#N/A,FALSE,"Projects";"Project_reserves",#N/A,FALSE,"Project Reserves"}</definedName>
    <definedName name="wrn.Property._.Description." hidden="1">{#N/A,#N/A,FALSE,"PROP. DESCRIPTION"}</definedName>
    <definedName name="wrn.Property._.Improvements." hidden="1">{"Property Improvements",#N/A,FALSE,"Property Improvements"}</definedName>
    <definedName name="wrn.PropertyInformation." hidden="1">{#N/A,#N/A,FALSE,"PropertyInfo"}</definedName>
    <definedName name="wrn.Prototypes." hidden="1">{"One",#N/A,FALSE,"Prototypes";"Two",#N/A,FALSE,"Prototypes";"Three",#N/A,FALSE,"Prototypes";"Four",#N/A,FALSE,"Prototypes";"Five",#N/A,FALSE,"Prototypes"}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ty._.Monthly._.Cash._.Flow." hidden="1">{"Cash Flow_Small",#N/A,FALSE,"CashFlowSummary";"Finance_Small",#N/A,FALSE,"FinanceCashFlow";"Equity_Small",#N/A,FALSE,"EquityReturns"}</definedName>
    <definedName name="WRN.QW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Rapport." hidden="1">{#N/A,#N/A,FALSE,"SHEET1";#N/A,#N/A,FALSE,"SHEET2";#N/A,#N/A,FALSE,"SHEET3";#N/A,#N/A,FALSE,"SHEET4"}</definedName>
    <definedName name="wrn.rate.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covery._.Calcs." hidden="1">{#N/A,#N/A,FALSE,"Recovery Calcs"}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SHEETS." hidden="1">{#N/A,#N/A,FALSE,"AD_Purch";#N/A,#N/A,FALSE,"Projections";#N/A,#N/A,FALSE,"DCF";#N/A,#N/A,FALSE,"Mkt Val"}</definedName>
    <definedName name="wrn.Remaining._.Obligation." hidden="1">{#N/A,#N/A,FALSE,"Summary (Oblg)";#N/A,#N/A,FALSE,"41 Mad (27&amp;28)";#N/A,#N/A,FALSE,"41 Mad (29-1)";#N/A,#N/A,FALSE,"41 Mad (29-2A)";#N/A,#N/A,FALSE,"41 Mad (29-2B)";#N/A,#N/A,FALSE,"41 Mad (30)";#N/A,#N/A,FALSE,"41 Mad (42)"}</definedName>
    <definedName name="wrn.Rent._.Roll." hidden="1">{#N/A,#N/A,FALSE,"Rent Roll"}</definedName>
    <definedName name="wrn.Rental._.Scenario." hidden="1">{#N/A,#N/A,TRUE,"Summary";#N/A,#N/A,TRUE,"Rental Summary";#N/A,#N/A,TRUE,"Budget";#N/A,#N/A,TRUE,"Assumptions";#N/A,#N/A,TRUE,"Financing"}</definedName>
    <definedName name="wrn.RENTROL." hidden="1">{#N/A,#N/A,FALSE,"RENT ROLL"}</definedName>
    <definedName name="wrn.RentRoll." hidden="1">{"CurrentRentRoll",#N/A,FALSE,"Graph &amp; Rent Roll"}</definedName>
    <definedName name="wrn.Repayments." hidden="1">{"One",#N/A,FALSE,"Repayments";"Two",#N/A,FALSE,"Repayments"}</definedName>
    <definedName name="wrn.report" hidden="1">{#N/A,#N/A,FALSE,"Project Summary";#N/A,#N/A,FALSE,"Parameter Summary";#N/A,#N/A,FALSE,"Budget Control Report";#N/A,#N/A,FALSE,"DETAIL.XLS"}</definedName>
    <definedName name="wrn.Report." hidden="1">{#N/A,#N/A,FALSE,"Loan Summary";#N/A,#N/A,FALSE,"NOI";"RR and Expir",#N/A,FALSE,"Rental";"Sales History",#N/A,FALSE,"Rental";#N/A,#N/A,FALSE,"Reserves"}</definedName>
    <definedName name="wrn.Report._.Tables." hidden="1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s." hidden="1">{#N/A,#N/A,FALSE,"Project Summary";#N/A,#N/A,FALSE,"Parameter Summary";#N/A,#N/A,FALSE,"Budget Control Report";#N/A,#N/A,FALSE,"DETAIL.XLS"}</definedName>
    <definedName name="wrn.Reserves." hidden="1">{"Reserves",#N/A,FALSE,"Reserves";"Reserves_Variance",#N/A,FALSE,"Reserves"}</definedName>
    <definedName name="wrn.Revenue." hidden="1">{"Revenue",#N/A,FALSE,"2033K-R6"}</definedName>
    <definedName name="wrn.Revenue._.Reports.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Schedules." hidden="1">{#N/A,#N/A,TRUE,"RENT SCHD";#N/A,#N/A,TRUE,"OER SCHD"}</definedName>
    <definedName name="wrn.Revenue._.Summary." hidden="1">{"Revenue Summary",#N/A,FALSE,"Revenue Schedules"}</definedName>
    <definedName name="wrn.Revised._.project._.estimate.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mgmtfee." hidden="1">{#N/A,#N/A,FALSE,"Rmgmtfee"}</definedName>
    <definedName name="wrn.Roll_Out." hidden="1">{"One",#N/A,FALSE,"Roll-out";"Two",#N/A,FALSE,"Roll-out";"Three",#N/A,FALSE,"Roll-out";"Four",#N/A,FALSE,"Roll-out";"Five",#N/A,FALSE,"Roll-out"}</definedName>
    <definedName name="wrn.Roof._.Report." hidden="1">{"Roofs Page 1",#N/A,FALSE,"Roof Outline";"Roofs Page 2",#N/A,FALSE,"Roof Outline"}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SAC._.ANALYSIS." hidden="1">{#N/A,#N/A,TRUE,"OVERVIEW OF METROTECH GROUND LS";#N/A,#N/A,TRUE,"SUMMARY OF TOTAL PAYMENTS";#N/A,#N/A,TRUE,"SITE ACQUISITION DIFFERENTIAL";#N/A,#N/A,TRUE,"BASE GROUND RENT";#N/A,#N/A,TRUE,"MINIMUM PAYMENT";#N/A,#N/A,TRUE,"EXCESS PAYMENT";#N/A,#N/A,TRUE,"SURPLUS PAYMENT";#N/A,#N/A,TRUE,"BUG Excess &amp; Surplus Analysis";#N/A,#N/A,TRUE,"SIAC Excess &amp; Surplus Analysis";#N/A,#N/A,TRUE,"9 MT Excess &amp; Surplus Analysis";#N/A,#N/A,TRUE,"9 South Excess-Surplus Analysis";#N/A,#N/A,TRUE,"Tech Excess &amp; Surplus Analysis";#N/A,#N/A,TRUE,"NPV ANALYSIS";#N/A,#N/A,TRUE,"Summary of PV";#N/A,#N/A,TRUE,"EXISTING CF SUMMARY"}</definedName>
    <definedName name="wrn.sale." hidden="1">{#N/A,#N/A,FALSE,"Execsum (sale)";#N/A,#N/A,FALSE,"Summary (sale)";#N/A,#N/A,FALSE,"Budget";#N/A,#N/A,FALSE,"office cashflow (sale)"}</definedName>
    <definedName name="wrn.sales." hidden="1">{"sales",#N/A,FALSE,"Sales";"sales existing",#N/A,FALSE,"Sales";"sales rd1",#N/A,FALSE,"Sales";"sales rd2",#N/A,FALSE,"Sales"}</definedName>
    <definedName name="wrn.Sales._.Information.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CHAs.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" hidden="1">{"SCHEDULE",#N/A,FALSE,"Fin_sched"}</definedName>
    <definedName name="wrn.SCHEDULE." hidden="1">{"SCHEDULE",#N/A,FALSE,"Fin_sched"}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hidden="1">{#N/A,#N/A,FALSE,"SCHEDULE A";"MINIMUM RENT",#N/A,FALSE,"SCHEDULES B &amp; C";"PERCENTAGE RENT",#N/A,FALSE,"SCHEDULES B &amp; C"}</definedName>
    <definedName name="wrn.Scm." hidden="1">{"Scm",#N/A,FALSE,"SCM";"Scm_Variance",#N/A,FALSE,"SCM"}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tion._.1." hidden="1">{"KL_View",#N/A,FALSE,"Sum_Forecast";"KL_View",#N/A,FALSE,"New Sum_Forecast"}</definedName>
    <definedName name="wrn.Short." hidden="1">{#N/A,#N/A,FALSE,"ExecutiveSummary";#N/A,#N/A,FALSE,"CostDetail";#N/A,#N/A,FALSE,"IncomeDetail"}</definedName>
    <definedName name="wrn.Short._.Print." hidden="1">{#N/A,#N/A,FALSE,"Cover";#N/A,#N/A,FALSE,"Stack";#N/A,#N/A,FALSE,"Cost S";#N/A,#N/A,FALSE," CF";#N/A,#N/A,FALSE,"Investor"}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PG._.Estimate." hidden="1">{#N/A,#N/A,FALSE,"Detail";#N/A,#N/A,FALSE,"Totals"}</definedName>
    <definedName name="wrn.Stadium._.PCD." hidden="1">{#N/A,#N/A,TRUE,"Ericsson Stadium PCD ";#N/A,#N/A,TRUE,"Ericsson Stadium IOR"}</definedName>
    <definedName name="wrn.STAND_ALONE_BOTH." hidden="1">{"FCB_ALL",#N/A,FALSE,"FCB";"GREY_ALL",#N/A,FALSE,"GREY"}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rengths._.Weaknesses." hidden="1">{#N/A,#N/A,FALSE,"Strengths &amp; Weaknesses"}</definedName>
    <definedName name="wrn.Structural._.Frame." hidden="1">{"structural",#N/A,FALSE,"DETAIL.XLS"}</definedName>
    <definedName name="wrn.Submittal._.Reconciliation._.Schedule." hidden="1">{"Submittable Reconciliation Schedule",#N/A,FALSE,"Reconciliation";"GSCP2 PCS 30 Day",#N/A,FALSE,"GSCP2 PCS 30 Day Activity List"}</definedName>
    <definedName name="wrn.SUM._.ONLY." hidden="1">{"SUMMARY",#N/A,FALSE,"BIDSUM"}</definedName>
    <definedName name="wrn.SUM._.WITH._.GC." hidden="1">{"SUMMARY",#N/A,FALSE,"BIDSUM";"SUMALTS",#N/A,FALSE,"BIDSUM";#N/A,#N/A,FALSE,"GCOND"}</definedName>
    <definedName name="wrn.Summary." hidden="1">{#N/A,#N/A,FALSE,"Summary"}</definedName>
    <definedName name="wrn.Summary._.and._.Budget." hidden="1">{#N/A,#N/A,TRUE,"Summary";#N/A,#N/A,TRUE,"Budget"}</definedName>
    <definedName name="wrn.Summary._.Budget._.Assumptions." hidden="1">{#N/A,#N/A,TRUE,"Summary";#N/A,#N/A,TRUE,"Budget";#N/A,#N/A,TRUE,"Assumptions"}</definedName>
    <definedName name="wrn.Summary._.Budget._.Stack._.Assumptions." hidden="1">{#N/A,#N/A,TRUE,"Summary";#N/A,#N/A,TRUE,"Budget";#N/A,#N/A,TRUE,"Stack";#N/A,#N/A,TRUE,"Assumptions"}</definedName>
    <definedName name="wrn.Summary._.Excluding._.DHC." hidden="1">{"Summary Excluding DHC",#N/A,FALSE,"SUMMARY"}</definedName>
    <definedName name="wrn.Summary._.Including._.DHC." hidden="1">{"Summary Including DHC",#N/A,FALSE,"SUMMARY"}</definedName>
    <definedName name="wrn.Summary._.Overview." hidden="1">{#N/A,#N/A,FALSE,"OVERVIEW"}</definedName>
    <definedName name="wrn.Summary._.Sheet._.Only." hidden="1">{#N/A,#N/A,FALSE,"SUMMARY"}</definedName>
    <definedName name="wrn.Summary._.w._.All._.Back._.Up." hidden="1">{#N/A,#N/A,TRUE,"SUMMARY";#N/A,#N/A,TRUE,"CNST SCHD";#N/A,#N/A,TRUE,"TI SCHD";#N/A,#N/A,TRUE,"COM SCHD";#N/A,#N/A,TRUE,"LU INT-FFO SCHD";#N/A,#N/A,TRUE,"OCCUP";#N/A,#N/A,TRUE,"RENT SCHD";#N/A,#N/A,TRUE,"OER SCHD"}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Schedules.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N1." hidden="1">{#N/A,#N/A,FALSE,"Assumptions";#N/A,#N/A,FALSE,"office";#N/A,#N/A,FALSE,"monthly"}</definedName>
    <definedName name="wrn.sun2" hidden="1">{#N/A,#N/A,FALSE,"Assumptions";#N/A,#N/A,FALSE,"office";#N/A,#N/A,FALSE,"monthly"}</definedName>
    <definedName name="wrn.surveilance2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yndication." hidden="1">{#N/A,#N/A,FALSE,"Assumptions";"Section 1",#N/A,FALSE,"SYNDICATION MODEL";"Section 2",#N/A,FALSE,"SYNDICATION MODEL";#N/A,#N/A,FALSE,"Input Sheet";#N/A,#N/A,FALSE,"SYNDICATION ROE"}</definedName>
    <definedName name="wrn.TANASBOURNE._.ONLY." hidden="1">{#N/A,#N/A,FALSE,"Expense Comparison"}</definedName>
    <definedName name="wrn.TARGET._.DCF." hidden="1">{"targetdcf",#N/A,FALSE,"Merger consequences";"TARGETASSU",#N/A,FALSE,"Merger consequences";"TERMINAL VALUE",#N/A,FALSE,"Merger consequences"}</definedName>
    <definedName name="wrn.tax." hidden="1">{"tax",#N/A,FALSE,"Tax";"tax_variance",#N/A,FALSE,"Tax"}</definedName>
    <definedName name="wrn.Taxes." hidden="1">{"Def Tax Long",#N/A,TRUE,"Financials";"Def Tax Short",#N/A,TRUE,"Financials";"Cons Tax Sched",#N/A,TRUE,"Financials"}</definedName>
    <definedName name="wrn.Taxes._.Title._.Insurance." hidden="1">{#N/A,#N/A,FALSE,"Taxes, Insurance, Title"}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mp." hidden="1">{"a 1",#N/A,FALSE,"Project Cash Flows"}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ts." hidden="1">{#N/A,#N/A,FALSE,"TENANTS"}</definedName>
    <definedName name="wrn.test." hidden="1">{"ADR Analysis",#N/A,FALSE,"Comp.&amp; Market Penet.";"Penetration Analysis",#N/A,FALSE,"Comp.&amp; Market Penet."}</definedName>
    <definedName name="wrn.TI._.Fit._.Up." hidden="1">{"TI Fit Up",#N/A,FALSE,"2033K-R6"}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omco." hidden="1">{"Page1",#N/A,FALSE,"Summary";"Page2",#N/A,FALSE,"Summary";"Page3",#N/A,FALSE,"Summary";"Page4",#N/A,FALSE,"Summary"}</definedName>
    <definedName name="wrn.TOTAL._.SHEETS." hidden="1">{#N/A,#N/A,FALSE,"DEV COSTS";#N/A,#N/A,FALSE,"10-YR C. F."}</definedName>
    <definedName name="wrn.TOTAL._.SHEETS5" hidden="1">{#N/A,#N/A,FALSE,"DEV COSTS";#N/A,#N/A,FALSE,"10-YR C. F."}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ransPrcd_123." hidden="1">{#N/A,#N/A,TRUE,"TransPrcd 1";#N/A,#N/A,TRUE,"TransPrcd 2";#N/A,#N/A,TRUE,"TransPrcd 3"}</definedName>
    <definedName name="wrn.t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TLPACK.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weety." hidden="1">{#N/A,#N/A,FALSE,"A&amp;E";#N/A,#N/A,FALSE,"HighTop";#N/A,#N/A,FALSE,"JG";#N/A,#N/A,FALSE,"RI";#N/A,#N/A,FALSE,"woHT";#N/A,#N/A,FALSE,"woHT&amp;JG"}</definedName>
    <definedName name="wrn.ty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ycon._.Model." hidden="1">{"rtn",#N/A,FALSE,"RTN";"tables",#N/A,FALSE,"RTN";"cf",#N/A,FALSE,"CF";"stats",#N/A,FALSE,"Stats";"prop",#N/A,FALSE,"Prop"}</definedName>
    <definedName name="wrn.Underwriting._.Analysis." hidden="1">{#N/A,#N/A,FALSE,"Underwriting Analysis"}</definedName>
    <definedName name="wrn.upstairs." hidden="1">{"histincome",#N/A,FALSE,"hyfins";"closing balance",#N/A,FALSE,"hyfins"}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hidden="1">{"Page1",#N/A,FALSE,"7979";"Page2",#N/A,FALSE,"7979";"Page3",#N/A,FALSE,"7979"}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Variance." hidden="1">{#N/A,#N/A,FALSE,"CCC Variance";#N/A,#N/A,FALSE,"CCC Notes"}</definedName>
    <definedName name="wrn.Variance._.1." hidden="1">{"Ebit_Variance",#N/A,FALSE,"P&amp;L";"Cash_Variance",#N/A,FALSE,"Cash"}</definedName>
    <definedName name="wrn.Variance._.2." hidden="1">{"Reserves_Variance",#N/A,FALSE,"Reserves";"Scm_Variance",#N/A,FALSE,"SCM";"tax_variance",#N/A,FALSE,"Tax"}</definedName>
    <definedName name="wrn.Variance._.Worksheet." hidden="1">{#N/A,#N/A,FALSE,"VARSTRIP"}</definedName>
    <definedName name="wrn.ventana." hidden="1">{#N/A,#N/A,FALSE,"Cash Flow";#N/A,#N/A,FALSE,"scenario 1"}</definedName>
    <definedName name="wrn.villages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Wacc." hidden="1">{"Area1",#N/A,FALSE,"OREWACC";"Area2",#N/A,FALSE,"OREWACC"}</definedName>
    <definedName name="wrn.wicor." hidden="1">{#N/A,#N/A,FALSE,"FACTSHEETS";#N/A,#N/A,FALSE,"pump";#N/A,#N/A,FALSE,"filter"}</definedName>
    <definedName name="wrn.Working._.Papers._.1." hidden="1">{"Assumptions_other",#N/A,FALSE,"Assump";"Ebit_division_indirect",#N/A,FALSE,"P&amp;L";"Ebit_indirect_allocation",#N/A,FALSE,"P&amp;L"}</definedName>
    <definedName name="wrn.Working._.Papers._.2." hidden="1">{"Cash_detail",#N/A,FALSE,"Cash";"Cash_reconciliation",#N/A,FALSE,"Cash";"Scm",#N/A,FALSE,"SCM";"Tax",#N/A,FALSE,"Tax"}</definedName>
    <definedName name="wrn.Working._.Party._.List." hidden="1">{#N/A,#N/A,FALSE,"Working List"}</definedName>
    <definedName name="wrn.Wovenhearts." hidden="1">{"One",#N/A,FALSE,"Wovenhearts";"Two",#N/A,FALSE,"Wovenhearts";"Three",#N/A,FALSE,"Wovenhearts";"Four",#N/A,FALSE,"Wovenhearts";"Five",#N/A,FALSE,"Wovenhearts"}</definedName>
    <definedName name="wrn.Wynwood." hidden="1">{"One",#N/A,FALSE,"Wynwood";"Two",#N/A,FALSE,"Wynwood";"Three",#N/A,FALSE,"Wynwood";"Four",#N/A,FALSE,"Wynwood";"Five",#N/A,FALSE,"Wynwood"}</definedName>
    <definedName name="wrn.Year._.End._.APF._.reports.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ly." hidden="1">{"One",#N/A,FALSE,"Yearly"}</definedName>
    <definedName name="wrn.Yield._.Graph." hidden="1">{#N/A,#N/A,FALSE,"Yield Graph"}</definedName>
    <definedName name="wrn.Yield._.Graph._.plus._.Input." hidden="1">{#N/A,#N/A,FALSE,"Yield Graph";#N/A,#N/A,FALSE,"Rent Roll";#N/A,#N/A,FALSE,"OE Yr1";#N/A,#N/A,FALSE,"Repl.Cst.+Ins."}</definedName>
    <definedName name="WRNBV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SDE" hidden="1">{#N/A,#N/A,FALSE,"Min compa cad";#N/A,#N/A,FALSE,"Min CAN Equité ";#N/A,#N/A,FALSE,"Analyse can"}</definedName>
    <definedName name="wsxsw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ctivo.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ingresos." hidden="1">{TRUE,TRUE,-1.25,-15.5,484.5,276.75,FALSE,TRUE,TRUE,TRUE,0,15,#N/A,1,#N/A,11.3880597014925,19.6153846153846,1,FALSE,FALSE,3,TRUE,1,FALSE,75,"Swvu.ingresos.","ACwvu.ingresos.",#N/A,FALSE,FALSE,0,0,0,0,2,"&amp;A","Página &amp;P",TRUE,TRUE,FALSE,FALSE,1,47,#N/A,#N/A,"=R7C14:R90C51","=C14:C23",#N/A,#N/A,FALSE,FALSE,TRUE,9,300,300,FALSE,FALSE,TRUE,TRUE,TRUE}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hidden="1">{#N/A,#N/A,FALSE,"ExecutiveSummary";#N/A,#N/A,FALSE,"CostDetail";#N/A,#N/A,FALSE,"IncomeDetail";#N/A,#N/A,FALSE,"InterestCalculation"}</definedName>
    <definedName name="WWWWW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WWWW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" hidden="1">{#N/A,#N/A,FALSE,"Cashflow Analysis";#N/A,#N/A,FALSE,"Sensitivity Analysis";#N/A,#N/A,FALSE,"PV";#N/A,#N/A,FALSE,"Pro Forma"}</definedName>
    <definedName name="XCFDSA" hidden="1">{#N/A,#N/A,FALSE,"Centres";#N/A,#N/A,FALSE,"Partenariats";#N/A,#N/A,FALSE,"P.Diverses";#N/A,#N/A,FALSE,"Adm";#N/A,#N/A,FALSE,"Autres R-D";#N/A,#N/A,FALSE,"Intérêts"}</definedName>
    <definedName name="XE" hidden="1">{#N/A,#N/A,FALSE,"Centres";#N/A,#N/A,FALSE,"Partenariats";#N/A,#N/A,FALSE,"P.Diverses";#N/A,#N/A,FALSE,"Adm";#N/A,#N/A,FALSE,"Autres R-D";#N/A,#N/A,FALSE,"Intérêts"}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hidden="1">{"Year 1",#N/A,FALSE,"Budget";"Year 2",#N/A,FALSE,"Budget";"Year 3",#N/A,FALSE,"Budget";"Year 4",#N/A,FALSE,"Budget"}</definedName>
    <definedName name="Xuxu" hidden="1">{#N/A,#N/A,FALSE,"CONTROLE"}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hidden="1">{"COM",#N/A,FALSE,"800 10th"}</definedName>
    <definedName name="xxx3" hidden="1">{"AnnualRentRoll",#N/A,FALSE,"RentRoll"}</definedName>
    <definedName name="xxx4" hidden="1">{#N/A,#N/A,FALSE,"ExitStratigy"}</definedName>
    <definedName name="XXXX" hidden="1">{#N/A,#N/A,FALSE,"ExecSum";#N/A,#N/A,FALSE,"Budget";#N/A,#N/A,FALSE,"Summary1";#N/A,#N/A,FALSE,"CashFlow";#N/A,#N/A,FALSE,"Year1 Cash Flow";#N/A,#N/A,FALSE,"Carry";#N/A,#N/A,FALSE,"Page 3"}</definedName>
    <definedName name="XXXXX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yz" hidden="1">{"Construction_Short",#N/A,FALSE,"Construction"}</definedName>
    <definedName name="xz" hidden="1">{#N/A,#N/A,FALSE,"Adm comp";#N/A,#N/A,FALSE,"Adm ajust";"adm",#N/A,FALSE,"Administration";#N/A,#N/A,FALSE,"Adm Bgt 97 vs Prév. 96";#N/A,#N/A,FALSE,"Adm Bgt 97 vs 96"}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hidden="1">{"Construction Costs",#N/A,FALSE,"Budget";"Income Statement",#N/A,FALSE,"Budget"}</definedName>
    <definedName name="yes" hidden="1">{"Construction Costs",#N/A,FALSE,"Budget";"Income Statement",#N/A,FALSE,"Budget"}</definedName>
    <definedName name="yeyee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G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ygbyb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JU" hidden="1">{#N/A,#N/A,FALSE,"Centres";#N/A,#N/A,FALSE,"Partenariats";#N/A,#N/A,FALSE,"P.Diverses";#N/A,#N/A,FALSE,"Adm";#N/A,#N/A,FALSE,"Autres R-D";#N/A,#N/A,FALSE,"Intérêts"}</definedName>
    <definedName name="yhnhyh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juhnj" hidden="1">{#N/A,#N/A,FALSE,"Adm comp";#N/A,#N/A,FALSE,"Adm ajust";"adm",#N/A,FALSE,"Administration";#N/A,#N/A,FALSE,"Adm Bgt 97 vs Prév. 96";#N/A,#N/A,FALSE,"Adm Bgt 97 vs 96"}</definedName>
    <definedName name="you" hidden="1">{"'Assump'!$F$6:$J$6"}</definedName>
    <definedName name="YTRE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yttty" hidden="1">{#N/A,#N/A,FALSE,"Adm comp";#N/A,#N/A,FALSE,"Adm ajust";"adm",#N/A,FALSE,"Administration";#N/A,#N/A,FALSE,"Adm Bgt 97 vs Prév. 96";#N/A,#N/A,FALSE,"Adm Bgt 97 vs 96"}</definedName>
    <definedName name="YUI" hidden="1">{#N/A,#N/A,FALSE,"Min compa cad";#N/A,#N/A,FALSE,"Min CAN Equité ";#N/A,#N/A,FALSE,"Analyse can"}</definedName>
    <definedName name="YUYUY" hidden="1">{#N/A,#N/A,FALSE,"Min compar us";#N/A,#N/A,FALSE,"Min US Equité ";#N/A,#N/A,FALSE,"Analyse U.S."}</definedName>
    <definedName name="yyy" hidden="1">{#N/A,#N/A,FALSE,"Min compar us";#N/A,#N/A,FALSE,"Min US Equité ";#N/A,#N/A,FALSE,"Analyse U.S."}</definedName>
    <definedName name="YYYYYY" hidden="1">{#N/A,#N/A,FALSE,"Centres";#N/A,#N/A,FALSE,"Partenariats";#N/A,#N/A,FALSE,"P.Diverses";#N/A,#N/A,FALSE,"Adm";#N/A,#N/A,FALSE,"Autres R-D";#N/A,#N/A,FALSE,"Intérêts"}</definedName>
    <definedName name="Z_0E5612F1_1C5C_4147_BE42_908BDE0B1405_.wvu.FilterData" hidden="1">#REF!</definedName>
    <definedName name="Z_0E5612F1_1C5C_4147_BE42_908BDE0B1405_.wvu.PrintTitles" hidden="1">#REF!</definedName>
    <definedName name="Z_45B15D42_AD22_11D1_BBC3_444553540000_.wvu.Rows" hidden="1">#REF!</definedName>
    <definedName name="Z_45B15D43_AD22_11D1_BBC3_444553540000_.wvu.Rows" hidden="1">#REF!</definedName>
    <definedName name="Z_88C269E0_AAB5_11D1_BBC3_444553540000_.wvu.PrintTitles" hidden="1">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F8A287BF_980C_4986_B08C_54EAB9AA17CB_.wvu.FilterData" hidden="1">#REF!</definedName>
    <definedName name="Z_F8A287BF_980C_4986_B08C_54EAB9AA17CB_.wvu.PrintTitles" hidden="1">#REF!</definedName>
    <definedName name="Zaventhem2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ZAXSCDVFBG" hidden="1">{#N/A,#N/A,FALSE,"Centres";#N/A,#N/A,FALSE,"Partenariats";#N/A,#N/A,FALSE,"P.Diverses";#N/A,#N/A,FALSE,"Adm";#N/A,#N/A,FALSE,"Autres R-D";#N/A,#N/A,FALSE,"Intérêts"}</definedName>
    <definedName name="ZE" hidden="1">{#N/A,#N/A,FALSE,"CONTROLE"}</definedName>
    <definedName name="ZPQLA" hidden="1">{#N/A,#N/A,FALSE,"Min compar us";#N/A,#N/A,FALSE,"Min US Equité ";#N/A,#N/A,FALSE,"Analyse U.S."}</definedName>
    <definedName name="zsdf" hidden="1">{"AnnualRentRoll",#N/A,FALSE,"RentRoll"}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XCNFJ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zzzz" hidden="1">{"Commish",#N/A,FALSE,"LAWTC"}</definedName>
    <definedName name="_xlnm.Print_Area" localSheetId="1">'Dashboard'!$B$2:$W$59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3">'Scenario 0'!$B$1:$P$187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4">'Scenario 1'!$B$1:$P$186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5">'Scenario 2'!$B$1:$P$186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6">'Scenario 3'!$B$1:$P$186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____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a1" localSheetId="15" hidden="1">{"Assump",#N/A,TRUE,"Proforma";"first",#N/A,TRUE,"Proforma";"second",#N/A,TRUE,"Proforma";"lease1",#N/A,TRUE,"Proforma";"lease2",#N/A,TRUE,"Proforma"}</definedName>
    <definedName name="________________jo2" localSheetId="15" hidden="1">{#N/A,#N/A,FALSE,"DCF-COM";#N/A,#N/A,FALSE,"VAC-COM"}</definedName>
    <definedName name="________________jo3" localSheetId="15" hidden="1">{"CASHFLOW",#N/A,FALSE,"Northpointe"}</definedName>
    <definedName name="________________jo4" localSheetId="15" hidden="1">{#N/A,#N/A,FALSE,"SHEET1";#N/A,#N/A,FALSE,"SHEET2";#N/A,#N/A,FALSE,"SHEET3";#N/A,#N/A,FALSE,"SHEET4"}</definedName>
    <definedName name="_______________a1" localSheetId="15" hidden="1">{"Assump",#N/A,TRUE,"Proforma";"first",#N/A,TRUE,"Proforma";"second",#N/A,TRUE,"Proforma";"lease1",#N/A,TRUE,"Proforma";"lease2",#N/A,TRUE,"Proforma"}</definedName>
    <definedName name="_______________jo2" localSheetId="15" hidden="1">{#N/A,#N/A,FALSE,"DCF-COM";#N/A,#N/A,FALSE,"VAC-COM"}</definedName>
    <definedName name="_______________jo3" localSheetId="15" hidden="1">{"CASHFLOW",#N/A,FALSE,"Northpointe"}</definedName>
    <definedName name="_______________jo4" localSheetId="15" hidden="1">{#N/A,#N/A,FALSE,"SHEET1";#N/A,#N/A,FALSE,"SHEET2";#N/A,#N/A,FALSE,"SHEET3";#N/A,#N/A,FALSE,"SHEET4"}</definedName>
    <definedName name="__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a1" localSheetId="15" hidden="1">{"Assump",#N/A,TRUE,"Proforma";"first",#N/A,TRUE,"Proforma";"second",#N/A,TRUE,"Proforma";"lease1",#N/A,TRUE,"Proforma";"lease2",#N/A,TRUE,"Proforma"}</definedName>
    <definedName name="______________jo2" localSheetId="15" hidden="1">{#N/A,#N/A,FALSE,"DCF-COM";#N/A,#N/A,FALSE,"VAC-COM"}</definedName>
    <definedName name="______________jo3" localSheetId="15" hidden="1">{"CASHFLOW",#N/A,FALSE,"Northpointe"}</definedName>
    <definedName name="______________jo4" localSheetId="15" hidden="1">{#N/A,#N/A,FALSE,"SHEET1";#N/A,#N/A,FALSE,"SHEET2";#N/A,#N/A,FALSE,"SHEET3";#N/A,#N/A,FALSE,"SHEET4"}</definedName>
    <definedName name="_____________a1" localSheetId="15" hidden="1">{"Assump",#N/A,TRUE,"Proforma";"first",#N/A,TRUE,"Proforma";"second",#N/A,TRUE,"Proforma";"lease1",#N/A,TRUE,"Proforma";"lease2",#N/A,TRUE,"Proforma"}</definedName>
    <definedName name="_____________jo2" localSheetId="15" hidden="1">{#N/A,#N/A,FALSE,"DCF-COM";#N/A,#N/A,FALSE,"VAC-COM"}</definedName>
    <definedName name="_____________jo3" localSheetId="15" hidden="1">{"CASHFLOW",#N/A,FALSE,"Northpointe"}</definedName>
    <definedName name="_____________jo4" localSheetId="15" hidden="1">{#N/A,#N/A,FALSE,"SHEET1";#N/A,#N/A,FALSE,"SHEET2";#N/A,#N/A,FALSE,"SHEET3";#N/A,#N/A,FALSE,"SHEET4"}</definedName>
    <definedName name="_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a1" localSheetId="15" hidden="1">{"Assump",#N/A,TRUE,"Proforma";"first",#N/A,TRUE,"Proforma";"second",#N/A,TRUE,"Proforma";"lease1",#N/A,TRUE,"Proforma";"lease2",#N/A,TRUE,"Proforma"}</definedName>
    <definedName name="____________jo2" localSheetId="15" hidden="1">{#N/A,#N/A,FALSE,"DCF-COM";#N/A,#N/A,FALSE,"VAC-COM"}</definedName>
    <definedName name="____________jo3" localSheetId="15" hidden="1">{"CASHFLOW",#N/A,FALSE,"Northpointe"}</definedName>
    <definedName name="____________jo4" localSheetId="15" hidden="1">{#N/A,#N/A,FALSE,"SHEET1";#N/A,#N/A,FALSE,"SHEET2";#N/A,#N/A,FALSE,"SHEET3";#N/A,#N/A,FALSE,"SHEET4"}</definedName>
    <definedName name="_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a1" localSheetId="15" hidden="1">{"Assump",#N/A,TRUE,"Proforma";"first",#N/A,TRUE,"Proforma";"second",#N/A,TRUE,"Proforma";"lease1",#N/A,TRUE,"Proforma";"lease2",#N/A,TRUE,"Proforma"}</definedName>
    <definedName name="___________jo2" localSheetId="15" hidden="1">{#N/A,#N/A,FALSE,"DCF-COM";#N/A,#N/A,FALSE,"VAC-COM"}</definedName>
    <definedName name="___________jo3" localSheetId="15" hidden="1">{"CASHFLOW",#N/A,FALSE,"Northpointe"}</definedName>
    <definedName name="___________jo4" localSheetId="15" hidden="1">{#N/A,#N/A,FALSE,"SHEET1";#N/A,#N/A,FALSE,"SHEET2";#N/A,#N/A,FALSE,"SHEET3";#N/A,#N/A,FALSE,"SHEET4"}</definedName>
    <definedName name="_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a1" localSheetId="15" hidden="1">{"Assump",#N/A,TRUE,"Proforma";"first",#N/A,TRUE,"Proforma";"second",#N/A,TRUE,"Proforma";"lease1",#N/A,TRUE,"Proforma";"lease2",#N/A,TRUE,"Proforma"}</definedName>
    <definedName name="_________jo2" localSheetId="15" hidden="1">{#N/A,#N/A,FALSE,"DCF-COM";#N/A,#N/A,FALSE,"VAC-COM"}</definedName>
    <definedName name="_________jo3" localSheetId="15" hidden="1">{"CASHFLOW",#N/A,FALSE,"Northpointe"}</definedName>
    <definedName name="_________jo4" localSheetId="15" hidden="1">{#N/A,#N/A,FALSE,"SHEET1";#N/A,#N/A,FALSE,"SHEET2";#N/A,#N/A,FALSE,"SHEET3";#N/A,#N/A,FALSE,"SHEET4"}</definedName>
    <definedName name="_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a1" localSheetId="15" hidden="1">{"Assump",#N/A,TRUE,"Proforma";"first",#N/A,TRUE,"Proforma";"second",#N/A,TRUE,"Proforma";"lease1",#N/A,TRUE,"Proforma";"lease2",#N/A,TRUE,"Proforma"}</definedName>
    <definedName name="________jo2" localSheetId="15" hidden="1">{#N/A,#N/A,FALSE,"DCF-COM";#N/A,#N/A,FALSE,"VAC-COM"}</definedName>
    <definedName name="________jo3" localSheetId="15" hidden="1">{"CASHFLOW",#N/A,FALSE,"Northpointe"}</definedName>
    <definedName name="________jo4" localSheetId="15" hidden="1">{#N/A,#N/A,FALSE,"SHEET1";#N/A,#N/A,FALSE,"SHEET2";#N/A,#N/A,FALSE,"SHEET3";#N/A,#N/A,FALSE,"SHEET4"}</definedName>
    <definedName name="_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a1" localSheetId="15" hidden="1">{"Assump",#N/A,TRUE,"Proforma";"first",#N/A,TRUE,"Proforma";"second",#N/A,TRUE,"Proforma";"lease1",#N/A,TRUE,"Proforma";"lease2",#N/A,TRUE,"Proforma"}</definedName>
    <definedName name="_______jo2" localSheetId="15" hidden="1">{#N/A,#N/A,FALSE,"DCF-COM";#N/A,#N/A,FALSE,"VAC-COM"}</definedName>
    <definedName name="_______jo3" localSheetId="15" hidden="1">{"CASHFLOW",#N/A,FALSE,"Northpointe"}</definedName>
    <definedName name="_______jo4" localSheetId="15" hidden="1">{#N/A,#N/A,FALSE,"SHEET1";#N/A,#N/A,FALSE,"SHEET2";#N/A,#N/A,FALSE,"SHEET3";#N/A,#N/A,FALSE,"SHEET4"}</definedName>
    <definedName name="_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a1" localSheetId="15" hidden="1">{"Assump",#N/A,TRUE,"Proforma";"first",#N/A,TRUE,"Proforma";"second",#N/A,TRUE,"Proforma";"lease1",#N/A,TRUE,"Proforma";"lease2",#N/A,TRUE,"Proforma"}</definedName>
    <definedName name="______jo2" localSheetId="15" hidden="1">{#N/A,#N/A,FALSE,"DCF-COM";#N/A,#N/A,FALSE,"VAC-COM"}</definedName>
    <definedName name="______jo3" localSheetId="15" hidden="1">{"CASHFLOW",#N/A,FALSE,"Northpointe"}</definedName>
    <definedName name="______jo4" localSheetId="15" hidden="1">{#N/A,#N/A,FALSE,"SHEET1";#N/A,#N/A,FALSE,"SHEET2";#N/A,#N/A,FALSE,"SHEET3";#N/A,#N/A,FALSE,"SHEET4"}</definedName>
    <definedName name="_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a1" localSheetId="15" hidden="1">{"Assump",#N/A,TRUE,"Proforma";"first",#N/A,TRUE,"Proforma";"second",#N/A,TRUE,"Proforma";"lease1",#N/A,TRUE,"Proforma";"lease2",#N/A,TRUE,"Proforma"}</definedName>
    <definedName name="_____jo2" localSheetId="15" hidden="1">{#N/A,#N/A,FALSE,"DCF-COM";#N/A,#N/A,FALSE,"VAC-COM"}</definedName>
    <definedName name="_____jo3" localSheetId="15" hidden="1">{"CASHFLOW",#N/A,FALSE,"Northpointe"}</definedName>
    <definedName name="_____jo4" localSheetId="15" hidden="1">{#N/A,#N/A,FALSE,"SHEET1";#N/A,#N/A,FALSE,"SHEET2";#N/A,#N/A,FALSE,"SHEET3";#N/A,#N/A,FALSE,"SHEET4"}</definedName>
    <definedName name="_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a1" localSheetId="15" hidden="1">{"Assump",#N/A,TRUE,"Proforma";"first",#N/A,TRUE,"Proforma";"second",#N/A,TRUE,"Proforma";"lease1",#N/A,TRUE,"Proforma";"lease2",#N/A,TRUE,"Proforma"}</definedName>
    <definedName name="____jo2" localSheetId="15" hidden="1">{#N/A,#N/A,FALSE,"DCF-COM";#N/A,#N/A,FALSE,"VAC-COM"}</definedName>
    <definedName name="____jo3" localSheetId="15" hidden="1">{"CASHFLOW",#N/A,FALSE,"Northpointe"}</definedName>
    <definedName name="____jo4" localSheetId="15" hidden="1">{#N/A,#N/A,FALSE,"SHEET1";#N/A,#N/A,FALSE,"SHEET2";#N/A,#N/A,FALSE,"SHEET3";#N/A,#N/A,FALSE,"SHEET4"}</definedName>
    <definedName name="_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2__123Graph_ACHART_2" localSheetId="15" hidden="1">#REF!</definedName>
    <definedName name="___a1" localSheetId="15" hidden="1">{"Assump",#N/A,TRUE,"Proforma";"first",#N/A,TRUE,"Proforma";"second",#N/A,TRUE,"Proforma";"lease1",#N/A,TRUE,"Proforma";"lease2",#N/A,TRUE,"Proforma"}</definedName>
    <definedName name="___del1" localSheetId="15" hidden="1">{"Page1",#N/A,FALSE,"7979";"Page2",#N/A,FALSE,"7979";"Page3",#N/A,FALSE,"7979"}</definedName>
    <definedName name="___jo2" localSheetId="15" hidden="1">{#N/A,#N/A,FALSE,"DCF-COM";#N/A,#N/A,FALSE,"VAC-COM"}</definedName>
    <definedName name="___jo3" localSheetId="15" hidden="1">{"CASHFLOW",#N/A,FALSE,"Northpointe"}</definedName>
    <definedName name="___jo4" localSheetId="15" hidden="1">{#N/A,#N/A,FALSE,"SHEET1";#N/A,#N/A,FALSE,"SHEET2";#N/A,#N/A,FALSE,"SHEET3";#N/A,#N/A,FALSE,"SHEET4"}</definedName>
    <definedName name="_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123Graph_A" localSheetId="15" hidden="1">#REF!</definedName>
    <definedName name="__123Graph_X" localSheetId="15" hidden="1">#REF!</definedName>
    <definedName name="__a1" localSheetId="15" hidden="1">{"Assump",#N/A,TRUE,"Proforma";"first",#N/A,TRUE,"Proforma";"second",#N/A,TRUE,"Proforma";"lease1",#N/A,TRUE,"Proforma";"lease2",#N/A,TRUE,"Proforma"}</definedName>
    <definedName name="__adv2" localSheetId="15" hidden="1">{"Proforma",#N/A,FALSE,"Sheet1"}</definedName>
    <definedName name="__adv3" localSheetId="15" hidden="1">{"Proforma",#N/A,FALSE,"Sheet1"}</definedName>
    <definedName name="__adv4" localSheetId="15" hidden="1">{"Proforma",#N/A,FALSE,"Sheet1"}</definedName>
    <definedName name="__del1" localSheetId="15" hidden="1">{"Page1",#N/A,FALSE,"7979";"Page2",#N/A,FALSE,"7979";"Page3",#N/A,FALSE,"7979"}</definedName>
    <definedName name="__jo2" localSheetId="15" hidden="1">{#N/A,#N/A,FALSE,"DCF-COM";#N/A,#N/A,FALSE,"VAC-COM"}</definedName>
    <definedName name="__jo3" localSheetId="15" hidden="1">{"CASHFLOW",#N/A,FALSE,"Northpointe"}</definedName>
    <definedName name="__jo4" localSheetId="15" hidden="1">{#N/A,#N/A,FALSE,"SHEET1";#N/A,#N/A,FALSE,"SHEET2";#N/A,#N/A,FALSE,"SHEET3";#N/A,#N/A,FALSE,"SHEET4"}</definedName>
    <definedName name="_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1__123Graph_ACHART_1" localSheetId="15" hidden="1">#REF!</definedName>
    <definedName name="_1__123Graph_ACHART_2" localSheetId="15" hidden="1">#REF!</definedName>
    <definedName name="_1__FDSAUDITLINK__" localSheetId="15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_0ACwvu.Pag" localSheetId="15" hidden="1">#REF!</definedName>
    <definedName name="_10__123Graph_BGRAFICO_20" localSheetId="15" hidden="1">#REF!</definedName>
    <definedName name="_10__FDSAUDITLINK__" localSheetId="15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1__123Graph_BGRAFICO_7" localSheetId="15" hidden="1">#REF!</definedName>
    <definedName name="_11__FDSAUDITLINK__" localSheetId="15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2__123Graph_BGRAFICO_8" localSheetId="15" hidden="1">#REF!</definedName>
    <definedName name="_12__FDSAUDITLINK__" localSheetId="15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3__123Graph_CGRAFICO_20" localSheetId="15" hidden="1">#REF!</definedName>
    <definedName name="_15__123Graph_DGRAFICO_20" localSheetId="15" hidden="1">#REF!</definedName>
    <definedName name="_16__123Graph_EGRAFICO_20" localSheetId="15" hidden="1">#REF!</definedName>
    <definedName name="_2__123Graph_ACHART_2" localSheetId="15" hidden="1">#REF!</definedName>
    <definedName name="_2__FDSAUDITLINK__" localSheetId="15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_0Swvu.Pag" localSheetId="15" hidden="1">#REF!</definedName>
    <definedName name="_20__123Graph_LBL_AGRAFICO_20" localSheetId="15" hidden="1">#REF!</definedName>
    <definedName name="_21__123Graph_LBL_BGRAFICO_20" localSheetId="15" hidden="1">#REF!</definedName>
    <definedName name="_3__FDSAUDITLINK__" localSheetId="15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4__123Graph_ACHART_3" localSheetId="15" hidden="1">#REF!</definedName>
    <definedName name="_4__FDSAUDITLINK__" localSheetId="15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5__123Graph_AGRAFICO_20" localSheetId="15" hidden="1">#REF!</definedName>
    <definedName name="_5__FDSAUDITLINK__" localSheetId="15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6__123Graph_AGRAFICO_7" localSheetId="15" hidden="1">#REF!</definedName>
    <definedName name="_6__FDSAUDITLINK__" localSheetId="15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7__123Graph_AGRAFICO_8" localSheetId="15" hidden="1">#REF!</definedName>
    <definedName name="_7__FDSAUDITLINK__" localSheetId="15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8__FDSAUDITLINK__" localSheetId="15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9__123Graph_BCHART_3" localSheetId="15" hidden="1">#REF!</definedName>
    <definedName name="_9__FDSAUDITLINK__" localSheetId="15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a1" localSheetId="15" hidden="1">{"Assump",#N/A,TRUE,"Proforma";"first",#N/A,TRUE,"Proforma";"second",#N/A,TRUE,"Proforma";"lease1",#N/A,TRUE,"Proforma";"lease2",#N/A,TRUE,"Proforma"}</definedName>
    <definedName name="_adv2" localSheetId="15" hidden="1">{"Proforma",#N/A,FALSE,"Sheet1"}</definedName>
    <definedName name="_adv3" localSheetId="15" hidden="1">{"Proforma",#N/A,FALSE,"Sheet1"}</definedName>
    <definedName name="_adv4" localSheetId="15" hidden="1">{"Proforma",#N/A,FALSE,"Sheet1"}</definedName>
    <definedName name="_DCF1" localSheetId="15" hidden="1">{#N/A,#N/A,FALSE,"DCF Summary";#N/A,#N/A,FALSE,"Casema";#N/A,#N/A,FALSE,"Casema NoTel";#N/A,#N/A,FALSE,"UK";#N/A,#N/A,FALSE,"RCF";#N/A,#N/A,FALSE,"Intercable CZ";#N/A,#N/A,FALSE,"Interkabel P"}</definedName>
    <definedName name="_del1" localSheetId="15" hidden="1">{"Page1",#N/A,FALSE,"7979";"Page2",#N/A,FALSE,"7979";"Page3",#N/A,FALSE,"7979"}</definedName>
    <definedName name="_jo2" localSheetId="15" hidden="1">{#N/A,#N/A,FALSE,"DCF-COM";#N/A,#N/A,FALSE,"VAC-COM"}</definedName>
    <definedName name="_jo3" localSheetId="15" hidden="1">{"CASHFLOW",#N/A,FALSE,"Northpointe"}</definedName>
    <definedName name="_jo4" localSheetId="15" hidden="1">{#N/A,#N/A,FALSE,"SHEET1";#N/A,#N/A,FALSE,"SHEET2";#N/A,#N/A,FALSE,"SHEET3";#N/A,#N/A,FALSE,"SHEET4"}</definedName>
    <definedName name="_Key1" localSheetId="15" hidden="1">#REF!</definedName>
    <definedName name="_NOV9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Order1" localSheetId="15" hidden="1">255</definedName>
    <definedName name="_Order2" localSheetId="15" hidden="1">0</definedName>
    <definedName name="_pro2" localSheetId="15" hidden="1">{"Construction Costs",#N/A,FALSE,"Budget";"Income Statement",#N/A,FALSE,"Budget"}</definedName>
    <definedName name="_Sort" localSheetId="15" hidden="1">#REF!</definedName>
    <definedName name="_Table1_In1" localSheetId="15" hidden="1">#REF!</definedName>
    <definedName name="_Table1_Out" localSheetId="15" hidden="1">#REF!</definedName>
    <definedName name="_Table2_In1" localSheetId="15" hidden="1">#REF!</definedName>
    <definedName name="_Table2_In2" localSheetId="15" hidden="1">#REF!</definedName>
    <definedName name="_wrn1" localSheetId="15" hidden="1">{"schedule1",#N/A,FALSE,"Sheet1";"schedule2",#N/A,FALSE,"Sheet1";"schedule3",#N/A,FALSE,"Sheet1";"schedule4",#N/A,FALSE,"Sheet1";"schedule5",#N/A,FALSE,"Sheet1";"schedule6",#N/A,FALSE,"Sheet1"}</definedName>
    <definedName name="A" localSheetId="15" hidden="1">{"Output-BaseYear",#N/A,FALSE,"Output"}</definedName>
    <definedName name="a1a1" localSheetId="15" hidden="1">{"Assump",#N/A,TRUE,"Proforma";"first",#N/A,TRUE,"Proforma";"second",#N/A,TRUE,"Proforma";"lease1",#N/A,TRUE,"Proforma";"lease2",#N/A,TRUE,"Proforma"}</definedName>
    <definedName name="aa" localSheetId="15" hidden="1">{"AnnualRentRoll",#N/A,FALSE,"RentRoll"}</definedName>
    <definedName name="aaa" localSheetId="15" hidden="1">{"AnnualRentRoll",#N/A,FALSE,"RentRoll"}</definedName>
    <definedName name="aaaaa" localSheetId="15" hidden="1">{"Assump",#N/A,TRUE,"Proforma";"first",#N/A,TRUE,"Proforma";"second",#N/A,TRUE,"Proforma";"lease1",#N/A,TRUE,"Proforma";"lease2",#N/A,TRUE,"Proforma"}</definedName>
    <definedName name="aaaaaa1" localSheetId="15" hidden="1">{#N/A,#N/A,FALSE,"Adm comp";#N/A,#N/A,FALSE,"Adm ajust";"adm",#N/A,FALSE,"Administration";#N/A,#N/A,FALSE,"Adm Bgt 97 vs Prév. 96";#N/A,#N/A,FALSE,"Adm Bgt 97 vs 96"}</definedName>
    <definedName name="aaaaaaa" localSheetId="15" hidden="1">{#N/A,#N/A,FALSE,"Adm comp";#N/A,#N/A,FALSE,"Adm ajust";"adm",#N/A,FALSE,"Administration";#N/A,#N/A,FALSE,"Adm Bgt 97 vs Prév. 96";#N/A,#N/A,FALSE,"Adm Bgt 97 vs 96"}</definedName>
    <definedName name="ab" localSheetId="15" hidden="1">{#N/A,#N/A,TRUE,"Ericsson Stadium PCD ";#N/A,#N/A,TRUE,"Ericsson Stadium IOR"}</definedName>
    <definedName name="ab_condo" localSheetId="15" hidden="1">{#N/A,#N/A,TRUE,"Ericsson Stadium PCD ";#N/A,#N/A,TRUE,"Ericsson Stadium IOR"}</definedName>
    <definedName name="AD" localSheetId="15" hidden="1">{#N/A,#N/A,FALSE,"Adm comp";#N/A,#N/A,FALSE,"Adm ajust";"adm",#N/A,FALSE,"Administration";#N/A,#N/A,FALSE,"Adm Bgt 97 vs Prév. 96";#N/A,#N/A,FALSE,"Adm Bgt 97 vs 96"}</definedName>
    <definedName name="ADAD" localSheetId="15" hidden="1">{#N/A,#N/A,FALSE,"Adm comp";#N/A,#N/A,FALSE,"Adm ajust";"adm",#N/A,FALSE,"Administration";#N/A,#N/A,FALSE,"Adm Bgt 97 vs Prév. 96";#N/A,#N/A,FALSE,"Adm Bgt 97 vs 96"}</definedName>
    <definedName name="adf" localSheetId="15" hidden="1">{#N/A,#N/A,FALSE,"SCHEDULE G"}</definedName>
    <definedName name="adfa" localSheetId="15" hidden="1">{"cap_structure",#N/A,FALSE,"Graph-Mkt Cap";"price",#N/A,FALSE,"Graph-Price";"ebit",#N/A,FALSE,"Graph-EBITDA";"ebitda",#N/A,FALSE,"Graph-EBITDA"}</definedName>
    <definedName name="ADFWAE" localSheetId="15" hidden="1">{"summary1",#N/A,TRUE,"Comps";"summary2",#N/A,TRUE,"Comps";"summary3",#N/A,TRUE,"Comps"}</definedName>
    <definedName name="adgad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MAMD" localSheetId="15" hidden="1">{#N/A,#N/A,FALSE,"Adm comp";#N/A,#N/A,FALSE,"Adm ajust";"adm",#N/A,FALSE,"Administration";#N/A,#N/A,FALSE,"Adm Bgt 97 vs Prév. 96";#N/A,#N/A,FALSE,"Adm Bgt 97 vs 96"}</definedName>
    <definedName name="ads" localSheetId="15" hidden="1">{"inputs raw data",#N/A,TRUE,"INPUT"}</definedName>
    <definedName name="ADSA" localSheetId="15" hidden="1">{#N/A,#N/A,FALSE,"Adm comp";#N/A,#N/A,FALSE,"Adm ajust";"adm",#N/A,FALSE,"Administration";#N/A,#N/A,FALSE,"Adm Bgt 97 vs Prév. 96";#N/A,#N/A,FALSE,"Adm Bgt 97 vs 96"}</definedName>
    <definedName name="ADSFA" localSheetId="15" hidden="1">{"inputs raw data",#N/A,TRUE,"INPUT"}</definedName>
    <definedName name="adssa" localSheetId="15" hidden="1">{"Page1",#N/A,FALSE,"Summary";"Page2",#N/A,FALSE,"Summary";"Page3",#N/A,FALSE,"Summary";"Page4",#N/A,FALSE,"Summary"}</definedName>
    <definedName name="adv" localSheetId="15" hidden="1">{"Proforma",#N/A,FALSE,"Sheet1"}</definedName>
    <definedName name="AEWEW" localSheetId="15" hidden="1">{"inputs raw data",#N/A,TRUE,"INPUT"}</definedName>
    <definedName name="afe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JSXBDEI" localSheetId="15" hidden="1">{#N/A,#N/A,FALSE,"Min compa cad";#N/A,#N/A,FALSE,"Min CAN Equité ";#N/A,#N/A,FALSE,"Analyse can"}</definedName>
    <definedName name="AKKQIW" localSheetId="15" hidden="1">{#N/A,#N/A,FALSE,"Adm comp";#N/A,#N/A,FALSE,"Adm ajust";"adm",#N/A,FALSE,"Administration";#N/A,#N/A,FALSE,"Adm Bgt 97 vs Prév. 96";#N/A,#N/A,FALSE,"Adm Bgt 97 vs 96"}</definedName>
    <definedName name="AKQI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SJD" localSheetId="15" hidden="1">{#N/A,#N/A,FALSE,"Min compa cad";#N/A,#N/A,FALSE,"Min CAN Equité ";#N/A,#N/A,FALSE,"Analyse can"}</definedName>
    <definedName name="ALKSKDJ" localSheetId="15" hidden="1">{#N/A,#N/A,FALSE,"Centres";#N/A,#N/A,FALSE,"Partenariats";#N/A,#N/A,FALSE,"P.Diverses";#N/A,#N/A,FALSE,"Adm";#N/A,#N/A,FALSE,"Autres R-D";#N/A,#N/A,FALSE,"Intérêts"}</definedName>
    <definedName name="ALSKDJFH" localSheetId="15" hidden="1">{#N/A,#N/A,FALSE,"Min compa cad";#N/A,#N/A,FALSE,"Min CAN Equité ";#N/A,#N/A,FALSE,"Analyse can"}</definedName>
    <definedName name="AOQBD" localSheetId="15" hidden="1">{#N/A,#N/A,FALSE,"Adm comp";#N/A,#N/A,FALSE,"Adm ajust";"adm",#N/A,FALSE,"Administration";#N/A,#N/A,FALSE,"Adm Bgt 97 vs Prév. 96";#N/A,#N/A,FALSE,"Adm Bgt 97 vs 96"}</definedName>
    <definedName name="arew" localSheetId="15" hidden="1">{"cap_structure",#N/A,FALSE,"Graph-Mkt Cap";"price",#N/A,FALSE,"Graph-Price";"ebit",#N/A,FALSE,"Graph-EBITDA";"ebitda",#N/A,FALSE,"Graph-EBITDA"}</definedName>
    <definedName name="arg" localSheetId="15" hidden="1">{"inputs raw data",#N/A,TRUE,"INPUT"}</definedName>
    <definedName name="as" localSheetId="15" hidden="1">{"FCB_ALL",#N/A,FALSE,"FCB"}</definedName>
    <definedName name="asd" localSheetId="15" hidden="1">{#N/A,#N/A,FALSE,"Adm comp";#N/A,#N/A,FALSE,"Adm ajust";"adm",#N/A,FALSE,"Administration";#N/A,#N/A,FALSE,"Adm Bgt 97 vs Prév. 96";#N/A,#N/A,FALSE,"Adm Bgt 97 vs 96"}</definedName>
    <definedName name="asda" localSheetId="15" hidden="1">{#N/A,#N/A,FALSE,"Centres";#N/A,#N/A,FALSE,"Partenariats";#N/A,#N/A,FALSE,"P.Diverses";#N/A,#N/A,FALSE,"Adm";#N/A,#N/A,FALSE,"Autres R-D";#N/A,#N/A,FALSE,"Intérêts"}</definedName>
    <definedName name="asd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ASDFG" localSheetId="15" hidden="1">{#N/A,#N/A,FALSE,"Min compar us";#N/A,#N/A,FALSE,"Min US Equité ";#N/A,#N/A,FALSE,"Analyse U.S."}</definedName>
    <definedName name="asdfsdfsdf" localSheetId="15" hidden="1">{#N/A,#N/A,FALSE,"Expense Comparison"}</definedName>
    <definedName name="asdssad" localSheetId="15" hidden="1">{"Section 1",#N/A,TRUE,"Summary";"Section 2",#N/A,TRUE,"Summary";"Section 3",#N/A,TRUE,"Summary";"Section 4",#N/A,TRUE,"Summary"}</definedName>
    <definedName name="asfaF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get" localSheetId="15" hidden="1">{"Page1",#N/A,FALSE,"7979";"Page2",#N/A,FALSE,"7979";"Page3",#N/A,FALSE,"7979"}</definedName>
    <definedName name="ashish" localSheetId="15" hidden="1">{"'Assump'!$F$6:$J$6"}</definedName>
    <definedName name="b" localSheetId="15" hidden="1">{#N/A,#N/A,FALSE,"ExitStratigy"}</definedName>
    <definedName name="BadLink" localSheetId="15" hidden="1">#REF!</definedName>
    <definedName name="bb" localSheetId="15" hidden="1">{#N/A,#N/A,FALSE,"ExitStratigy"}</definedName>
    <definedName name="bbb" localSheetId="15" hidden="1">{#N/A,#N/A,FALSE,"ExitStratigy"}</definedName>
    <definedName name="BBBBBB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bbbbb1" localSheetId="15" hidden="1">{#N/A,#N/A,FALSE,"Adm comp";#N/A,#N/A,FALSE,"Adm ajust";"adm",#N/A,FALSE,"Administration";#N/A,#N/A,FALSE,"Adm Bgt 97 vs Prév. 96";#N/A,#N/A,FALSE,"Adm Bgt 97 vs 96"}</definedName>
    <definedName name="beattle" localSheetId="15" hidden="1">{"Full Sheet",#N/A,FALSE,"Expense Comparison"}</definedName>
    <definedName name="BGR" localSheetId="15" hidden="1">{#N/A,#N/A,FALSE,"Centres";#N/A,#N/A,FALSE,"Partenariats";#N/A,#N/A,FALSE,"P.Diverses";#N/A,#N/A,FALSE,"Adm";#N/A,#N/A,FALSE,"Autres R-D";#N/A,#N/A,FALSE,"Intérêts"}</definedName>
    <definedName name="BGRFVG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hbhbhbh" localSheetId="15" hidden="1">{#N/A,#N/A,FALSE,"Centres";#N/A,#N/A,FALSE,"Partenariats";#N/A,#N/A,FALSE,"P.Diverses";#N/A,#N/A,FALSE,"Adm";#N/A,#N/A,FALSE,"Autres R-D";#N/A,#N/A,FALSE,"Intérêts"}</definedName>
    <definedName name="BLPH_2" localSheetId="15" hidden="1">#REF!</definedName>
    <definedName name="BLPH1" localSheetId="15" hidden="1">#REF!</definedName>
    <definedName name="BLPH1000003" localSheetId="15" hidden="1">#REF!</definedName>
    <definedName name="BLPH12" localSheetId="15" hidden="1">#REF!</definedName>
    <definedName name="BLPH13" localSheetId="15" hidden="1">#REF!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T" localSheetId="15" hidden="1">{"all",#N/A,FALSE,"Compco";"summary",#N/A,FALSE,"Compco"}</definedName>
    <definedName name="BVBVB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c" localSheetId="15" hidden="1">{#N/A,#N/A,FALSE,"LoanAssumptions"}</definedName>
    <definedName name="ccc" localSheetId="15" hidden="1">{#N/A,#N/A,FALSE,"LoanAssumptions"}</definedName>
    <definedName name="CCCCC" localSheetId="15" hidden="1">{#N/A,#N/A,FALSE,"Adm comp";#N/A,#N/A,FALSE,"Adm ajust";"adm",#N/A,FALSE,"Administration";#N/A,#N/A,FALSE,"Adm Bgt 97 vs Prév. 96";#N/A,#N/A,FALSE,"Adm Bgt 97 vs 96"}</definedName>
    <definedName name="CCCOOO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euta" localSheetId="15" hidden="1">{#N/A,#N/A,FALSE,"EOAF";#N/A,#N/A,FALSE,"Ingresos";#N/A,#N/A,FALSE,"Rat2";#N/A,#N/A,FALSE,"IFP";#N/A,#N/A,FALSE,"Anexo"}</definedName>
    <definedName name="cfdgdhtrgtrh" localSheetId="15" hidden="1">{#N/A,#N/A,FALSE,"Centres";#N/A,#N/A,FALSE,"Partenariats";#N/A,#N/A,FALSE,"P.Diverses";#N/A,#N/A,FALSE,"Adm";#N/A,#N/A,FALSE,"Autres R-D";#N/A,#N/A,FALSE,"Intérêts"}</definedName>
    <definedName name="CMVNFH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OCO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mps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N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PIA" localSheetId="15" hidden="1">{#N/A,#N/A,FALSE,"CONTROLE"}</definedName>
    <definedName name="COPIA1" localSheetId="15" hidden="1">{#N/A,#N/A,FALSE,"CONTROLE"}</definedName>
    <definedName name="cx" localSheetId="15" hidden="1">{#N/A,#N/A,FALSE,"Min compa cad";#N/A,#N/A,FALSE,"Min CAN Equité ";#N/A,#N/A,FALSE,"Analyse can"}</definedName>
    <definedName name="d" localSheetId="15" hidden="1">{#N/A,#N/A,FALSE,"LoanAssumptions"}</definedName>
    <definedName name="DAFAD" localSheetId="15" hidden="1">{"cap_structure",#N/A,FALSE,"Graph-Mkt Cap";"price",#N/A,FALSE,"Graph-Price";"ebit",#N/A,FALSE,"Graph-EBITDA";"ebitda",#N/A,FALSE,"Graph-EBITDA"}</definedName>
    <definedName name="dd" localSheetId="15" hidden="1">{"MonthlyRentRoll",#N/A,FALSE,"RentRoll"}</definedName>
    <definedName name="ddd" localSheetId="15" hidden="1">{"MonthlyRentRoll",#N/A,FALSE,"RentRoll"}</definedName>
    <definedName name="dddddd" localSheetId="15" hidden="1">{#N/A,#N/A,FALSE,"CAPREIT"}</definedName>
    <definedName name="dddddd2" localSheetId="15" hidden="1">{#N/A,#N/A,FALSE,"CAPREIT"}</definedName>
    <definedName name="ddddddd" localSheetId="15" hidden="1">{#N/A,#N/A,FALSE,"CAPREIT"}</definedName>
    <definedName name="ddddddd2" localSheetId="15" hidden="1">{#N/A,#N/A,FALSE,"CAPREIT"}</definedName>
    <definedName name="del" localSheetId="15" hidden="1">{"Page1",#N/A,FALSE,"7979";"Page2",#N/A,FALSE,"7979";"Page3",#N/A,FALSE,"7979"}</definedName>
    <definedName name="delete11" localSheetId="15" hidden="1">{"Page1",#N/A,FALSE,"CompCo";"Page2",#N/A,FALSE,"CompCo"}</definedName>
    <definedName name="delete5" localSheetId="15" hidden="1">{"Page1",#N/A,FALSE,"CompCo";"Page2",#N/A,FALSE,"CompCo"}</definedName>
    <definedName name="DELME" localSheetId="15" hidden="1">{#N/A,#N/A,FALSE,"A";#N/A,#N/A,FALSE,"C"}</definedName>
    <definedName name="DELME_condo" localSheetId="15" hidden="1">{#N/A,#N/A,FALSE,"A";#N/A,#N/A,FALSE,"C"}</definedName>
    <definedName name="DELME2" localSheetId="15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localSheetId="15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localSheetId="15" hidden="1">{#N/A,#N/A,FALSE,"Common Area Accrual";#N/A,#N/A,FALSE,"Unit One LaSalle";#N/A,#N/A,FALSE,"Unit One CW";#N/A,#N/A,FALSE,"Unit One LaSallle + C &amp; W";#N/A,#N/A,FALSE,"Consolidated Accrual"}</definedName>
    <definedName name="DELME3_Condo" localSheetId="15" hidden="1">{#N/A,#N/A,FALSE,"Common Area Accrual";#N/A,#N/A,FALSE,"Unit One LaSalle";#N/A,#N/A,FALSE,"Unit One CW";#N/A,#N/A,FALSE,"Unit One LaSallle + C &amp; W";#N/A,#N/A,FALSE,"Consolidated Accrual"}</definedName>
    <definedName name="DELME4" localSheetId="15" hidden="1">{#N/A,#N/A,FALSE,"399 Park Var";#N/A,#N/A,FALSE,"PK NOTES"}</definedName>
    <definedName name="DELME4_Condo" localSheetId="15" hidden="1">{#N/A,#N/A,FALSE,"399 Park Var";#N/A,#N/A,FALSE,"PK NOTES"}</definedName>
    <definedName name="DELME5" localSheetId="15" hidden="1">{#N/A,#N/A,FALSE,"Expense Detail ";#N/A,#N/A,FALSE,"Worksheet";#N/A,#N/A,FALSE,"Audit";#N/A,#N/A,FALSE,"Exclusions";#N/A,#N/A,FALSE,"Variance";#N/A,#N/A,FALSE,"Reconciliation"}</definedName>
    <definedName name="DELME5_Condo" localSheetId="15" hidden="1">{#N/A,#N/A,FALSE,"Expense Detail ";#N/A,#N/A,FALSE,"Worksheet";#N/A,#N/A,FALSE,"Audit";#N/A,#N/A,FALSE,"Exclusions";#N/A,#N/A,FALSE,"Variance";#N/A,#N/A,FALSE,"Reconciliation"}</definedName>
    <definedName name="DELME7" localSheetId="15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localSheetId="15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ta" localSheetId="15" hidden="1">{"ACCOUNTING COPY",#N/A,FALSE,"SCHEDULE A";"FINANCE COPY",#N/A,FALSE,"SCHEDULE A";"P.L. COPY",#N/A,FALSE,"SCHEDULE A"}</definedName>
    <definedName name="detail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1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fd" localSheetId="15" hidden="1">{"FCB_ALL",#N/A,FALSE,"FCB";"GREY_ALL",#N/A,FALSE,"GREY"}</definedName>
    <definedName name="dfdas" localSheetId="15" hidden="1">{"FCB_ALL",#N/A,FALSE,"FCB";"GREY_ALL",#N/A,FALSE,"GREY"}</definedName>
    <definedName name="dfdf" localSheetId="15" hidden="1">{"History+Projection+5Comps",#N/A,FALSE,"HISTORY (2)";"$ Per Occupied History+Projection+5Comps",#N/A,FALSE,"HISTORY (2)";"History+Projection",#N/A,FALSE,"HISTORY (2)"}</definedName>
    <definedName name="DFDFD" localSheetId="15" hidden="1">{#N/A,#N/A,FALSE,"Adm comp";#N/A,#N/A,FALSE,"Adm ajust";"adm",#N/A,FALSE,"Administration";#N/A,#N/A,FALSE,"Adm Bgt 97 vs Prév. 96";#N/A,#N/A,FALSE,"Adm Bgt 97 vs 96"}</definedName>
    <definedName name="dfdfdfd" localSheetId="15" hidden="1">{"FCB_ALL",#N/A,FALSE,"FCB"}</definedName>
    <definedName name="dfjdklfj" localSheetId="15" hidden="1">{"$ Per Occupied History+Projection+5Comps",#N/A,FALSE,"HISTORY (2)";"History+Projection+5Comps",#N/A,FALSE,"HISTORY (2)";"History+Projection",#N/A,FALSE,"HISTORY (2)";"History+Projection per Occ'd",#N/A,FALSE,"HISTORY (2)"}</definedName>
    <definedName name="DHG" localSheetId="15" hidden="1">{"cap_structure",#N/A,FALSE,"Graph-Mkt Cap";"price",#N/A,FALSE,"Graph-Price";"ebit",#N/A,FALSE,"Graph-EBITDA";"ebitda",#N/A,FALSE,"Graph-EBITDA"}</definedName>
    <definedName name="DLS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sass" localSheetId="15" hidden="1">{#N/A,#N/A,FALSE,"Adm comp";#N/A,#N/A,FALSE,"Adm ajust";"adm",#N/A,FALSE,"Administration";#N/A,#N/A,FALSE,"Adm Bgt 97 vs Prév. 96";#N/A,#N/A,FALSE,"Adm Bgt 97 vs 96"}</definedName>
    <definedName name="e" localSheetId="15" hidden="1">{"Construction Costs",#N/A,FALSE,"Budget";"Income Statement",#N/A,FALSE,"Budget"}</definedName>
    <definedName name="edcdedc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ed" localSheetId="15" hidden="1">{#N/A,#N/A,FALSE,"Adm comp";#N/A,#N/A,FALSE,"Adm ajust";"adm",#N/A,FALSE,"Administration";#N/A,#N/A,FALSE,"Adm Bgt 97 vs Prév. 96";#N/A,#N/A,FALSE,"Adm Bgt 97 vs 96"}</definedName>
    <definedName name="EDC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USW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e" localSheetId="15" hidden="1">{#N/A,#N/A,FALSE,"OperatingAssumptions"}</definedName>
    <definedName name="eee" localSheetId="15" hidden="1">{#N/A,#N/A,FALSE,"OperatingAssumptions"}</definedName>
    <definedName name="eeee" localSheetId="15" hidden="1">{"Page1",#N/A,FALSE,"Summary";"Page2",#N/A,FALSE,"Summary";"Page3",#N/A,FALSE,"Summary";"Page4",#N/A,FALSE,"Summary"}</definedName>
    <definedName name="eeeee" localSheetId="15" hidden="1">{"Section 1",#N/A,TRUE,"Summary";"Section 2",#N/A,TRUE,"Summary";"Section 3",#N/A,TRUE,"Summary";"Section 4",#N/A,TRUE,"Summary"}</definedName>
    <definedName name="eeeeee" localSheetId="15" hidden="1">{#N/A,#N/A,FALSE,"Adm comp";#N/A,#N/A,FALSE,"Adm ajust";"adm",#N/A,FALSE,"Administration";#N/A,#N/A,FALSE,"Adm Bgt 97 vs Prév. 96";#N/A,#N/A,FALSE,"Adm Bgt 97 vs 96"}</definedName>
    <definedName name="er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der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RE" localSheetId="15" hidden="1">{#N/A,#N/A,FALSE,"Min compar us";#N/A,#N/A,FALSE,"Min US Equité ";#N/A,#N/A,FALSE,"Analyse U.S."}</definedName>
    <definedName name="Estimate" localSheetId="15" hidden="1">{#N/A,#N/A,FALSE,"Detail";#N/A,#N/A,FALSE,"Totals"}</definedName>
    <definedName name="ewrwer" localSheetId="15" hidden="1">{#N/A,#N/A,FALSE,"Adm comp";#N/A,#N/A,FALSE,"Adm ajust";"adm",#N/A,FALSE,"Administration";#N/A,#N/A,FALSE,"Adm Bgt 97 vs Prév. 96";#N/A,#N/A,FALSE,"Adm Bgt 97 vs 96"}</definedName>
    <definedName name="EX" localSheetId="15" hidden="1">{#N/A,#N/A,FALSE,"Centres";#N/A,#N/A,FALSE,"Partenariats";#N/A,#N/A,FALSE,"P.Diverses";#N/A,#N/A,FALSE,"Adm";#N/A,#N/A,FALSE,"Autres R-D";#N/A,#N/A,FALSE,"Intérêts"}</definedName>
    <definedName name="exc" localSheetId="15" hidden="1">{#N/A,#N/A,FALSE,"Centres";#N/A,#N/A,FALSE,"Partenariats";#N/A,#N/A,FALSE,"P.Diverses";#N/A,#N/A,FALSE,"Adm";#N/A,#N/A,FALSE,"Autres R-D";#N/A,#N/A,FALSE,"Intérêts"}</definedName>
    <definedName name="EXCCC" localSheetId="15" hidden="1">{#N/A,#N/A,FALSE,"Centres";#N/A,#N/A,FALSE,"Partenariats";#N/A,#N/A,FALSE,"P.Diverses";#N/A,#N/A,FALSE,"Adm";#N/A,#N/A,FALSE,"Autres R-D";#N/A,#N/A,FALSE,"Intérêts"}</definedName>
    <definedName name="EXCLU" localSheetId="15" hidden="1">{#N/A,#N/A,FALSE,"Centres";#N/A,#N/A,FALSE,"Partenariats";#N/A,#N/A,FALSE,"P.Diverses";#N/A,#N/A,FALSE,"Adm";#N/A,#N/A,FALSE,"Autres R-D";#N/A,#N/A,FALSE,"Intérêts"}</definedName>
    <definedName name="expense" localSheetId="15" hidden="1">{"Construction Costs",#N/A,FALSE,"Budget";"Income Statement",#N/A,FALSE,"Budget"}</definedName>
    <definedName name="EXX" localSheetId="15" hidden="1">{#N/A,#N/A,FALSE,"Centres";#N/A,#N/A,FALSE,"Partenariats";#N/A,#N/A,FALSE,"P.Diverses";#N/A,#N/A,FALSE,"Adm";#N/A,#N/A,FALSE,"Autres R-D";#N/A,#N/A,FALSE,"Intérêts"}</definedName>
    <definedName name="EXXE" localSheetId="15" hidden="1">{#N/A,#N/A,FALSE,"Centres";#N/A,#N/A,FALSE,"Partenariats";#N/A,#N/A,FALSE,"P.Diverses";#N/A,#N/A,FALSE,"Adm";#N/A,#N/A,FALSE,"Autres R-D";#N/A,#N/A,FALSE,"Intérêts"}</definedName>
    <definedName name="fadsf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f" localSheetId="15" hidden="1">{"Full Sheet",#N/A,FALSE,"Expense Comparison"}</definedName>
    <definedName name="fdfdfd" localSheetId="15" hidden="1">{#N/A,#N/A,FALSE,"CAPREIT"}</definedName>
    <definedName name="fdfdfdf" localSheetId="15" hidden="1">{#N/A,#N/A,FALSE,"CAPREIT"}</definedName>
    <definedName name="fdgad" localSheetId="15" hidden="1">{"inputs raw data",#N/A,TRUE,"INPUT"}</definedName>
    <definedName name="fdsd" localSheetId="15" hidden="1">{"Page1",#N/A,FALSE,"Summary";"Page2",#N/A,FALSE,"Summary";"Page3",#N/A,FALSE,"Summary";"Page4",#N/A,FALSE,"Summary"}</definedName>
    <definedName name="ff" localSheetId="15" hidden="1">{#N/A,#N/A,TRUE,"Summary";"AnnualRentRoll",#N/A,TRUE,"RentRoll";#N/A,#N/A,TRUE,"ExitStratigy";#N/A,#N/A,TRUE,"OperatingAssumptions"}</definedName>
    <definedName name="fff" localSheetId="15" hidden="1">{#N/A,#N/A,TRUE,"Summary";"AnnualRentRoll",#N/A,TRUE,"RentRoll";#N/A,#N/A,TRUE,"ExitStratigy";#N/A,#N/A,TRUE,"OperatingAssumptions"}</definedName>
    <definedName name="ffff" localSheetId="15" hidden="1">{"Outputs",#N/A,TRUE,"North America";"Outputs",#N/A,TRUE,"Europe";"Outputs",#N/A,TRUE,"Asia Pacific";"Outputs",#N/A,TRUE,"Latin America";"Outputs",#N/A,TRUE,"Wireless"}</definedName>
    <definedName name="fffff" localSheetId="15" hidden="1">{0,#N/A,TRUE,0;0,#N/A,TRUE,0;0,#N/A,TRUE,0;0,#N/A,TRUE,0;0,#N/A,TRUE,0}</definedName>
    <definedName name="FFFFFF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fffffffffffff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g" localSheetId="15" hidden="1">{"schedule1",#N/A,FALSE,"Sheet1";"schedule2",#N/A,FALSE,"Sheet1";"schedule3",#N/A,FALSE,"Sheet1";"schedule4",#N/A,FALSE,"Sheet1";"schedule5",#N/A,FALSE,"Sheet1";"schedule6",#N/A,FALSE,"Sheet1"}</definedName>
    <definedName name="fgd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ghhjjk" localSheetId="15" hidden="1">{#N/A,#N/A,FALSE,"Centres";#N/A,#N/A,FALSE,"Partenariats";#N/A,#N/A,FALSE,"P.Diverses";#N/A,#N/A,FALSE,"Adm";#N/A,#N/A,FALSE,"Autres R-D";#N/A,#N/A,FALSE,"Intérêts"}</definedName>
    <definedName name="FG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hg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nal" localSheetId="1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ksajf" localSheetId="15" hidden="1">{#N/A,#N/A,FALSE,"SCHEDULE A";"MINIMUM RENT",#N/A,FALSE,"SCHEDULES B &amp; C";"PERCENTAGE RENT",#N/A,FALSE,"SCHEDULES B &amp; C"}</definedName>
    <definedName name="fm" localSheetId="15" hidden="1">{"summary1",#N/A,TRUE,"Comps";"summary2",#N/A,TRUE,"Comps";"summary3",#N/A,TRUE,"Comps"}</definedName>
    <definedName name="frderf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VGB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g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BHN" localSheetId="15" hidden="1">{#N/A,#N/A,FALSE,"Min compa cad";#N/A,#N/A,FALSE,"Min CAN Equité ";#N/A,#N/A,FALSE,"Analyse can"}</definedName>
    <definedName name="gfd" localSheetId="15" hidden="1">{#N/A,#N/A,FALSE,"Min compar us";#N/A,#N/A,FALSE,"Min US Equité ";#N/A,#N/A,FALSE,"Analyse U.S."}</definedName>
    <definedName name="gfdsserrt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h" localSheetId="15" hidden="1">{#N/A,#N/A,FALSE,"Adm comp";#N/A,#N/A,FALSE,"Adm ajust";"adm",#N/A,FALSE,"Administration";#N/A,#N/A,FALSE,"Adm Bgt 97 vs Prév. 96";#N/A,#N/A,FALSE,"Adm Bgt 97 vs 96"}</definedName>
    <definedName name="gfhs" localSheetId="15" hidden="1">{"summary1",#N/A,TRUE,"Comps";"summary2",#N/A,TRUE,"Comps";"summary3",#N/A,TRUE,"Comps"}</definedName>
    <definedName name="gg" localSheetId="15" hidden="1">{#N/A,#N/A,FALSE,"PropertyInfo"}</definedName>
    <definedName name="ggg" localSheetId="15" hidden="1">{#N/A,#N/A,FALSE,"PropertyInfo"}</definedName>
    <definedName name="GGGGGGG" localSheetId="15" hidden="1">{#N/A,#N/A,FALSE,"Adm comp";#N/A,#N/A,FALSE,"Adm ajust";"adm",#N/A,FALSE,"Administration";#N/A,#N/A,FALSE,"Adm Bgt 97 vs Prév. 96";#N/A,#N/A,FALSE,"Adm Bgt 97 vs 96"}</definedName>
    <definedName name="gh" localSheetId="15" hidden="1">{#N/A,#N/A,FALSE,"Adm comp";#N/A,#N/A,FALSE,"Adm ajust";"adm",#N/A,FALSE,"Administration";#N/A,#N/A,FALSE,"Adm Bgt 97 vs Prév. 96";#N/A,#N/A,FALSE,"Adm Bgt 97 vs 96"}</definedName>
    <definedName name="ghgh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JHJHJH" localSheetId="15" hidden="1">{#N/A,#N/A,FALSE,"CONTROLE"}</definedName>
    <definedName name="gkf" localSheetId="15" hidden="1">{"Proforma",#N/A,FALSE,"Sheet1"}</definedName>
    <definedName name="GKUY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LG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BBLLL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o" localSheetId="15" hidden="1">{"Construction Costs",#N/A,FALSE,"Budget";"Income Statement",#N/A,FALSE,"Budget"}</definedName>
    <definedName name="GY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HD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ghg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j" localSheetId="15" hidden="1">{#N/A,#N/A,FALSE,"Min compa cad";#N/A,#N/A,FALSE,"Min CAN Equité ";#N/A,#N/A,FALSE,"Analyse can"}</definedName>
    <definedName name="hh" localSheetId="15" hidden="1">{#N/A,#N/A,FALSE,"Summary"}</definedName>
    <definedName name="hhh" localSheetId="15" hidden="1">{#N/A,#N/A,FALSE,"Summary"}</definedName>
    <definedName name="HHHHH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j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hjf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KM" localSheetId="15" hidden="1">{#N/A,#N/A,FALSE,"Adm comp";#N/A,#N/A,FALSE,"Adm ajust";"adm",#N/A,FALSE,"Administration";#N/A,#N/A,FALSE,"Adm Bgt 97 vs Prév. 96";#N/A,#N/A,FALSE,"Adm Bgt 97 vs 96"}</definedName>
    <definedName name="hkjhjh" localSheetId="15" hidden="1">{"Page1",#N/A,FALSE,"Summary";"Page2",#N/A,FALSE,"Summary";"Page3",#N/A,FALSE,"Summary";"Page4",#N/A,FALSE,"Summary"}</definedName>
    <definedName name="HNJM" localSheetId="15" hidden="1">{#N/A,#N/A,FALSE,"Min compar us";#N/A,#N/A,FALSE,"Min US Equité ";#N/A,#N/A,FALSE,"Analyse U.S."}</definedName>
    <definedName name="hope" localSheetId="15" hidden="1">{#N/A,#N/A,FALSE,"LP Exp";#N/A,#N/A,FALSE,"Salary";#N/A,#N/A,FALSE,"Admin Exp";#N/A,#N/A,FALSE,"QTS Bud";#N/A,#N/A,FALSE,"Marketing"}</definedName>
    <definedName name="hope_condo" localSheetId="15" hidden="1">{#N/A,#N/A,FALSE,"LP Exp";#N/A,#N/A,FALSE,"Salary";#N/A,#N/A,FALSE,"Admin Exp";#N/A,#N/A,FALSE,"QTS Bud";#N/A,#N/A,FALSE,"Marketing"}</definedName>
    <definedName name="hthjtnjgtngjjyk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ml" localSheetId="15" hidden="1">{"'Assump'!$F$6:$J$6"}</definedName>
    <definedName name="HTML_Control" localSheetId="15" hidden="1">{"'Assump'!$F$6:$J$6"}</definedName>
    <definedName name="html_icontrol" localSheetId="15" hidden="1">{"'Cash Requirements 5F '!$A$1:$AC$48"}</definedName>
    <definedName name="htmlnew" localSheetId="15" hidden="1">{"'Assump'!$F$6:$J$6"}</definedName>
    <definedName name="htrhtht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um" localSheetId="15" hidden="1">{"RATES",#N/A,FALSE,"RECOVERY RATES";"CONTRIBUTIONS",#N/A,FALSE,"RECOVERY RATES";"GLA CATEGORY SUMMARY",#N/A,FALSE,"RECOVERY RATES"}</definedName>
    <definedName name="IHTR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I" localSheetId="15" hidden="1">{#N/A,#N/A,FALSE,"Adm comp";#N/A,#N/A,FALSE,"Adm ajust";"adm",#N/A,FALSE,"Administration";#N/A,#N/A,FALSE,"Adm Bgt 97 vs Prév. 96";#N/A,#N/A,FALSE,"Adm Bgt 97 vs 96"}</definedName>
    <definedName name="IIIIII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j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NHYT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KLO" localSheetId="15" hidden="1">{#N/A,#N/A,FALSE,"Adm comp";#N/A,#N/A,FALSE,"Adm ajust";"adm",#N/A,FALSE,"Administration";#N/A,#N/A,FALSE,"Adm Bgt 97 vs Prév. 96";#N/A,#N/A,FALSE,"Adm Bgt 97 vs 96"}</definedName>
    <definedName name="ILL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ININ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troPrintArea" localSheetId="15" hidden="1">#REF!</definedName>
    <definedName name="inves" localSheetId="15" hidden="1">{#N/A,#N/A,FALSE,"Adm comp";#N/A,#N/A,FALSE,"Adm ajust";"adm",#N/A,FALSE,"Administration";#N/A,#N/A,FALSE,"Adm Bgt 97 vs Prév. 96";#N/A,#N/A,FALSE,"Adm Bgt 97 vs 96"}</definedName>
    <definedName name="Investiss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V" localSheetId="15" hidden="1">{#N/A,#N/A,FALSE,"Adm comp";#N/A,#N/A,FALSE,"Adm ajust";"adm",#N/A,FALSE,"Administration";#N/A,#N/A,FALSE,"Adm Bgt 97 vs Prév. 96";#N/A,#N/A,FALSE,"Adm Bgt 97 vs 96"}</definedName>
    <definedName name="INVVV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OPPPP" localSheetId="15" hidden="1">{#N/A,#N/A,FALSE,"Adm comp";#N/A,#N/A,FALSE,"Adm ajust";"adm",#N/A,FALSE,"Administration";#N/A,#N/A,FALSE,"Adm Bgt 97 vs Prév. 96";#N/A,#N/A,FALSE,"Adm Bgt 97 vs 96"}</definedName>
    <definedName name="IQ_CASH_ACQUIRE_CF" localSheetId="15" hidden="1">"c1630"</definedName>
    <definedName name="IQ_DIV_PAYMENT_DATE" localSheetId="15" hidden="1">"c2106"</definedName>
    <definedName name="IQ_DIV_RECORD_DATE" localSheetId="15" hidden="1">"c2105"</definedName>
    <definedName name="IQ_OUTSTANDING_FILING_DATE" localSheetId="15" hidden="1">"c2127"</definedName>
    <definedName name="IQ_REVISION_DATE_" localSheetId="15" hidden="1">39245.9427430556</definedName>
    <definedName name="IQ_XDIV_DATE" localSheetId="15" hidden="1">"c2104"</definedName>
    <definedName name="iuiuiuiuiu" localSheetId="15" hidden="1">{#N/A,#N/A,FALSE,"Centres";#N/A,#N/A,FALSE,"Partenariats";#N/A,#N/A,FALSE,"P.Diverses";#N/A,#N/A,FALSE,"Adm";#N/A,#N/A,FALSE,"Autres R-D";#N/A,#N/A,FALSE,"Intérêts"}</definedName>
    <definedName name="IUY" localSheetId="15" hidden="1">{#N/A,#N/A,FALSE,"Min compar us";#N/A,#N/A,FALSE,"Min US Equité ";#N/A,#N/A,FALSE,"Analyse U.S."}</definedName>
    <definedName name="iuyiu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b" localSheetId="15" hidden="1">{"summary1",#N/A,TRUE,"Comps";"summary2",#N/A,TRUE,"Comps";"summary3",#N/A,TRUE,"Comps"}</definedName>
    <definedName name="JDFG" localSheetId="15" hidden="1">{#N/A,#N/A,FALSE,"Centres";#N/A,#N/A,FALSE,"Partenariats";#N/A,#N/A,FALSE,"P.Diverses";#N/A,#N/A,FALSE,"Adm";#N/A,#N/A,FALSE,"Autres R-D";#N/A,#N/A,FALSE,"Intérêts"}</definedName>
    <definedName name="jhgjh" localSheetId="15" hidden="1">{"Section 1",#N/A,TRUE,"Summary";"Section 2",#N/A,TRUE,"Summary";"Section 3",#N/A,TRUE,"Summary";"Section 4",#N/A,TRUE,"Summary"}</definedName>
    <definedName name="JHJHJHMHHMH" localSheetId="15" hidden="1">{#N/A,#N/A,FALSE,"CONTROLE"}</definedName>
    <definedName name="jhk" localSheetId="15" hidden="1">{#N/A,#N/A,FALSE,"Centres";#N/A,#N/A,FALSE,"Partenariats";#N/A,#N/A,FALSE,"P.Diverses";#N/A,#N/A,FALSE,"Adm";#N/A,#N/A,FALSE,"Autres R-D";#N/A,#N/A,FALSE,"Intérêts"}</definedName>
    <definedName name="JJJ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K" localSheetId="15" hidden="1">{#N/A,#N/A,FALSE,"Adm comp";#N/A,#N/A,FALSE,"Adm ajust";"adm",#N/A,FALSE,"Administration";#N/A,#N/A,FALSE,"Adm Bgt 97 vs Prév. 96";#N/A,#N/A,FALSE,"Adm Bgt 97 vs 96"}</definedName>
    <definedName name="JMKL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uhuhu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NK" localSheetId="15" hidden="1">{"SCHEDULE",#N/A,FALSE,"Fin_sched"}</definedName>
    <definedName name="Junk_condo" localSheetId="15" hidden="1">{"SCHEDULE",#N/A,FALSE,"Fin_sched"}</definedName>
    <definedName name="JUNK2" localSheetId="15" hidden="1">{"SUMMARY",#N/A,FALSE,"Fin_sched"}</definedName>
    <definedName name="jyjkykhm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GKHJ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hhhhhhhhh" localSheetId="15" hidden="1">{"Output",#N/A,FALSE,"US_FL";"Output",#N/A,FALSE,"EUROPE_FL";"Output",#N/A,FALSE,"ASIA_FL"}</definedName>
    <definedName name="kill" localSheetId="15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localSheetId="15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localSheetId="15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localSheetId="15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J" localSheetId="15" hidden="1">{#N/A,#N/A,FALSE,"Adm comp";#N/A,#N/A,FALSE,"Adm ajust";"adm",#N/A,FALSE,"Administration";#N/A,#N/A,FALSE,"Adm Bgt 97 vs Prév. 96";#N/A,#N/A,FALSE,"Adm Bgt 97 vs 96"}</definedName>
    <definedName name="KJH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l" localSheetId="15" hidden="1">{#N/A,#N/A,FALSE,"Min compa cad";#N/A,#N/A,FALSE,"Min CAN Equité ";#N/A,#N/A,FALSE,"Analyse can"}</definedName>
    <definedName name="kjojoj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kk" localSheetId="15" hidden="1">{#N/A,#N/A,FALSE,"B_Spread"}</definedName>
    <definedName name="kkkkkkkkkkkkkkk" localSheetId="15" hidden="1">{"Page1",#N/A,FALSE,"Summary";"Page2",#N/A,FALSE,"Summary";"Page3",#N/A,FALSE,"Summary";"Page4",#N/A,FALSE,"Summary"}</definedName>
    <definedName name="kokok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" localSheetId="15" hidden="1">{"Construction Costs",#N/A,FALSE,"Budget";"Income Statement",#N/A,FALSE,"Budget"}</definedName>
    <definedName name="LI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k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KJH" localSheetId="15" hidden="1">{#N/A,#N/A,FALSE,"Min compar us";#N/A,#N/A,FALSE,"Min US Equité ";#N/A,#N/A,FALSE,"Analyse U.S."}</definedName>
    <definedName name="lkjhgfd" localSheetId="15" hidden="1">{#N/A,#N/A,FALSE,"Centres";#N/A,#N/A,FALSE,"Partenariats";#N/A,#N/A,FALSE,"P.Diverses";#N/A,#N/A,FALSE,"Adm";#N/A,#N/A,FALSE,"Autres R-D";#N/A,#N/A,FALSE,"Intérêts"}</definedName>
    <definedName name="lkkkkk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lklklkl" localSheetId="15" hidden="1">{#N/A,#N/A,FALSE,"Centres";#N/A,#N/A,FALSE,"Partenariats";#N/A,#N/A,FALSE,"P.Diverses";#N/A,#N/A,FALSE,"Adm";#N/A,#N/A,FALSE,"Autres R-D";#N/A,#N/A,FALSE,"Intérêts"}</definedName>
    <definedName name="ll" localSheetId="15" hidden="1">{#N/A,#N/A,TRUE,"Maritime Park Arena PCD";#N/A,#N/A,TRUE,"Maritime Park Arena IOR"}</definedName>
    <definedName name="lll" localSheetId="15" hidden="1">{#N/A,#N/A,FALSE,"Centres";#N/A,#N/A,FALSE,"Partenariats";#N/A,#N/A,FALSE,"P.Diverses";#N/A,#N/A,FALSE,"Adm";#N/A,#N/A,FALSE,"Autres R-D";#N/A,#N/A,FALSE,"Intérêts"}</definedName>
    <definedName name="lllkkjhhggf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lll" localSheetId="15" hidden="1">{#N/A,#N/A,FALSE,"Adm comp";#N/A,#N/A,FALSE,"Adm ajust";"adm",#N/A,FALSE,"Administration";#N/A,#N/A,FALSE,"Adm Bgt 97 vs Prév. 96";#N/A,#N/A,FALSE,"Adm Bgt 97 vs 96"}</definedName>
    <definedName name="Louvers" localSheetId="15" hidden="1">{#N/A,#N/A,TRUE,"Ericsson Stadium PCD ";#N/A,#N/A,TRUE,"Ericsson Stadium IOR"}</definedName>
    <definedName name="Louversa" localSheetId="15" hidden="1">{#N/A,#N/A,TRUE,"Ericsson Stadium PCD ";#N/A,#N/A,TRUE,"Ericsson Stadium IOR"}</definedName>
    <definedName name="lulululul" localSheetId="15" hidden="1">{#N/A,#N/A,FALSE,"Centres";#N/A,#N/A,FALSE,"Partenariats";#N/A,#N/A,FALSE,"P.Diverses";#N/A,#N/A,FALSE,"Adm";#N/A,#N/A,FALSE,"Autres R-D";#N/A,#N/A,FALSE,"Intérêts"}</definedName>
    <definedName name="matrix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elo" localSheetId="15" hidden="1">{"AnnualRentRoll",#N/A,FALSE,"RentRoll"}</definedName>
    <definedName name="MGHM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kmkmkmk" localSheetId="15" hidden="1">{#N/A,#N/A,FALSE,"Centres";#N/A,#N/A,FALSE,"Partenariats";#N/A,#N/A,FALSE,"P.Diverses";#N/A,#N/A,FALSE,"Adm";#N/A,#N/A,FALSE,"Autres R-D";#N/A,#N/A,FALSE,"Intérêts"}</definedName>
    <definedName name="mmmmmmmmmmmm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n" localSheetId="15" hidden="1">{#N/A,#N/A,FALSE,"Adm comp";#N/A,#N/A,FALSE,"Adm ajust";"adm",#N/A,FALSE,"Administration";#N/A,#N/A,FALSE,"Adm Bgt 97 vs Prév. 96";#N/A,#N/A,FALSE,"Adm Bgt 97 vs 96"}</definedName>
    <definedName name="MO" localSheetId="15" hidden="1">{#N/A,#N/A,FALSE,"Adm comp";#N/A,#N/A,FALSE,"Adm ajust";"adm",#N/A,FALSE,"Administration";#N/A,#N/A,FALSE,"Adm Bgt 97 vs Prév. 96";#N/A,#N/A,FALSE,"Adm Bgt 97 vs 96"}</definedName>
    <definedName name="MU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AM" localSheetId="15" hidden="1">{#N/A,#N/A,FALSE,"Adm comp";#N/A,#N/A,FALSE,"Adm ajust";"adm",#N/A,FALSE,"Administration";#N/A,#N/A,FALSE,"Adm Bgt 97 vs Prév. 96";#N/A,#N/A,FALSE,"Adm Bgt 97 vs 96"}</definedName>
    <definedName name="nb" localSheetId="15" hidden="1">{#N/A,#N/A,FALSE,"Adm comp";#N/A,#N/A,FALSE,"Adm ajust";"adm",#N/A,FALSE,"Administration";#N/A,#N/A,FALSE,"Adm Bgt 97 vs Prév. 96";#N/A,#N/A,FALSE,"Adm Bgt 97 vs 96"}</definedName>
    <definedName name="newhtml" localSheetId="15" hidden="1">{"'Assump'!$F$6:$J$6"}</definedName>
    <definedName name="NH" localSheetId="15" hidden="1">{#N/A,#N/A,FALSE,"CONTROLE"}</definedName>
    <definedName name="nnnnn" localSheetId="15" hidden="1">{#N/A,#N/A,FALSE,"CONTROLE"}</definedName>
    <definedName name="no" localSheetId="15" hidden="1">{"Construction Costs",#N/A,FALSE,"Budget";"Income Statement",#N/A,FALSE,"Budget"}</definedName>
    <definedName name="NONO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thing" localSheetId="15" hidden="1">{"Construction Costs",#N/A,FALSE,"Budget";"Income Statement",#N/A,FALSE,"Budget"}</definedName>
    <definedName name="N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VVN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Y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" localSheetId="15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offices" localSheetId="15" hidden="1">{"Construction Costs",#N/A,FALSE,"Budget";"Income Statement",#N/A,FALSE,"Budget"}</definedName>
    <definedName name="OIIUSDF" localSheetId="15" hidden="1">{#N/A,#N/A,FALSE,"Min compar us";#N/A,#N/A,FALSE,"Min US Equité ";#N/A,#N/A,FALSE,"Analyse U.S."}</definedName>
    <definedName name="oioioioioio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U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iuoo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YYY" localSheetId="15" hidden="1">{#N/A,#N/A,FALSE,"Min compa cad";#N/A,#N/A,FALSE,"Min CAN Equité ";#N/A,#N/A,FALSE,"Analyse can"}</definedName>
    <definedName name="ok" localSheetId="15" hidden="1">{"Construction Costs",#N/A,FALSE,"Budget";"Income Statement",#N/A,FALSE,"Budget"}</definedName>
    <definedName name="OKMJUH" localSheetId="15" hidden="1">{#N/A,#N/A,FALSE,"Centres";#N/A,#N/A,FALSE,"Partenariats";#N/A,#N/A,FALSE,"P.Diverses";#N/A,#N/A,FALSE,"Adm";#N/A,#N/A,FALSE,"Autres R-D";#N/A,#N/A,FALSE,"Intérêts"}</definedName>
    <definedName name="okokok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dhtl" localSheetId="15" hidden="1">{"'Assump'!$F$6:$J$6"}</definedName>
    <definedName name="oldkill" localSheetId="15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localSheetId="15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localSheetId="15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LIDA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P" localSheetId="15" hidden="1">{#N/A,#N/A,FALSE,"Min compar us";#N/A,#N/A,FALSE,"Min US Equité ";#N/A,#N/A,FALSE,"Analyse U.S."}</definedName>
    <definedName name="OLP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NSS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o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ooooo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VNOV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" localSheetId="15" hidden="1">{#N/A,#N/A,FALSE,"Min compa cad";#N/A,#N/A,FALSE,"Min CAN Equité ";#N/A,#N/A,FALSE,"Analyse can"}</definedName>
    <definedName name="pa" localSheetId="15" hidden="1">{#N/A,#N/A,FALSE,"Min compa cad";#N/A,#N/A,FALSE,"Min CAN Equité ";#N/A,#N/A,FALSE,"Analyse can"}</definedName>
    <definedName name="PAAER" localSheetId="15" hidden="1">{#N/A,#N/A,FALSE,"Min compa cad";#N/A,#N/A,FALSE,"Min CAN Equité ";#N/A,#N/A,FALSE,"Analyse can"}</definedName>
    <definedName name="PAAP" localSheetId="15" hidden="1">{#N/A,#N/A,FALSE,"Min compa cad";#N/A,#N/A,FALSE,"Min CAN Equité ";#N/A,#N/A,FALSE,"Analyse can"}</definedName>
    <definedName name="PAAPP" localSheetId="15" hidden="1">{#N/A,#N/A,FALSE,"Min compar us";#N/A,#N/A,FALSE,"Min US Equité ";#N/A,#N/A,FALSE,"Analyse U.S."}</definedName>
    <definedName name="PAEWQ" localSheetId="15" hidden="1">{#N/A,#N/A,FALSE,"Min compar us";#N/A,#N/A,FALSE,"Min US Equité ";#N/A,#N/A,FALSE,"Analyse U.S."}</definedName>
    <definedName name="PAPA" localSheetId="15" hidden="1">{#N/A,#N/A,FALSE,"Min compa cad";#N/A,#N/A,FALSE,"Min CAN Equité ";#N/A,#N/A,FALSE,"Analyse can"}</definedName>
    <definedName name="PAPAP" localSheetId="15" hidden="1">{#N/A,#N/A,FALSE,"Min compar us";#N/A,#N/A,FALSE,"Min US Equité ";#N/A,#N/A,FALSE,"Analyse U.S."}</definedName>
    <definedName name="par" localSheetId="15" hidden="1">{#N/A,#N/A,FALSE,"Min compar us";#N/A,#N/A,FALSE,"Min US Equité ";#N/A,#N/A,FALSE,"Analyse U.S."}</definedName>
    <definedName name="Param_DRCredit" localSheetId="15" hidden="1">#REF!</definedName>
    <definedName name="Param_DRNonCredit" localSheetId="15" hidden="1">#REF!</definedName>
    <definedName name="Param_IncludeCPI" localSheetId="15" hidden="1">#REF!</definedName>
    <definedName name="Param_IncludePercentRent" localSheetId="15" hidden="1">#REF!</definedName>
    <definedName name="PARPAR" localSheetId="15" hidden="1">{#N/A,#N/A,FALSE,"Min compa cad";#N/A,#N/A,FALSE,"Min CAN Equité ";#N/A,#N/A,FALSE,"Analyse can"}</definedName>
    <definedName name="PARR" localSheetId="15" hidden="1">{#N/A,#N/A,FALSE,"Min compar us";#N/A,#N/A,FALSE,"Min US Equité ";#N/A,#N/A,FALSE,"Analyse U.S."}</definedName>
    <definedName name="PARTPART" localSheetId="15" hidden="1">{#N/A,#N/A,FALSE,"Min compar us";#N/A,#N/A,FALSE,"Min US Equité ";#N/A,#N/A,FALSE,"Analyse U.S."}</definedName>
    <definedName name="PATR" localSheetId="15" hidden="1">{#N/A,#N/A,FALSE,"Min compa cad";#N/A,#N/A,FALSE,"Min CAN Equité ";#N/A,#N/A,FALSE,"Analyse can"}</definedName>
    <definedName name="pier90" localSheetId="15" hidden="1">{"excavation",#N/A,FALSE,"DETAIL.XLS"}</definedName>
    <definedName name="platform" localSheetId="15" hidden="1">{#N/A,#N/A,TRUE,"Ericsson Stadium PCD ";#N/A,#N/A,TRUE,"Ericsson Stadium IOR"}</definedName>
    <definedName name="platforma" localSheetId="15" hidden="1">{#N/A,#N/A,TRUE,"Ericsson Stadium PCD ";#N/A,#N/A,TRUE,"Ericsson Stadium IOR"}</definedName>
    <definedName name="plllllll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O" localSheetId="15" hidden="1">{#N/A,#N/A,FALSE,"Min compa cad";#N/A,#N/A,FALSE,"Min CAN Equité ";#N/A,#N/A,FALSE,"Analyse can"}</definedName>
    <definedName name="POAA" localSheetId="15" hidden="1">{#N/A,#N/A,FALSE,"Min compa cad";#N/A,#N/A,FALSE,"Min CAN Equité ";#N/A,#N/A,FALSE,"Analyse can"}</definedName>
    <definedName name="POI" localSheetId="15" hidden="1">{#N/A,#N/A,FALSE,"Adm comp";#N/A,#N/A,FALSE,"Adm ajust";"adm",#N/A,FALSE,"Administration";#N/A,#N/A,FALSE,"Adm Bgt 97 vs Prév. 96";#N/A,#N/A,FALSE,"Adm Bgt 97 vs 96"}</definedName>
    <definedName name="POIII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oi" localSheetId="15" hidden="1">{#N/A,#N/A,FALSE,"Centres";#N/A,#N/A,FALSE,"Partenariats";#N/A,#N/A,FALSE,"P.Diverses";#N/A,#N/A,FALSE,"Adm";#N/A,#N/A,FALSE,"Autres R-D";#N/A,#N/A,FALSE,"Intérêts"}</definedName>
    <definedName name="poiuytr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popopopo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ppp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ppp" localSheetId="15" hidden="1">{#N/A,#N/A,FALSE,"Adm comp";#N/A,#N/A,FALSE,"Adm ajust";"adm",#N/A,FALSE,"Administration";#N/A,#N/A,FALSE,"Adm Bgt 97 vs Prév. 96";#N/A,#N/A,FALSE,"Adm Bgt 97 vs 96"}</definedName>
    <definedName name="pppppppppppppppppppppp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TRU" localSheetId="15" hidden="1">{#N/A,#N/A,FALSE,"Min compar us";#N/A,#N/A,FALSE,"Min US Equité ";#N/A,#N/A,FALSE,"Analyse U.S."}</definedName>
    <definedName name="PY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ASW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Z" localSheetId="15" hidden="1">{#N/A,#N/A,FALSE,"EOAF";#N/A,#N/A,FALSE,"Ingresos";#N/A,#N/A,FALSE,"Rat2";#N/A,#N/A,FALSE,"IFP";#N/A,#N/A,FALSE,"Anexo"}</definedName>
    <definedName name="qazaqaa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IWUE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OAIWKSUIE" localSheetId="15" hidden="1">{#N/A,#N/A,FALSE,"Min compar us";#N/A,#N/A,FALSE,"Min US Equité ";#N/A,#N/A,FALSE,"Analyse U.S."}</definedName>
    <definedName name="QPPPP" localSheetId="15" hidden="1">{#N/A,#N/A,FALSE,"Adm comp";#N/A,#N/A,FALSE,"Adm ajust";"adm",#N/A,FALSE,"Administration";#N/A,#N/A,FALSE,"Adm Bgt 97 vs Prév. 96";#N/A,#N/A,FALSE,"Adm Bgt 97 vs 96"}</definedName>
    <definedName name="QPWOEIRUT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qqq" localSheetId="15" hidden="1">{#N/A,#N/A,FALSE,"Adm comp";#N/A,#N/A,FALSE,"Adm ajust";"adm",#N/A,FALSE,"Administration";#N/A,#N/A,FALSE,"Adm Bgt 97 vs Prév. 96";#N/A,#N/A,FALSE,"Adm Bgt 97 vs 96"}</definedName>
    <definedName name="qqqqqq" localSheetId="15" hidden="1">{#N/A,#N/A,FALSE,"Min compar us";#N/A,#N/A,FALSE,"Min US Equité ";#N/A,#N/A,FALSE,"Analyse U.S."}</definedName>
    <definedName name="qqqqqqqqqqqqqqqq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re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sdddd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w" localSheetId="15" hidden="1">{"FCB_ALL",#N/A,FALSE,"FCB";"GREY_ALL",#N/A,FALSE,"GREY"}</definedName>
    <definedName name="QWE" localSheetId="15" hidden="1">{#N/A,#N/A,FALSE,"Min compar us";#N/A,#N/A,FALSE,"Min US Equité ";#N/A,#N/A,FALSE,"Analyse U.S."}</definedName>
    <definedName name="qwert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OISD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QWQ" localSheetId="15" hidden="1">{#N/A,#N/A,FALSE,"Min compa cad";#N/A,#N/A,FALSE,"Min CAN Equité ";#N/A,#N/A,FALSE,"Analyse can"}</definedName>
    <definedName name="QWSXC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redo" localSheetId="15" hidden="1">{#N/A,#N/A,FALSE,"ACQ_GRAPHS";#N/A,#N/A,FALSE,"T_1 GRAPHS";#N/A,#N/A,FALSE,"T_2 GRAPHS";#N/A,#N/A,FALSE,"COMB_GRAPHS"}</definedName>
    <definedName name="reforma" localSheetId="15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REIWU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lat" localSheetId="15" hidden="1">{#N/A,#N/A,FALSE,"CONTROLE";#N/A,#N/A,FALSE,"CONTROLE"}</definedName>
    <definedName name="renat" localSheetId="15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port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fkdjfd" localSheetId="15" hidden="1">{#N/A,#N/A,FALSE,"Min compa cad";#N/A,#N/A,FALSE,"Min CAN Equité ";#N/A,#N/A,FALSE,"Analyse can"}</definedName>
    <definedName name="RGB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hfrhhjtyjfyjtj" localSheetId="15" hidden="1">{#N/A,#N/A,FALSE,"Centres";#N/A,#N/A,FALSE,"Partenariats";#N/A,#N/A,FALSE,"P.Diverses";#N/A,#N/A,FALSE,"Adm";#N/A,#N/A,FALSE,"Autres R-D";#N/A,#N/A,FALSE,"Intérêts"}</definedName>
    <definedName name="Rreparaturen" localSheetId="15" hidden="1">#REF!</definedName>
    <definedName name="rrr" localSheetId="15" hidden="1">{#N/A,#N/A,FALSE,"ExecutiveSummary";#N/A,#N/A,FALSE,"CostDetail";#N/A,#N/A,FALSE,"IncomeDetail"}</definedName>
    <definedName name="rrrr" localSheetId="15" hidden="1">{#N/A,#N/A,FALSE,"Adm comp";#N/A,#N/A,FALSE,"Adm ajust";"adm",#N/A,FALSE,"Administration";#N/A,#N/A,FALSE,"Adm Bgt 97 vs Prév. 96";#N/A,#N/A,FALSE,"Adm Bgt 97 vs 96"}</definedName>
    <definedName name="RRRRR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rrrrrr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" localSheetId="15" hidden="1">{"inputs raw data",#N/A,TRUE,"INPUT"}</definedName>
    <definedName name="rtrhtrhtrhtrhtr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TR" localSheetId="15" hidden="1">{#N/A,#N/A,FALSE,"Min compar us";#N/A,#N/A,FALSE,"Min US Equité ";#N/A,#N/A,FALSE,"Analyse U.S."}</definedName>
    <definedName name="rtyuiop" localSheetId="15" hidden="1">{#N/A,#N/A,FALSE,"Min compar us";#N/A,#N/A,FALSE,"Min US Equité ";#N/A,#N/A,FALSE,"Analyse U.S."}</definedName>
    <definedName name="rw" localSheetId="15" hidden="1">{#N/A,#N/A,FALSE,"Adm comp";#N/A,#N/A,FALSE,"Adm ajust";"adm",#N/A,FALSE,"Administration";#N/A,#N/A,FALSE,"Adm Bgt 97 vs Prév. 96";#N/A,#N/A,FALSE,"Adm Bgt 97 vs 96"}</definedName>
    <definedName name="sa" localSheetId="15" hidden="1">{"cap_structure",#N/A,FALSE,"Graph-Mkt Cap";"price",#N/A,FALSE,"Graph-Price";"ebit",#N/A,FALSE,"Graph-EBITDA";"ebitda",#N/A,FALSE,"Graph-EBITDA"}</definedName>
    <definedName name="sadsadsa" localSheetId="15" hidden="1">{"'Assump'!$F$6:$J$6"}</definedName>
    <definedName name="SADSADSADSA" localSheetId="15" hidden="1">{#N/A,#N/A,FALSE,"CONTROLE"}</definedName>
    <definedName name="sagf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NDER" localSheetId="15" hidden="1">{#N/A,#N/A,FALSE,"A";#N/A,#N/A,FALSE,"C"}</definedName>
    <definedName name="sd" localSheetId="15" hidden="1">{#N/A,#N/A,FALSE,"Adm comp";#N/A,#N/A,FALSE,"Adm ajust";"adm",#N/A,FALSE,"Administration";#N/A,#N/A,FALSE,"Adm Bgt 97 vs Prév. 96";#N/A,#N/A,FALSE,"Adm Bgt 97 vs 96"}</definedName>
    <definedName name="sdcds" localSheetId="15" hidden="1">{"'Assump'!$F$6:$J$6"}</definedName>
    <definedName name="sdf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ga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encount" localSheetId="15" hidden="1">1</definedName>
    <definedName name="SEV" localSheetId="15" hidden="1">{#N/A,#N/A,FALSE,"CONTROLE"}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ddfgfg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sss" localSheetId="15" hidden="1">{#N/A,#N/A,FALSE,"Adm comp";#N/A,#N/A,FALSE,"Adm ajust";"adm",#N/A,FALSE,"Administration";#N/A,#N/A,FALSE,"Adm Bgt 97 vs Prév. 96";#N/A,#N/A,FALSE,"Adm Bgt 97 vs 96"}</definedName>
    <definedName name="st" localSheetId="15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dium" localSheetId="15" hidden="1">{#N/A,#N/A,TRUE,"Ericsson Stadium PCD ";#N/A,#N/A,TRUE,"Ericsson Stadium IOR"}</definedName>
    <definedName name="stadiuma" localSheetId="15" hidden="1">{#N/A,#N/A,TRUE,"Ericsson Stadium PCD ";#N/A,#N/A,TRUE,"Ericsson Stadium IOR"}</definedName>
    <definedName name="stupid" localSheetId="15" hidden="1">{"cap_structure",#N/A,FALSE,"Graph-Mkt Cap";"price",#N/A,FALSE,"Graph-Price";"ebit",#N/A,FALSE,"Graph-EBITDA";"ebitda",#N/A,FALSE,"Graph-EBITDA"}</definedName>
    <definedName name="t" localSheetId="15" hidden="1">{"Construction Costs",#N/A,FALSE,"Budget";"Income Statement",#N/A,FALSE,"Budget"}</definedName>
    <definedName name="test" localSheetId="15" hidden="1">{"History+Projection+5Comps",#N/A,FALSE,"HISTORY (2)";"$ Per Occupied History+Projection+5Comps",#N/A,FALSE,"HISTORY (2)";"History+Projection",#N/A,FALSE,"HISTORY (2)"}</definedName>
    <definedName name="Teste" localSheetId="15" hidden="1">{#N/A,#N/A,FALSE,"CONTROLE"}</definedName>
    <definedName name="testII" localSheetId="15" hidden="1">{"History+Projection+5Comps",#N/A,FALSE,"HISTORY (2)";"$ Per Occupied History+Projection+5Comps",#N/A,FALSE,"HISTORY (2)";"History+Projection",#N/A,FALSE,"HISTORY (2)"}</definedName>
    <definedName name="tfrttf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HY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U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t" localSheetId="15" hidden="1">{#N/A,#N/A,FALSE,"CPresup";#N/A,#N/A,FALSE,"Ana";#N/A,#N/A,FALSE,"Desv";#N/A,#N/A,FALSE,"Ratios";#N/A,#N/A,FALSE,"Tex-Pub";#N/A,#N/A,FALSE,"Tarifas";#N/A,#N/A,FALSE,"ByN";#N/A,#N/A,FALSE,"Promo";#N/A,#N/A,FALSE,"Deleg"}</definedName>
    <definedName name="TTTTTT" localSheetId="15" hidden="1">{#N/A,#N/A,FALSE,"Centres";#N/A,#N/A,FALSE,"Partenariats";#N/A,#N/A,FALSE,"P.Diverses";#N/A,#N/A,FALSE,"Adm";#N/A,#N/A,FALSE,"Autres R-D";#N/A,#N/A,FALSE,"Intérêts"}</definedName>
    <definedName name="tttttttttt" localSheetId="15" hidden="1">{#N/A,#N/A,FALSE,"Adm comp";#N/A,#N/A,FALSE,"Adm ajust";"adm",#N/A,FALSE,"Administration";#N/A,#N/A,FALSE,"Adm Bgt 97 vs Prév. 96";#N/A,#N/A,FALSE,"Adm Bgt 97 vs 96"}</definedName>
    <definedName name="tttttttttttttttttt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wins" localSheetId="15" hidden="1">{"Construction Costs",#N/A,FALSE,"Budget";"Income Statement",#N/A,FALSE,"Budget"}</definedName>
    <definedName name="tyj" localSheetId="15" hidden="1">{#N/A,#N/A,FALSE,"EOAF";#N/A,#N/A,FALSE,"Ingresos";#N/A,#N/A,FALSE,"Rat2";#N/A,#N/A,FALSE,"IFP";#N/A,#N/A,FALSE,"Anexo"}</definedName>
    <definedName name="TYTYT" localSheetId="15" hidden="1">{#N/A,#N/A,FALSE,"Min compa cad";#N/A,#N/A,FALSE,"Min CAN Equité ";#N/A,#N/A,FALSE,"Analyse can"}</definedName>
    <definedName name="TYU" localSheetId="15" hidden="1">{#N/A,#N/A,FALSE,"Min compa cad";#N/A,#N/A,FALSE,"Min CAN Equité ";#N/A,#N/A,FALSE,"Analyse can"}</definedName>
    <definedName name="u" localSheetId="15" hidden="1">{#N/A,#N/A,FALSE,"Min compar us";#N/A,#N/A,FALSE,"Min US Equité ";#N/A,#N/A,FALSE,"Analyse U.S."}</definedName>
    <definedName name="UHT" localSheetId="15" hidden="1">{#N/A,#N/A,FALSE,"Adm comp";#N/A,#N/A,FALSE,"Adm ajust";"adm",#N/A,FALSE,"Administration";#N/A,#N/A,FALSE,"Adm Bgt 97 vs Prév. 96";#N/A,#N/A,FALSE,"Adm Bgt 97 vs 96"}</definedName>
    <definedName name="UHV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IOYYYUU" localSheetId="15" hidden="1">{#N/A,#N/A,FALSE,"Min compar us";#N/A,#N/A,FALSE,"Min US Equité ";#N/A,#N/A,FALSE,"Analyse U.S."}</definedName>
    <definedName name="UJK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iiiii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u" localSheetId="15" hidden="1">{#N/A,#N/A,FALSE,"Min compa cad";#N/A,#N/A,FALSE,"Min CAN Equité ";#N/A,#N/A,FALSE,"Analyse can"}</definedName>
    <definedName name="UUUUUU" localSheetId="15" hidden="1">{#N/A,#N/A,FALSE,"Centres";#N/A,#N/A,FALSE,"Partenariats";#N/A,#N/A,FALSE,"P.Diverses";#N/A,#N/A,FALSE,"Adm";#N/A,#N/A,FALSE,"Autres R-D";#N/A,#N/A,FALSE,"Intérêts"}</definedName>
    <definedName name="uyfkf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T" localSheetId="15" hidden="1">{#N/A,#N/A,FALSE,"Centres";#N/A,#N/A,FALSE,"Partenariats";#N/A,#N/A,FALSE,"P.Diverses";#N/A,#N/A,FALSE,"Adm";#N/A,#N/A,FALSE,"Autres R-D";#N/A,#N/A,FALSE,"Intérêts"}</definedName>
    <definedName name="var96_96" localSheetId="15" hidden="1">{#N/A,#N/A,FALSE,"B_Spread"}</definedName>
    <definedName name="vc" localSheetId="15" hidden="1">{#N/A,#N/A,FALSE,"Adm comp";#N/A,#N/A,FALSE,"Adm ajust";"adm",#N/A,FALSE,"Administration";#N/A,#N/A,FALSE,"Adm Bgt 97 vs Prév. 96";#N/A,#N/A,FALSE,"Adm Bgt 97 vs 96"}</definedName>
    <definedName name="VD" localSheetId="15" hidden="1">{#N/A,#N/A,FALSE,"CONTROLE"}</definedName>
    <definedName name="VE" localSheetId="15" hidden="1">{#N/A,#N/A,FALSE,"CONTROLE"}</definedName>
    <definedName name="VEEX" localSheetId="15" hidden="1">{#N/A,#N/A,FALSE,"Centres";#N/A,#N/A,FALSE,"Partenariats";#N/A,#N/A,FALSE,"P.Diverses";#N/A,#N/A,FALSE,"Adm";#N/A,#N/A,FALSE,"Autres R-D";#N/A,#N/A,FALSE,"Intérêts"}</definedName>
    <definedName name="vfrfvfr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HU" localSheetId="15" hidden="1">{#N/A,#N/A,FALSE,"Min compa cad";#N/A,#N/A,FALSE,"Min CAN Equité ";#N/A,#N/A,FALSE,"Analyse can"}</definedName>
    <definedName name="VR" localSheetId="15" hidden="1">{#N/A,#N/A,FALSE,"Centres";#N/A,#N/A,FALSE,"Partenariats";#N/A,#N/A,FALSE,"P.Diverses";#N/A,#N/A,FALSE,"Adm";#N/A,#N/A,FALSE,"Autres R-D";#N/A,#N/A,FALSE,"Intérêts"}</definedName>
    <definedName name="VVVVV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" localSheetId="15" hidden="1">#REF!</definedName>
    <definedName name="wafe" localSheetId="15" hidden="1">{"summary1",#N/A,TRUE,"Comps";"summary2",#N/A,TRUE,"Comps";"summary3",#N/A,TRUE,"Comps"}</definedName>
    <definedName name="WEA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ird" localSheetId="1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localSheetId="1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QQE" localSheetId="15" hidden="1">{"summary1",#N/A,TRUE,"Comps";"summary2",#N/A,TRUE,"Comps";"summary3",#N/A,TRUE,"Comps"}</definedName>
    <definedName name="WEWEW" localSheetId="15" hidden="1">{#N/A,#N/A,FALSE,"Min compa cad";#N/A,#N/A,FALSE,"Min CAN Equité ";#N/A,#N/A,FALSE,"Analyse can"}</definedName>
    <definedName name="what" localSheetId="15" hidden="1">{"Summary Including DHC",#N/A,TRUE,"SUMMARY";"Financial Assumptions",#N/A,TRUE,"Financial Assumptions";"Sources &amp; Uses",#N/A,TRUE,"Financial Assumptions";"History &amp; Projection",#N/A,TRUE,"History - Proforma"}</definedName>
    <definedName name="whatwhat" localSheetId="15" hidden="1">{"Page1",#N/A,FALSE,"7979";"Page2",#N/A,FALSE,"7979";"Page3",#N/A,FALSE,"7979"}</definedName>
    <definedName name="WIEDJSH" localSheetId="15" hidden="1">{#N/A,#N/A,FALSE,"Min compa cad";#N/A,#N/A,FALSE,"Min CAN Equité ";#N/A,#N/A,FALSE,"Analyse can"}</definedName>
    <definedName name="WIEUR" localSheetId="15" hidden="1">{#N/A,#N/A,FALSE,"Min compar us";#N/A,#N/A,FALSE,"Min US Equité ";#N/A,#N/A,FALSE,"Analyse U.S."}</definedName>
    <definedName name="WQE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n.1994._.Projected._.Cashflow." localSheetId="15" hidden="1">{"Debt Analysis",#N/A,FALSE,"Debt Analysis";"Calender Year",#N/A,FALSE,"Project Cash Flows";"Fiscal Year",#N/A,FALSE,"Project Cash Flows"}</definedName>
    <definedName name="wrn.1998._.Budget." localSheetId="1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3._.Year._.Summary." localSheetId="15" hidden="1">{#N/A,#N/A,FALSE,"3-Year Summary"}</definedName>
    <definedName name="wrn.399." localSheetId="15" hidden="1">{#N/A,#N/A,FALSE,"A";#N/A,#N/A,FALSE,"C"}</definedName>
    <definedName name="wrn.3yr.CF." localSheetId="15" hidden="1">{"assume",#N/A,FALSE,"K&amp;20th Month CF";"MoCF",#N/A,FALSE,"K&amp;20th Month CF";"AnCF",#N/A,FALSE,"K&amp;20th Month CF"}</definedName>
    <definedName name="wrn.98A." localSheetId="15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BUDGET." localSheetId="15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Accretion." localSheetId="15" hidden="1">{"Accretion",#N/A,FALSE,"Assum"}</definedName>
    <definedName name="wrn.Acquisition_matrix." localSheetId="15" hidden="1">{"Acq_matrix",#N/A,FALSE,"Acquisition Matrix"}</definedName>
    <definedName name="wrn.Acquisitions." localSheetId="15" hidden="1">{"One",#N/A,FALSE,"Acquisitions";"Two",#N/A,FALSE,"Acquisitions"}</definedName>
    <definedName name="wrn.adj95." localSheetId="15" hidden="1">{"adj95mult",#N/A,FALSE,"COMPCO";"adj95est",#N/A,FALSE,"COMPCO"}</definedName>
    <definedName name="wrn.administration." localSheetId="15" hidden="1">{#N/A,#N/A,FALSE,"Adm comp";#N/A,#N/A,FALSE,"Adm ajust";"adm",#N/A,FALSE,"Administration";#N/A,#N/A,FALSE,"Adm Bgt 97 vs Prév. 96";#N/A,#N/A,FALSE,"Adm Bgt 97 vs 96"}</definedName>
    <definedName name="wrn.ALL." localSheetId="15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wrn.All._.Budget._.Detail_Forecast." localSheetId="15" hidden="1">{"All Budget Detail-Forecast",#N/A,FALSE,"Forecast"}</definedName>
    <definedName name="wrn.All._.Budget._.Detail_Reit." localSheetId="15" hidden="1">{"All Budget Detail-Reit",#N/A,FALSE,"Forecast"}</definedName>
    <definedName name="wrn.All._.Non._.Recov._.Op._.Exp_Forecast." localSheetId="15" hidden="1">{"All Non-Recov. Op. Exp-Forecast",#N/A,FALSE,"Forecast"}</definedName>
    <definedName name="wrn.All._.Non._.Recov._.Op._.Exp_Reit." localSheetId="15" hidden="1">{"All Non-Recov. Op. Exp-Reit",#N/A,FALSE,"Forecast"}</definedName>
    <definedName name="wrn.ALL._.PAGES." localSheetId="1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Rental._.Income_Forecast." localSheetId="15" hidden="1">{"All Rental Income-Reforecast",#N/A,FALSE,"Forecast"}</definedName>
    <definedName name="wrn.All._.Rental._.Income_Reit." localSheetId="15" hidden="1">{"All Rental Income-Reit",#N/A,FALSE,"Forecast"}</definedName>
    <definedName name="wrn.All._.Stock_10_12_14." localSheetId="15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2" localSheetId="15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nual." localSheetId="15" hidden="1">{"ANNUAL",#N/A,FALSE,"Summary";"ANNUAL",#N/A,FALSE,"Pro Forma";"ANNUAL",#N/A,FALSE,"Equity"}</definedName>
    <definedName name="wrn.Annual._.Report." localSheetId="15" hidden="1">{"annual",#N/A,FALSE,"Pro Forma";#N/A,#N/A,FALSE,"Golf Operations"}</definedName>
    <definedName name="wrn.AnnualRentRoll." localSheetId="15" hidden="1">{"AnnualRentRoll",#N/A,FALSE,"RentRoll"}</definedName>
    <definedName name="wrn.AQUIROR._.DCF." localSheetId="15" hidden="1">{"AQUIRORDCF",#N/A,FALSE,"Merger consequences";"Acquirorassns",#N/A,FALSE,"Merger consequences"}</definedName>
    <definedName name="wrn.Arena._.PCD." localSheetId="15" hidden="1">{#N/A,#N/A,TRUE,"Maritime Park Arena PCD";#N/A,#N/A,TRUE,"Maritime Park Arena IOR"}</definedName>
    <definedName name="wrn.Assumptions." localSheetId="15" hidden="1">{"Assumptions",#N/A,FALSE,"Assum"}</definedName>
    <definedName name="wrn.B._.Spread._.Worksheet._.Summary." localSheetId="15" hidden="1">{#N/A,#N/A,FALSE,"B_Spread"}</definedName>
    <definedName name="wrn.B._.Spread._.Worksheets._.Detail." localSheetId="15" hidden="1">{#N/A,#N/A,FALSE,"B_Spread"}</definedName>
    <definedName name="wrn.Balance_Sheet." localSheetId="15" hidden="1">{"One",#N/A,FALSE,"Balance Sheet"}</definedName>
    <definedName name="wrn.Basic." localSheetId="15" hidden="1">{#N/A,#N/A,FALSE,"Cover";#N/A,#N/A,FALSE,"Assumptions";#N/A,#N/A,FALSE,"Acquirer";#N/A,#N/A,FALSE,"Target";#N/A,#N/A,FALSE,"Income Statement";#N/A,#N/A,FALSE,"Summary Tables"}</definedName>
    <definedName name="wrn.BlackWhite." localSheetId="15" hidden="1">{#N/A,#N/A,FALSE,"NNN sum";#N/A,#N/A,FALSE,"10-yr Opt. A Sum";#N/A,#N/A,FALSE,"10-yr Opt A Other Costs";#N/A,#N/A,FALSE,"Purchase Sum";#N/A,#N/A,FALSE,"Purchase Other Costs"}</definedName>
    <definedName name="wrn.BlackWhite5" localSheetId="15" hidden="1">{#N/A,#N/A,FALSE,"NNN sum";#N/A,#N/A,FALSE,"10-yr Opt. A Sum";#N/A,#N/A,FALSE,"10-yr Opt A Other Costs";#N/A,#N/A,FALSE,"Purchase Sum";#N/A,#N/A,FALSE,"Purchase Other Costs"}</definedName>
    <definedName name="wrn.bleu4." localSheetId="15" hidden="1">{#N/A,#N/A,FALSE}</definedName>
    <definedName name="wrn.Blue._.Book._.Sections." localSheetId="15" hidden="1">{#N/A,#N/A,TRUE,"Summary";#N/A,#N/A,TRUE,"Program Scheme";#N/A,#N/A,TRUE,"Assumptions";#N/A,#N/A,TRUE,"Development Budget &amp; Timing";#N/A,#N/A,TRUE,"Cash Flow";#N/A,#N/A,TRUE,"Cash Flow to Debt &amp; Equity"}</definedName>
    <definedName name="wrn.BOOK." localSheetId="15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th._.Outputs." localSheetId="15" hidden="1">{"LTV Output",#N/A,FALSE,"Output";"DCR Output",#N/A,FALSE,"Output"}</definedName>
    <definedName name="wrn.Budget." localSheetId="15" hidden="1">{"Budget",#N/A,FALSE,"2033K-R6"}</definedName>
    <definedName name="wrn.BUDGET._.PACKAGE." localSheetId="15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Capital._.Expenditures." localSheetId="15" hidden="1">{"Commission Cost",#N/A,FALSE,"Capital Expenditures";"Tenant Improvements",#N/A,FALSE,"Capital Expenditures"}</definedName>
    <definedName name="wrn.Capital_Increm.." localSheetId="15" hidden="1">{#N/A,#N/A,FALSE,"Capital-Incremental"}</definedName>
    <definedName name="wrn.Capital_Nonincre.." localSheetId="15" hidden="1">{#N/A,#N/A,FALSE,"Capital-Nonincremental"}</definedName>
    <definedName name="wrn.CAPREIT." localSheetId="15" hidden="1">{#N/A,#N/A,FALSE,"CAPREIT"}</definedName>
    <definedName name="wrn.CAPREIT2" localSheetId="15" hidden="1">{#N/A,#N/A,FALSE,"CAPREIT"}</definedName>
    <definedName name="wrn.Cash._.Flow._.Analysis." localSheetId="15" hidden="1">{"CF",#N/A,FALSE,"Cash Flow";"RET",#N/A,FALSE,"Returns";"NPV",#N/A,FALSE,"Values";"ASMPT",#N/A,FALSE,"Assumptions"}</definedName>
    <definedName name="wrn.Cash_Flow." localSheetId="15" hidden="1">{"One",#N/A,FALSE,"Cash Flow Statement"}</definedName>
    <definedName name="wrn.CCC." localSheetId="15" hidden="1">{#N/A,#N/A,FALSE,"A";#N/A,#N/A,FALSE,"B"}</definedName>
    <definedName name="wrn.CCC._.OPEX." localSheetId="15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F._.Print." localSheetId="15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heck." localSheetId="15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larie_Bridge." localSheetId="15" hidden="1">{"One",#N/A,FALSE,"Claire Bridge";"Two",#N/A,FALSE,"Claire Bridge";"Three",#N/A,FALSE,"Claire Bridge";"Four",#N/A,FALSE,"Claire Bridge";"Five",#N/A,FALSE,"Claire Bridge"}</definedName>
    <definedName name="wrn.cmcgest." localSheetId="15" hidden="1">{#N/A,#N/A,FALSE,"CPresup";#N/A,#N/A,FALSE,"Ana";#N/A,#N/A,FALSE,"Desv";#N/A,#N/A,FALSE,"Ratios";#N/A,#N/A,FALSE,"Tex-Pub";#N/A,#N/A,FALSE,"Tarifas";#N/A,#N/A,FALSE,"ByN";#N/A,#N/A,FALSE,"Promo";#N/A,#N/A,FALSE,"Deleg"}</definedName>
    <definedName name="wrn.cmdirgen." localSheetId="15" hidden="1">{#N/A,#N/A,FALSE,"Res.Eco.";#N/A,#N/A,FALSE,"ReMen";#N/A,#N/A,FALSE,"ABCe"}</definedName>
    <definedName name="wrn.cmdisrb." localSheetId="15" hidden="1">{#N/A,#N/A,FALSE,"Mes";#N/A,#N/A,FALSE,"Desv";#N/A,#N/A,FALSE,"ABCM";#N/A,#N/A,FALSE,"ABCS";#N/A,#N/A,FALSE,"BYN";#N/A,#N/A,FALSE,"Ranking";#N/A,#N/A,FALSE,"Coste Distr.";#N/A,#N/A,FALSE,"Incid";#N/A,#N/A,FALSE,"EjAtr";#N/A,#N/A,FALSE,"Atípico";#N/A,#N/A,FALSE,"P.Cero"}</definedName>
    <definedName name="wrn.cmfinan." localSheetId="15" hidden="1">{#N/A,#N/A,FALSE,"EOAF";#N/A,#N/A,FALSE,"Ingresos";#N/A,#N/A,FALSE,"Rat2";#N/A,#N/A,FALSE,"IFP";#N/A,#N/A,FALSE,"Anexo"}</definedName>
    <definedName name="wrn.CMINFORM." localSheetId="15" hidden="1">{#N/A,#N/A,FALSE,"Ratios";#N/A,#N/A,FALSE,"Proy"}</definedName>
    <definedName name="wrn.cmprod." localSheetId="15" hidden="1">{#N/A,#N/A,FALSE,"Even";#N/A,#N/A,FALSE,"Hora";#N/A,#N/A,FALSE,"Bobinas";#N/A,#N/A,FALSE,"Paro";#N/A,#N/A,FALSE,"Perd";#N/A,#N/A,FALSE,"Color";#N/A,#N/A,FALSE,"Exter";#N/A,#N/A,FALSE,"ConsMes"}</definedName>
    <definedName name="wrn.cmproduc." localSheetId="15" hidden="1">{#N/A,#N/A,FALSE,"Ratios";#N/A,#N/A,FALSE,"Graf";#N/A,#N/A,FALSE,"Tirada";#N/A,#N/A,FALSE,"Desviaciones";#N/A,#N/A,FALSE,"Perdido"}</definedName>
    <definedName name="wrn.CMPUB." localSheetId="15" hidden="1">{#N/A,#N/A,FALSE,"Mes";#N/A,#N/A,FALSE,"desviac";#N/A,#N/A,FALSE,"Pesetas";#N/A,#N/A,FALSE,"Páginas";#N/A,#N/A,FALSE,"Encarte";#N/A,#N/A,FALSE,"Sectores"}</definedName>
    <definedName name="wrn.color." localSheetId="15" hidden="1">{#N/A,#N/A,FALSE,"IFP";#N/A,#N/A,FALSE,"Tesor";#N/A,#N/A,FALSE,"GBce";#N/A,#N/A,FALSE,"Perso";#N/A,#N/A,FALSE,"GPers";#N/A,#N/A,FALSE,"Papel";#N/A,#N/A,FALSE,"GPap";#N/A,#N/A,FALSE,"Gasto";#N/A,#N/A,FALSE,"GGast";#N/A,#N/A,FALSE,"Dif.Dist.Pub";#N/A,#N/A,FALSE,"GDif";#N/A,#N/A,FALSE,"Ingre";#N/A,#N/A,FALSE,"GIngr";#N/A,#N/A,FALSE,"GBAI";#N/A,#N/A,FALSE,"Res.Eco.";#N/A,#N/A,FALSE,"GSituac"}</definedName>
    <definedName name="wrn.comco." localSheetId="15" hidden="1">{"all",#N/A,FALSE,"Compco";"summary",#N/A,FALSE,"Compco"}</definedName>
    <definedName name="wrn.Commissions." localSheetId="15" hidden="1">{"Commisions",#N/A,FALSE,"2033K-R6"}</definedName>
    <definedName name="wrn.compco." localSheetId="15" hidden="1">{"page1",#N/A,FALSE,"BHCOMPC5";"page2",#N/A,FALSE,"BHCOMPC5";"page3",#N/A,FALSE,"BHCOMPC5";"page4",#N/A,FALSE,"BHCOMPC5"}</definedName>
    <definedName name="wrn.Complete." localSheetId="15" hidden="1">{#N/A,#N/A,TRUE,"DCF Summary";#N/A,#N/A,TRUE,"Casema";#N/A,#N/A,TRUE,"UK";#N/A,#N/A,TRUE,"RCF";#N/A,#N/A,TRUE,"Intercable CZ";#N/A,#N/A,TRUE,"Interkabel P";#N/A,#N/A,TRUE,"LBO-Total";#N/A,#N/A,TRUE,"LBO-Casema"}</definedName>
    <definedName name="wrn.Complete._.Package." localSheetId="15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view." localSheetId="15" hidden="1">{#N/A,#N/A,FALSE,"Occ and Rate";#N/A,#N/A,FALSE,"PF Input";#N/A,#N/A,FALSE,"Capital Input";#N/A,#N/A,FALSE,"Proforma Five Yr";#N/A,#N/A,FALSE,"Calculations";#N/A,#N/A,FALSE,"Transaction Summary-DTW"}</definedName>
    <definedName name="wrn.consejo." localSheetId="15" hidden="1">{#N/A,#N/A,FALSE,"GSituac";#N/A,#N/A,FALSE,"Res.Eco.";#N/A,#N/A,FALSE,"GBAI";#N/A,#N/A,FALSE,"Real 96";#N/A,#N/A,FALSE,"Pto 96";#N/A,#N/A,FALSE,"Real 95";#N/A,#N/A,FALSE,"GIngr";#N/A,#N/A,FALSE,"Ingre";#N/A,#N/A,FALSE,"GDif";#N/A,#N/A,FALSE,"Dif.Dist.Pub";#N/A,#N/A,FALSE,"GGast";#N/A,#N/A,FALSE,"Gasto";#N/A,#N/A,FALSE,"GPap";#N/A,#N/A,FALSE,"Papel";#N/A,#N/A,FALSE,"GPers";#N/A,#N/A,FALSE,"Perso";#N/A,#N/A,FALSE,"GBce";#N/A,#N/A,FALSE,"Tesor";#N/A,#N/A,FALSE,"IFP";#N/A,#N/A,FALSE,"Grupo"}</definedName>
    <definedName name="wrn.conso.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rporate." localSheetId="15" hidden="1">{"One",#N/A,FALSE,"Corporate"}</definedName>
    <definedName name="wrn.cotop." localSheetId="15" hidden="1">{"ReportTop",#N/A,FALSE,"report top"}</definedName>
    <definedName name="wrn.Crossings." localSheetId="15" hidden="1">{"One",#N/A,FALSE,"Crossings";"Two",#N/A,FALSE,"Crossings";"Three",#N/A,FALSE,"Crossings";"Fous",#N/A,FALSE,"Crossings";"Five",#N/A,FALSE,"Crossings"}</definedName>
    <definedName name="wrn.crossroads." localSheetId="15" hidden="1">{#N/A,#N/A,FALSE,"RENT ROLL";#N/A,#N/A,FALSE,"CAM";#N/A,#N/A,FALSE,"TAXES";#N/A,#N/A,FALSE,"INSURANCE";#N/A,#N/A,FALSE,"HVAC";#N/A,#N/A,FALSE,"MARKETING"}</definedName>
    <definedName name="wrn.data." localSheetId="15" hidden="1">{"data",#N/A,FALSE,"INPUT"}</definedName>
    <definedName name="wrn.data5" localSheetId="15" hidden="1">{"data",#N/A,FALSE,"INPUT"}</definedName>
    <definedName name="wrn.dcf." localSheetId="15" hidden="1">{"mgmt forecast",#N/A,FALSE,"Mgmt Forecast";"dcf table",#N/A,FALSE,"Mgmt Forecast";"sensitivity",#N/A,FALSE,"Mgmt Forecast";"table inputs",#N/A,FALSE,"Mgmt Forecast";"calculations",#N/A,FALSE,"Mgmt Forecast"}</definedName>
    <definedName name="wrn.DCF._.Only." localSheetId="15" hidden="1">{#N/A,#N/A,FALSE,"DCF Summary";#N/A,#N/A,FALSE,"Casema";#N/A,#N/A,FALSE,"Casema NoTel";#N/A,#N/A,FALSE,"UK";#N/A,#N/A,FALSE,"RCF";#N/A,#N/A,FALSE,"Intercable CZ";#N/A,#N/A,FALSE,"Interkabel P"}</definedName>
    <definedName name="wrn.DCF_Terminal_Value_qchm." localSheetId="15" hidden="1">{"qchm_dcf",#N/A,FALSE,"QCHMDCF2";"qchm_terminal",#N/A,FALSE,"QCHMDCF2"}</definedName>
    <definedName name="wrn.DCR._.Output." localSheetId="15" hidden="1">{"DCR Output",#N/A,FALSE,"Output"}</definedName>
    <definedName name="wrn.Depreciation." localSheetId="15" hidden="1">{"One",#N/A,FALSE,"Depreciation"}</definedName>
    <definedName name="wrn.detail.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localSheetId="15" hidden="1">{"ACCOUNT DETAIL",#N/A,FALSE,"SCHEDULE E";"ACCOUNT DETAIL",#N/A,FALSE,"SCHEDULE G";"ACCOUNT DETAIL",#N/A,FALSE,"SCHEDULE H";"ACCOUNT DETAIL",#N/A,FALSE,"SCHEDULE I"}</definedName>
    <definedName name="wrn.Detailed._.Partnership._.Returns._.Leveraged." localSheetId="15" hidden="1">{"Return Analysis - Leveraged",#N/A,FALSE,"Return Analysis - Leveraged"}</definedName>
    <definedName name="wrn.Development." localSheetId="15" hidden="1">{"Construction Costs",#N/A,FALSE,"Budget";"Income Statement",#N/A,FALSE,"Budget"}</definedName>
    <definedName name="wrn.Development._.Budget." localSheetId="15" hidden="1">{"Year 1",#N/A,FALSE,"Budget";"Year 2",#N/A,FALSE,"Budget";"Year 3",#N/A,FALSE,"Budget";"Year 4",#N/A,FALSE,"Budget"}</definedName>
    <definedName name="wrn.Development2" localSheetId="15" hidden="1">{"Construction Costs",#N/A,FALSE,"Budget";"Income Statement",#N/A,FALSE,"Budget"}</definedName>
    <definedName name="wrn.dtl.schedules" localSheetId="15" hidden="1">{"ACCOUNT DETAIL",#N/A,FALSE,"SCHEDULE E";"ACCOUNT DETAIL",#N/A,FALSE,"SCHEDULE G";"ACCOUNT DETAIL",#N/A,FALSE,"SCHEDULE H";"ACCOUNT DETAIL",#N/A,FALSE,"SCHEDULE I"}</definedName>
    <definedName name="wrn.Earnings._.Model." localSheetId="1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localSheetId="15" hidden="1">{"EVA",#N/A,FALSE,"EVA";"WACC",#N/A,FALSE,"WACC"}</definedName>
    <definedName name="wrn.Entire._.Package." localSheetId="15" hidden="1">{"Summary",#N/A,FALSE,"Assumptions";"Development 1 2",#N/A,FALSE,"Budget";"Operating Income",#N/A,FALSE,"Budget"}</definedName>
    <definedName name="wrn.Excavation." localSheetId="15" hidden="1">{"excavation",#N/A,FALSE,"DETAIL.XLS"}</definedName>
    <definedName name="wrn.EXCLUHGLT." localSheetId="15" hidden="1">{#N/A,#N/A,FALSE,"Centres";#N/A,#N/A,FALSE,"Partenariats";#N/A,#N/A,FALSE,"P.Diverses";#N/A,#N/A,FALSE,"Adm";#N/A,#N/A,FALSE,"Autres R-D";#N/A,#N/A,FALSE,"Intérêts"}</definedName>
    <definedName name="wrn.ExitAndSalesAssumptions." localSheetId="15" hidden="1">{#N/A,#N/A,FALSE,"ExitStratigy"}</definedName>
    <definedName name="wrn.EXPENSE." localSheetId="15" hidden="1">{#N/A,#N/A,FALSE,"Common Area Accrual";#N/A,#N/A,FALSE,"Unit One LaSalle";#N/A,#N/A,FALSE,"Unit One CW";#N/A,#N/A,FALSE,"Unit One LaSallle + C &amp; W";#N/A,#N/A,FALSE,"Consolidated Accrual"}</definedName>
    <definedName name="wrn.Expense._.Detail." localSheetId="15" hidden="1">{#N/A,#N/A,FALSE,"Common Area Accrual";#N/A,#N/A,FALSE,"Unit One LaSalle";#N/A,#N/A,FALSE,"Unit One CW";#N/A,#N/A,FALSE,"Unit One LaSalle + C &amp; W";#N/A,#N/A,FALSE,"Consolidated Accrual"}</definedName>
    <definedName name="wrn.Expense._.Schedules." localSheetId="15" hidden="1">{"Expense Schedules",#N/A,FALSE,"Expense Schedules"}</definedName>
    <definedName name="wrn.Exterior._.Wall." localSheetId="15" hidden="1">{#N/A,#N/A,FALSE,"Paramters";"print range",#N/A,FALSE,"GSF.XLS";"exterior wall",#N/A,FALSE,"DETAIL.XLS"}</definedName>
    <definedName name="wrn.FCB." localSheetId="15" hidden="1">{"FCB_ALL",#N/A,FALSE,"FCB"}</definedName>
    <definedName name="wrn.fcb2" localSheetId="15" hidden="1">{"FCB_ALL",#N/A,FALSE,"FCB"}</definedName>
    <definedName name="wrn.FCG." localSheetId="15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localSheetId="15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localSheetId="15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inancial._.Statements." localSheetId="15" hidden="1">{#N/A,#N/A,FALSE,"BS";#N/A,#N/A,FALSE,"IS";#N/A,#N/A,FALSE,"CF";#N/A,#N/A,FALSE,"EXP";#N/A,#N/A,FALSE,"FURN";#N/A,#N/A,FALSE,"MANNOI"}</definedName>
    <definedName name="wrn.Financing." localSheetId="15" hidden="1">{"One",#N/A,FALSE,"Financing";"Two",#N/A,FALSE,"Financing";"Three",#N/A,FALSE,"Financing";"Four",#N/A,FALSE,"Financing"}</definedName>
    <definedName name="wrn.Financing_Assumptions." localSheetId="15" hidden="1">{"One",#N/A,FALSE,"Financing Assumptions";"Two",#N/A,FALSE,"Financing Assumptions";"Three",#N/A,FALSE,"Financing Assumptions";"Four",#N/A,FALSE,"Financing Assumptions"}</definedName>
    <definedName name="wrn.Fmgmtfee." localSheetId="15" hidden="1">{#N/A,#N/A,FALSE,"Fmgmtfee"}</definedName>
    <definedName name="wrn.FMJVO._.and._.Summary._.with._.Calculations." localSheetId="15" hidden="1">{#N/A,#N/A,FALSE,"Summary";#N/A,#N/A,FALSE,"General Inputs &amp; Assumptions";"Franchise All",#N/A,FALSE,"Franchise";"Managed All",#N/A,FALSE,"Managed";"JV All",#N/A,FALSE,"JV";"Owned All",#N/A,FALSE,"Owned"}</definedName>
    <definedName name="wrn.FOschedules." localSheetId="15" hidden="1">{"FOschedule1",#N/A,FALSE,"Sheet1";"FOschedule2",#N/A,FALSE,"Sheet1";"FOschedule3",#N/A,FALSE,"Sheet1"}</definedName>
    <definedName name="wrn.Full." localSheetId="15" hidden="1">{#N/A,#N/A,FALSE,"ExecutiveSummary";#N/A,#N/A,FALSE,"CostDetail";#N/A,#N/A,FALSE,"IncomeDetail";#N/A,#N/A,FALSE,"InterestCalculation"}</definedName>
    <definedName name="wrn.FULL._.COMPARISON." localSheetId="15" hidden="1">{"Full Sheet",#N/A,FALSE,"Expense Comparison"}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_Template.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localSheetId="1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Gen_Misc._.Input." localSheetId="15" hidden="1">{"General Input",#N/A,FALSE,"General Info";"Miscellaneous Input",#N/A,FALSE,"General Info"}</definedName>
    <definedName name="wrn.General." localSheetId="15" hidden="1">{"Balance",#N/A,FALSE,"General Assumptions";"Cost",#N/A,FALSE,"General Assumptions";"Working",#N/A,FALSE,"General Assumptions"}</definedName>
    <definedName name="wrn.global.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._.CompCo." localSheetId="15" hidden="1">{"Outputs",#N/A,TRUE,"North America";"Outputs",#N/A,TRUE,"Europe";"Outputs",#N/A,TRUE,"Asia Pacific";"Outputs",#N/A,TRUE,"Latin America";"Outputs",#N/A,TRUE,"Wireless"}</definedName>
    <definedName name="wrn.Gross._.up." localSheetId="15" hidden="1">{#N/A,#N/A,FALSE,"Gross-Up"}</definedName>
    <definedName name="wrn.GSA._.PRINT." localSheetId="15" hidden="1">{#N/A,#N/A,FALSE,"DEV COSTS";#N/A,#N/A,FALSE,"10-YR C. F."}</definedName>
    <definedName name="wrn.gsa._PRINT5" localSheetId="15" hidden="1">{#N/A,#N/A,FALSE,"DEV COSTS";#N/A,#N/A,FALSE,"10-YR C. F."}</definedName>
    <definedName name="wrn.Gund._.Arena._.PCD." localSheetId="15" hidden="1">{#N/A,#N/A,TRUE,"Gund Arena PCD";#N/A,#N/A,TRUE,"Gund Arena IOR"}</definedName>
    <definedName name="wrn.History._.Proforma." localSheetId="15" hidden="1">{"History &amp; Projection",#N/A,FALSE,"History - Proforma"}</definedName>
    <definedName name="wrn.History._.Projection._.Comps." localSheetId="15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yatt._.Report." localSheetId="15" hidden="1">{"History+Projection+5Comps",#N/A,FALSE,"HISTORY (2)";"$ Per Occupied History+Projection+5Comps",#N/A,FALSE,"HISTORY (2)";"History+Projection",#N/A,FALSE,"HISTORY (2)"}</definedName>
    <definedName name="wrn.Hyatt_.Report" localSheetId="15" hidden="1">{"History+Projection+5Comps",#N/A,FALSE,"HISTORY (2)";"$ Per Occupied History+Projection+5Comps",#N/A,FALSE,"HISTORY (2)";"History+Projection",#N/A,FALSE,"HISTORY (2)"}</definedName>
    <definedName name="wrn.IBI." localSheetId="15" hidden="1">{"IBI PRIMERA",#N/A,FALSE,"IBI 2002";"IBI SEGUNDA",#N/A,FALSE,"IBI 2002"}</definedName>
    <definedName name="wrn.III." localSheetId="15" hidden="1">{"CASHFLOW",#N/A,FALSE,"Northpointe"}</definedName>
    <definedName name="wrn.Income._.Statements." localSheetId="15" hidden="1">{"Annual Income",#N/A,FALSE,"Revenues";"Quarter Income",#N/A,FALSE,"Revenues"}</definedName>
    <definedName name="wrn.Income_Statement." localSheetId="15" hidden="1">{"One",#N/A,FALSE,"Income Statement";"Two",#N/A,FALSE,"Income Statement";"Three",#N/A,FALSE,"Income Statement";"Four",#N/A,FALSE,"Income Statement"}</definedName>
    <definedName name="wrn.Individual._.Regions." localSheetId="15" hidden="1">{#N/A,#N/A,FALSE,"Summary";#N/A,#N/A,FALSE,"AIME";#N/A,#N/A,FALSE,"Asia (2)";#N/A,#N/A,FALSE,"Europe";#N/A,#N/A,FALSE,"LA"}</definedName>
    <definedName name="wrn.Inputs." localSheetId="15" hidden="1">{"Inputs",#N/A,TRUE,"North America";"Inputs",#N/A,TRUE,"Europe";"Inputs",#N/A,TRUE,"Asia Pacific";"Inputs",#N/A,TRUE,"Latin America";"Inputs",#N/A,TRUE,"Wireless"}</definedName>
    <definedName name="wrn.Interior._.finishes." localSheetId="15" hidden="1">{"interior finishes",#N/A,FALSE,"DETAIL.XLS"}</definedName>
    <definedName name="wrn.Investment._.Review." localSheetId="15" hidden="1">{#N/A,#N/A,FALSE,"Proforma Five Yr";#N/A,#N/A,FALSE,"Capital Input";#N/A,#N/A,FALSE,"Calculations";#N/A,#N/A,FALSE,"Transaction Summary-DTW"}</definedName>
    <definedName name="wrn.Investment._.Summary._.Golf._.Suites." localSheetId="15" hidden="1">{"Preferred Equity IRR",#N/A,FALSE,"PROFORMA";"GP Cash Flow and IRR",#N/A,FALSE,"PROFORMA"}</definedName>
    <definedName name="wrn.JODM._.Graphs." localSheetId="1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V." localSheetId="15" hidden="1">{"One",#N/A,FALSE,"JV"}</definedName>
    <definedName name="wrn.kathys." localSheetId="15" hidden="1">{"page1",#N/A,FALSE,"Cashflow";"page2",#N/A,FALSE,"Cashflow"}</definedName>
    <definedName name="wrn.Lease._.Up._.Summary." localSheetId="15" hidden="1">{"Lease Up Summary",#N/A,FALSE,"2033K-R6"}</definedName>
    <definedName name="wrn.Leasing._.Assumptions." localSheetId="15" hidden="1">{"Assumptions",#N/A,FALSE,"Leasing Assumptions"}</definedName>
    <definedName name="wrn.Leasing._.Variance." localSheetId="15" hidden="1">{#N/A,#N/A,FALSE,"Leasing 6A"}</definedName>
    <definedName name="wrn.LETTERED." localSheetId="15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 localSheetId="15" hidden="1">{"Loan Summary",#N/A,FALSE,"Phase 1 loan &amp; data"}</definedName>
    <definedName name="wrn.Loan._.Summary." localSheetId="15" hidden="1">{"Loan Summary",#N/A,FALSE,"Phase 1 loan &amp; data"}</definedName>
    <definedName name="wrn.LoanInformation." localSheetId="15" hidden="1">{#N/A,#N/A,FALSE,"LoanAssumptions"}</definedName>
    <definedName name="wrn.ltrd." localSheetId="15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localSheetId="15" hidden="1">{"LTV Output",#N/A,FALSE,"Output"}</definedName>
    <definedName name="wrn.Market._.Values." localSheetId="15" hidden="1">{#N/A,#N/A,TRUE,"10 Yr Hold";#N/A,#N/A,TRUE,"7 Yr Hold";#N/A,#N/A,TRUE,"5 Yr Hold";#N/A,#N/A,TRUE,"3 Yr Hold"}</definedName>
    <definedName name="wrn.MARKETING." localSheetId="15" hidden="1">{#N/A,#N/A,FALSE,"MARKETING I";#N/A,#N/A,FALSE,"MARKETING II";#N/A,#N/A,FALSE,"MARKETING III"}</definedName>
    <definedName name="wrn.MFJVO._.and._.Summary._.Inputs._.Only." localSheetId="15" hidden="1">{#N/A,#N/A,FALSE,"Summary";#N/A,#N/A,FALSE,"General Inputs &amp; Assumptions";"Franchise Inputs",#N/A,FALSE,"Franchise";"Managed Inputs a",#N/A,FALSE,"Managed";"JV Inputs",#N/A,FALSE,"JV";"Owned Inputs",#N/A,FALSE,"Owned"}</definedName>
    <definedName name="wrn.minrenn" localSheetId="15" hidden="1">{"MINRENT2",#N/A,FALSE,"SCHEDULE B"}</definedName>
    <definedName name="wrn.MINRENT." localSheetId="15" hidden="1">{"MINRENT2",#N/A,FALSE,"SCHEDULE B"}</definedName>
    <definedName name="wrn.minrent.2" localSheetId="15" hidden="1">{"MINRENT2",#N/A,FALSE,"SCHEDULE B"}</definedName>
    <definedName name="wrn.mkting" localSheetId="15" hidden="1">{#N/A,#N/A,FALSE,"MARKETING I";#N/A,#N/A,FALSE,"MARKETING II";#N/A,#N/A,FALSE,"MARKETING III"}</definedName>
    <definedName name="wrn.MODEL." localSheetId="1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localSheetId="1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localSheetId="15" hidden="1">{"MONTHLY",#N/A,FALSE,"Pro Forma";"MONTHLY",#N/A,FALSE,"Equity"}</definedName>
    <definedName name="wrn.monthly._.financial." localSheetId="15" hidden="1">{#N/A,#N/A,FALSE,"SUMMARY 4a";#N/A,#N/A,FALSE,"GBA 4b";#N/A,#N/A,FALSE,"TENANT 4c";#N/A,#N/A,FALSE,"BUDGET DETAIL";#N/A,#N/A,FALSE,"PRO FORMA"}</definedName>
    <definedName name="wrn.Monthly._.Report." localSheetId="15" hidden="1">{"pro forma monthly",#N/A,FALSE,"Pro Forma";"equity monthly",#N/A,FALSE,"Equity";"TCC monthly",#N/A,FALSE,"TCC"}</definedName>
    <definedName name="wrn.MonthlyRentRoll." localSheetId="15" hidden="1">{"MonthlyRentRoll",#N/A,FALSE,"RentRoll"}</definedName>
    <definedName name="wrn.negro." localSheetId="15" hidden="1">{#N/A,#N/A,FALSE,"Real 96";#N/A,#N/A,FALSE,"Pto 96";#N/A,#N/A,FALSE,"Real 95";#N/A,#N/A,FALSE,"Grupo"}</definedName>
    <definedName name="wrn.New_Business." localSheetId="15" hidden="1">{"One",#N/A,FALSE,"New Business"}</definedName>
    <definedName name="wrn.North._.America." localSheetId="15" hidden="1">{#N/A,#N/A,FALSE,"NA All";#N/A,#N/A,FALSE,"Joe Champ";#N/A,#N/A,FALSE,"Joe Long"}</definedName>
    <definedName name="wrn.NOV96.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office." localSheetId="15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.BUDGET." localSheetId="15" hidden="1">{#N/A,#N/A,FALSE,"LP Exp";#N/A,#N/A,FALSE,"Salary";#N/A,#N/A,FALSE,"Admin Exp";#N/A,#N/A,FALSE,"QTS Bud";#N/A,#N/A,FALSE,"Marketing"}</definedName>
    <definedName name="wrn.ontario." localSheetId="15" hidden="1">{"page1",#N/A,FALSE,"sheet 1";"Page2",#N/A,FALSE,"sheet 1";"page3",#N/A,FALSE,"sheet 1";"page4",#N/A,FALSE,"sheet 1"}</definedName>
    <definedName name="wrn.Operating._.Expenses." localSheetId="15" hidden="1">{"Operating Expenses",#N/A,FALSE,"2033K-R6"}</definedName>
    <definedName name="wrn.OperatingAssumtions." localSheetId="15" hidden="1">{#N/A,#N/A,FALSE,"OperatingAssumptions"}</definedName>
    <definedName name="wrn.Operations._.Review." localSheetId="15" hidden="1">{#N/A,#N/A,FALSE,"Proforma Five Yr";#N/A,#N/A,FALSE,"Occ and Rate";#N/A,#N/A,FALSE,"PF Input";#N/A,#N/A,FALSE,"Hotcomps"}</definedName>
    <definedName name="wrn.OUTPUT." localSheetId="15" hidden="1">{"DCF","UPSIDE CASE",FALSE,"Sheet1";"DCF","BASE CASE",FALSE,"Sheet1";"DCF","DOWNSIDE CASE",FALSE,"Sheet1"}</definedName>
    <definedName name="wrn.Output3Column." localSheetId="15" hidden="1">{"Output-3Column",#N/A,FALSE,"Output"}</definedName>
    <definedName name="wrn.OutputAll." localSheetId="15" hidden="1">{"Output-All",#N/A,FALSE,"Output"}</definedName>
    <definedName name="wrn.OutputBaseYear." localSheetId="15" hidden="1">{"Output-BaseYear",#N/A,FALSE,"Output"}</definedName>
    <definedName name="wrn.OutputMin." localSheetId="15" hidden="1">{"Output-Min",#N/A,FALSE,"Output"}</definedName>
    <definedName name="wrn.OutputPercent." localSheetId="15" hidden="1">{"Output%",#N/A,FALSE,"Output"}</definedName>
    <definedName name="wrn.Palms._.at._.South._.Shore." localSheetId="15" hidden="1">{#N/A,#N/A,FALSE,"loananalysis";#N/A,#N/A,FALSE,"proforma";#N/A,#N/A,FALSE,"unitmix"}</definedName>
    <definedName name="wrn.Parking." localSheetId="15" hidden="1">{"Parking",#N/A,FALSE,"Parking"}</definedName>
    <definedName name="wrn.partcan." localSheetId="15" hidden="1">{#N/A,#N/A,FALSE,"Min compa cad";#N/A,#N/A,FALSE,"Min CAN Equité ";#N/A,#N/A,FALSE,"Analyse can"}</definedName>
    <definedName name="wrn.Partial." localSheetId="15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_Template." localSheetId="15" hidden="1">{#N/A,#N/A,FALSE,"1Summary";#N/A,#N/A,FALSE,"2Assumptions";#N/A,#N/A,FALSE,"3Cash Flow";#N/A,#N/A,FALSE,"6Residual";#N/A,#N/A,FALSE,"AExpiration Schedule"}</definedName>
    <definedName name="wrn.partus." localSheetId="15" hidden="1">{#N/A,#N/A,FALSE,"Min compar us";#N/A,#N/A,FALSE,"Min US Equité ";#N/A,#N/A,FALSE,"Analyse U.S."}</definedName>
    <definedName name="wrn.PERCENTAGE._.RENT." localSheetId="15" hidden="1">{"PERCENTAGE RENT",#N/A,TRUE,"SCHEDULE B"}</definedName>
    <definedName name="wrn.Phase._.I." localSheetId="15" hidden="1">{#N/A,#N/A,FALSE,"Transaction Summary-DTW";#N/A,#N/A,FALSE,"Proforma Five Yr";#N/A,#N/A,FALSE,"Occ and Rate"}</definedName>
    <definedName name="wrn.Pineway." localSheetId="15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K._.Variance." localSheetId="15" hidden="1">{#N/A,#N/A,FALSE,"399 Park Var";#N/A,#N/A,FALSE,"PK NOTES"}</definedName>
    <definedName name="wrn.PLX." localSheetId="1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tfolio." localSheetId="15" hidden="1">{#N/A,#N/A,FALSE,"Portfolio Summary";#N/A,#N/A,FALSE,"Portfolio Operating Stmt";#N/A,#N/A,FALSE,"Portfolio Cash Flow"}</definedName>
    <definedName name="wrn.PR_TRIAL_BALANCE." localSheetId="15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cntrent" localSheetId="15" hidden="1">{"PERCENTAGE RENT",#N/A,TRUE,"SCHEDULE B"}</definedName>
    <definedName name="wrn.Prepaid_Recov.." localSheetId="15" hidden="1">{#N/A,#N/A,FALSE,"Prepaid Recoverable"}</definedName>
    <definedName name="wrn.Presentation." localSheetId="15" hidden="1">{#N/A,#N/A,TRUE,"Summary";"AnnualRentRoll",#N/A,TRUE,"RentRoll";#N/A,#N/A,TRUE,"ExitStratigy";#N/A,#N/A,TRUE,"OperatingAssumptions"}</definedName>
    <definedName name="wrn.Print" localSheetId="15" hidden="1">{"vi1",#N/A,FALSE,"Financial Statements";"vi2",#N/A,FALSE,"Financial Statements";#N/A,#N/A,FALSE,"DCF"}</definedName>
    <definedName name="wrn.Print." localSheetId="15" hidden="1">{"vi1",#N/A,FALSE,"Financial Statements";"vi2",#N/A,FALSE,"Financial Statements";#N/A,#N/A,FALSE,"DCF"}</definedName>
    <definedName name="wrn.PRINT._.ALL." localSheetId="15" hidden="1">{#N/A,#N/A,FALSE,"Expense Detail ";#N/A,#N/A,FALSE,"Worksheet";#N/A,#N/A,FALSE,"Audit";#N/A,#N/A,FALSE,"Exclusions";#N/A,#N/A,FALSE,"Variance";#N/A,#N/A,FALSE,"Reconciliation"}</definedName>
    <definedName name="wrn.Print._.Full." localSheetId="15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 localSheetId="15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raphs." localSheetId="15" hidden="1">{"cap_structure",#N/A,FALSE,"Graph-Mkt Cap";"price",#N/A,FALSE,"Graph-Price";"ebit",#N/A,FALSE,"Graph-EBITDA";"ebitda",#N/A,FALSE,"Graph-EBITDA"}</definedName>
    <definedName name="wrn.Print._.Lodging._.Only." localSheetId="15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raw._.data._.entry." localSheetId="15" hidden="1">{"inputs raw data",#N/A,TRUE,"INPUT"}</definedName>
    <definedName name="wrn.print._.summary._.sheets." localSheetId="15" hidden="1">{"summary1",#N/A,TRUE,"Comps";"summary2",#N/A,TRUE,"Comps";"summary3",#N/A,TRUE,"Comps"}</definedName>
    <definedName name="wrn.Print_All." localSheetId="15" hidden="1">{"Cover_PA1",#N/A,TRUE,"Cover";"TOC_PA1",#N/A,TRUE,"TOC";"Definitions_PA1",#N/A,TRUE,"Definitions";"LBO_Input_PA1",#N/A,TRUE,"LBO Input";"LBO_Output_PA1",#N/A,TRUE,"LBO Output";"IRR_PA1",#N/A,TRUE,"IRR";"Case_PA1",#N/A,TRUE,"Case";"DivSum_PA1",#N/A,TRUE,"DivSum";"SidebySide_PA1",#N/A,TRUE,"SideBySide";"Group_PA1",#N/A,TRUE,"Group";"BSheet_PA1",#N/A,TRUE,"BSheet";"Debt_PA1",#N/A,TRUE,"Debt";"Tax_PA1",#N/A,TRUE,"Tax";"Consolidated_PA1",#N/A,TRUE,"Consolidated";"BEL_PA1",#N/A,TRUE,"BEL";"NL_PA1",#N/A,TRUE,"NL";"PRT_PA1",#N/A,TRUE,"PRT";"IRL_PA1",#N/A,TRUE,"IRL";"ROU_PA1",#N/A,TRUE,"ROU(EUR)";"HQ_PA1",#N/A,TRUE,"HQ";"Publitec_PA1",#N/A,TRUE,"Publitec";"ZAF_PA1",#N/A,TRUE,"ZAF(EUR)";"PRI_PA1",#N/A,TRUE,"PRI(EUR)"}</definedName>
    <definedName name="wrn.Print_Buyer." localSheetId="15" hidden="1">{#N/A,"DR",FALSE,"increm pf";#N/A,"MAMSI",FALSE,"increm pf";#N/A,"MAXI",FALSE,"increm pf";#N/A,"PCAM",FALSE,"increm pf";#N/A,"PHSV",FALSE,"increm pf";#N/A,"SIE",FALSE,"increm pf"}</definedName>
    <definedName name="wrn.Print_LBO." localSheetId="15" hidden="1">{"Cover_PA1",#N/A,TRUE,"Cover";"LBO_Input_PA1",#N/A,TRUE,"LBO Input";"LBO_Output_PA1",#N/A,TRUE,"LBO Output"}</definedName>
    <definedName name="wrn.Print_Subsidiaries." localSheetId="15" hidden="1">{"Consolidated_PA1",#N/A,TRUE,"Consolidated";"BEL_PA1",#N/A,TRUE,"BEL";"NL_PA1",#N/A,TRUE,"NL";"PRT_PA1",#N/A,TRUE,"PRT";"IRL_PA1",#N/A,TRUE,"IRL";"ROU_PA1",#N/A,TRUE,"ROU(EUR)";"HQ_PA1",#N/A,TRUE,"HQ";"Publitec_PA1",#N/A,TRUE,"Publitec"}</definedName>
    <definedName name="wrn.Print_Target." localSheetId="1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." localSheetId="15" hidden="1">{"Assump",#N/A,TRUE,"Proforma";"first",#N/A,TRUE,"Proforma";"second",#N/A,TRUE,"Proforma";"lease1",#N/A,TRUE,"Proforma";"lease2",#N/A,TRUE,"Proforma"}</definedName>
    <definedName name="wrn.print5" localSheetId="15" hidden="1">{"Assump",#N/A,TRUE,"Proforma";"first",#N/A,TRUE,"Proforma";"second",#N/A,TRUE,"Proforma";"lease1",#N/A,TRUE,"Proforma";"lease2",#N/A,TRUE,"Proforma"}</definedName>
    <definedName name="wrn.PrintAll." localSheetId="15" hidden="1">{#N/A,#N/A,FALSE,"Broker Sheet";#N/A,#N/A,FALSE,"Exec.Summary";#N/A,#N/A,FALSE,"Argus Cash Flow";#N/A,#N/A,FALSE,"SPF";#N/A,#N/A,FALSE,"RentRoll"}</definedName>
    <definedName name="wrn.Prints._.All." localSheetId="15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or._.Year._.Amounts." localSheetId="15" hidden="1">{"PriorYr1",#N/A,FALSE,"Prior Year Amounts";"PriorYr2",#N/A,FALSE,"Prior Year Amounts"}</definedName>
    <definedName name="wrn.Pro._.Forma." localSheetId="15" hidden="1">{#N/A,#N/A,FALSE,"ACQ";#N/A,#N/A,FALSE,"ASSUMP";#N/A,#N/A,FALSE,"CASH FLOW";#N/A,#N/A,FALSE,"SALE";#N/A,#N/A,FALSE,"TIS";#N/A,#N/A,FALSE,"RENT ROLL"}</definedName>
    <definedName name="wrn.Product_Assumptions." localSheetId="15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orma." localSheetId="15" hidden="1">{"Proforma - Dollars",#N/A,FALSE,"Proforma"}</definedName>
    <definedName name="wrn.Proforma._.Review." localSheetId="15" hidden="1">{#N/A,#N/A,FALSE,"Occ and Rate";#N/A,#N/A,FALSE,"PF Input";#N/A,#N/A,FALSE,"Proforma Five Yr";#N/A,#N/A,FALSE,"Hotcomps"}</definedName>
    <definedName name="wrn.Property._.Improvements." localSheetId="15" hidden="1">{"Property Improvements",#N/A,FALSE,"Property Improvements"}</definedName>
    <definedName name="wrn.PropertyInformation." localSheetId="15" hidden="1">{#N/A,#N/A,FALSE,"PropertyInfo"}</definedName>
    <definedName name="wrn.Prototypes." localSheetId="15" hidden="1">{"One",#N/A,FALSE,"Prototypes";"Two",#N/A,FALSE,"Prototypes";"Three",#N/A,FALSE,"Prototypes";"Four",#N/A,FALSE,"Prototypes";"Five",#N/A,FALSE,"Prototypes"}</definedName>
    <definedName name="wrn.Rapport." localSheetId="15" hidden="1">{#N/A,#N/A,FALSE,"SHEET1";#N/A,#N/A,FALSE,"SHEET2";#N/A,#N/A,FALSE,"SHEET3";#N/A,#N/A,FALSE,"SHEET4"}</definedName>
    <definedName name="wrn.rate." localSheetId="15" hidden="1">{"RATES",#N/A,FALSE,"RECOVERY RATES";"CONTRIBUTIONS",#N/A,FALSE,"RECOVERY RATES";"GLA CATEGORY SUMMARY",#N/A,FALSE,"RECOVERY RATES"}</definedName>
    <definedName name="wrn.RATES." localSheetId="15" hidden="1">{"RATES",#N/A,FALSE,"RECOVERY RATES";"CONTRIBUTIONS",#N/A,FALSE,"RECOVERY RATES";"GLA CATEGORY SUMMARY",#N/A,FALSE,"RECOVERY RATES"}</definedName>
    <definedName name="wrn.Relevant._.Sections." localSheetId="15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payments." localSheetId="15" hidden="1">{"One",#N/A,FALSE,"Repayments";"Two",#N/A,FALSE,"Repayments"}</definedName>
    <definedName name="wrn.report" localSheetId="15" hidden="1">{#N/A,#N/A,FALSE,"Project Summary";#N/A,#N/A,FALSE,"Parameter Summary";#N/A,#N/A,FALSE,"Budget Control Report";#N/A,#N/A,FALSE,"DETAIL.XLS"}</definedName>
    <definedName name="wrn.REPORT." localSheetId="15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wrn.Report1.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1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s." localSheetId="15" hidden="1">{#N/A,#N/A,FALSE,"Project Summary";#N/A,#N/A,FALSE,"Parameter Summary";#N/A,#N/A,FALSE,"Budget Control Report";#N/A,#N/A,FALSE,"DETAIL.XLS"}</definedName>
    <definedName name="wrn.Revenue." localSheetId="15" hidden="1">{"Revenue",#N/A,FALSE,"2033K-R6"}</definedName>
    <definedName name="wrn.Revenue._.Reports." localSheetId="15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Summary." localSheetId="15" hidden="1">{"Revenue Summary",#N/A,FALSE,"Revenue Schedules"}</definedName>
    <definedName name="wrn.Rmgmtfee." localSheetId="15" hidden="1">{#N/A,#N/A,FALSE,"Rmgmtfee"}</definedName>
    <definedName name="wrn.Roll_Out." localSheetId="15" hidden="1">{"One",#N/A,FALSE,"Roll-out";"Two",#N/A,FALSE,"Roll-out";"Three",#N/A,FALSE,"Roll-out";"Four",#N/A,FALSE,"Roll-out";"Five",#N/A,FALSE,"Roll-out"}</definedName>
    <definedName name="wrn.RRDOMINION._.TOWER." localSheetId="15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sales." localSheetId="15" hidden="1">{"sales",#N/A,FALSE,"Sales";"sales existing",#N/A,FALSE,"Sales";"sales rd1",#N/A,FALSE,"Sales";"sales rd2",#N/A,FALSE,"Sales"}</definedName>
    <definedName name="wrn.Sapere." localSheetId="15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CHAs." localSheetId="15" hidden="1">{"ACCOUNTING COPY",#N/A,FALSE,"SCHEDULE A";"FINANCE COPY",#N/A,FALSE,"SCHEDULE A";"P.L. COPY",#N/A,FALSE,"SCHEDULE A"}</definedName>
    <definedName name="wrn.schas2" localSheetId="15" hidden="1">{"ACCOUNTING COPY",#N/A,FALSE,"SCHEDULE A";"FINANCE COPY",#N/A,FALSE,"SCHEDULE A";"P.L. COPY",#N/A,FALSE,"SCHEDULE A"}</definedName>
    <definedName name="wrn.SCHEDULE" localSheetId="15" hidden="1">{"SCHEDULE",#N/A,FALSE,"Fin_sched"}</definedName>
    <definedName name="wrn.SCHEDULE." localSheetId="15" hidden="1">{"SCHEDULE",#N/A,FALSE,"Fin_sched"}</definedName>
    <definedName name="wrn.schedules." localSheetId="15" hidden="1">{"schedule1",#N/A,FALSE,"Sheet1";"schedule2",#N/A,FALSE,"Sheet1";"schedule3",#N/A,FALSE,"Sheet1";"schedule4",#N/A,FALSE,"Sheet1";"schedule5",#N/A,FALSE,"Sheet1";"schedule6",#N/A,FALSE,"Sheet1"}</definedName>
    <definedName name="wrn.SCHEDULES._.ABC." localSheetId="15" hidden="1">{#N/A,#N/A,FALSE,"SCHEDULE A";"MINIMUM RENT",#N/A,FALSE,"SCHEDULES B &amp; C";"PERCENTAGE RENT",#N/A,FALSE,"SCHEDULES B &amp; C"}</definedName>
    <definedName name="wrn.seafirst." localSheetId="15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hort." localSheetId="15" hidden="1">{#N/A,#N/A,FALSE,"ExecutiveSummary";#N/A,#N/A,FALSE,"CostDetail";#N/A,#N/A,FALSE,"IncomeDetail"}</definedName>
    <definedName name="wrn.Side._.by._.Side." localSheetId="15" hidden="1">{"Side 99",#N/A,FALSE,"S&amp;U Side by Side"}</definedName>
    <definedName name="wrn.SPG._.Estimate." localSheetId="15" hidden="1">{#N/A,#N/A,FALSE,"Detail";#N/A,#N/A,FALSE,"Totals"}</definedName>
    <definedName name="wrn.Stadium._.PCD." localSheetId="15" hidden="1">{#N/A,#N/A,TRUE,"Ericsson Stadium PCD ";#N/A,#N/A,TRUE,"Ericsson Stadium IOR"}</definedName>
    <definedName name="wrn.STAND_ALONE_BOTH." localSheetId="15" hidden="1">{"FCB_ALL",#N/A,FALSE,"FCB";"GREY_ALL",#N/A,FALSE,"GREY"}</definedName>
    <definedName name="wrn.Sterling._.House." localSheetId="15" hidden="1">{"One",#N/A,FALSE,"SterlingHouse";"Two",#N/A,FALSE,"SterlingHouse";"Three",#N/A,FALSE,"SterlingHouse";"Four",#N/A,FALSE,"SterlingHouse";"Five",#N/A,FALSE,"SterlingHouse"}</definedName>
    <definedName name="wrn.Sterling_House." localSheetId="15" hidden="1">{"One",#N/A,FALSE,"SterlingHouse";"Two",#N/A,FALSE,"SterlingHouse";"Three",#N/A,FALSE,"SterlingHouse";"Four",#N/A,FALSE,"SterlingHouse";"Five",#N/A,FALSE,"SterlingHouse"}</definedName>
    <definedName name="wrn.Structural._.Frame." localSheetId="15" hidden="1">{"structural",#N/A,FALSE,"DETAIL.XLS"}</definedName>
    <definedName name="wrn.Submittal._.Reconciliation._.Schedule." localSheetId="15" hidden="1">{"Submittable Reconciliation Schedule",#N/A,FALSE,"Reconciliation";"GSCP2 PCS 30 Day",#N/A,FALSE,"GSCP2 PCS 30 Day Activity List"}</definedName>
    <definedName name="wrn.SUM._.ONLY." localSheetId="15" hidden="1">{"SUMMARY",#N/A,FALSE,"BIDSUM"}</definedName>
    <definedName name="wrn.SUM._.WITH._.GC." localSheetId="15" hidden="1">{"SUMMARY",#N/A,FALSE,"BIDSUM";"SUMALTS",#N/A,FALSE,"BIDSUM";#N/A,#N/A,FALSE,"GCOND"}</definedName>
    <definedName name="wrn.SUMMARY." localSheetId="15" hidden="1">{"SUMMARY",#N/A,FALSE,"Fin_sched"}</definedName>
    <definedName name="wrn.Summary._.Excluding._.DHC." localSheetId="15" hidden="1">{"Summary Excluding DHC",#N/A,FALSE,"SUMMARY"}</definedName>
    <definedName name="wrn.Summary._.Including._.DHC." localSheetId="15" hidden="1">{"Summary Including DHC",#N/A,FALSE,"SUMMARY"}</definedName>
    <definedName name="wrn.SumSchedules." localSheetId="15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rveilance2." localSheetId="15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localSheetId="15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TANASBOURNE._.ONLY." localSheetId="15" hidden="1">{#N/A,#N/A,FALSE,"Expense Comparison"}</definedName>
    <definedName name="wrn.TARGET._.DCF." localSheetId="15" hidden="1">{"targetdcf",#N/A,FALSE,"Merger consequences";"TARGETASSU",#N/A,FALSE,"Merger consequences";"TERMINAL VALUE",#N/A,FALSE,"Merger consequences"}</definedName>
    <definedName name="wrn.Telstra._.Inputs." localSheetId="15" hidden="1">{"Inputs",#N/A,FALSE,"US_FL";"Inputs",#N/A,FALSE,"EUROPE_FL";"Inputs",#N/A,FALSE,"ASIA_FL"}</definedName>
    <definedName name="wrn.Telstra._.Output." localSheetId="15" hidden="1">{"Output",#N/A,FALSE,"US_FL";"Output",#N/A,FALSE,"EUROPE_FL";"Output",#N/A,FALSE,"ASIA_FL"}</definedName>
    <definedName name="wrn.temp." localSheetId="15" hidden="1">{"a 1",#N/A,FALSE,"Project Cash Flows"}</definedName>
    <definedName name="wrn.Template." localSheetId="15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ST." localSheetId="15" hidden="1">{#N/A,#N/A,FALSE,"SCHEDULE G"}</definedName>
    <definedName name="wrn.TI._.Fit._.Up." localSheetId="15" hidden="1">{"TI Fit Up",#N/A,FALSE,"2033K-R6"}</definedName>
    <definedName name="wrn.TOCHTERMAN." localSheetId="15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." localSheetId="1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omco." localSheetId="15" hidden="1">{"Page1",#N/A,FALSE,"Summary";"Page2",#N/A,FALSE,"Summary";"Page3",#N/A,FALSE,"Summary";"Page4",#N/A,FALSE,"Summary"}</definedName>
    <definedName name="wrn.TOTAL._.SHEETS." localSheetId="15" hidden="1">{#N/A,#N/A,FALSE,"DEV COSTS";#N/A,#N/A,FALSE,"10-YR C. F."}</definedName>
    <definedName name="wrn.TOTAL._.SHEETS5" localSheetId="15" hidden="1">{#N/A,#N/A,FALSE,"DEV COSTS";#N/A,#N/A,FALSE,"10-YR C. F."}</definedName>
    <definedName name="wrn.Total5" localSheetId="1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valuation." localSheetId="15" hidden="1">{"Page1",#N/A,FALSE,"7979";"Page2",#N/A,FALSE,"7979";"Page3",#N/A,FALSE,"7979"}</definedName>
    <definedName name="wrn.Variance." localSheetId="15" hidden="1">{#N/A,#N/A,FALSE,"CCC Variance";#N/A,#N/A,FALSE,"CCC Notes"}</definedName>
    <definedName name="wrn.Variance._.Worksheet." localSheetId="15" hidden="1">{#N/A,#N/A,FALSE,"VARSTRIP"}</definedName>
    <definedName name="wrn.Wacc." localSheetId="15" hidden="1">{"Area1",#N/A,FALSE,"OREWACC";"Area2",#N/A,FALSE,"OREWACC"}</definedName>
    <definedName name="wrn.Wovenhearts." localSheetId="15" hidden="1">{"One",#N/A,FALSE,"Wovenhearts";"Two",#N/A,FALSE,"Wovenhearts";"Three",#N/A,FALSE,"Wovenhearts";"Four",#N/A,FALSE,"Wovenhearts";"Five",#N/A,FALSE,"Wovenhearts"}</definedName>
    <definedName name="wrn.Wynwood." localSheetId="15" hidden="1">{"One",#N/A,FALSE,"Wynwood";"Two",#N/A,FALSE,"Wynwood";"Three",#N/A,FALSE,"Wynwood";"Four",#N/A,FALSE,"Wynwood";"Five",#N/A,FALSE,"Wynwood"}</definedName>
    <definedName name="wrn.Yearly." localSheetId="15" hidden="1">{"One",#N/A,FALSE,"Yearly"}</definedName>
    <definedName name="wrn.Yield._.Graph." localSheetId="15" hidden="1">{#N/A,#N/A,FALSE,"Yield Graph"}</definedName>
    <definedName name="wrn.Yield._.Graph._.plus._.Input." localSheetId="15" hidden="1">{#N/A,#N/A,FALSE,"Yield Graph";#N/A,#N/A,FALSE,"Rent Roll";#N/A,#N/A,FALSE,"OE Yr1";#N/A,#N/A,FALSE,"Repl.Cst.+Ins."}</definedName>
    <definedName name="WRNBV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SDE" localSheetId="15" hidden="1">{#N/A,#N/A,FALSE,"Min compa cad";#N/A,#N/A,FALSE,"Min CAN Equité ";#N/A,#N/A,FALSE,"Analyse can"}</definedName>
    <definedName name="wsxsww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t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ctivo." localSheetId="15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wvu.ingresos." localSheetId="15" hidden="1">{TRUE,TRUE,-1.25,-15.5,484.5,276.75,FALSE,TRUE,TRUE,TRUE,0,15,#N/A,1,#N/A,11.3880597014925,19.6153846153846,1,FALSE,FALSE,3,TRUE,1,FALSE,75,"Swvu.ingresos.","ACwvu.ingresos.",#N/A,FALSE,FALSE,0,0,0,0,2,"&amp;A","Página &amp;P",TRUE,TRUE,FALSE,FALSE,1,47,#N/A,#N/A,"=R7C14:R90C51","=C14:C23",#N/A,#N/A,FALSE,FALSE,TRUE,9,300,300,FALSE,FALSE,TRUE,TRUE,TRUE}</definedName>
    <definedName name="wvu.inputs._.raw._.data.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15" hidden="1">{#N/A,#N/A,FALSE,"ExecutiveSummary";#N/A,#N/A,FALSE,"CostDetail";#N/A,#N/A,FALSE,"IncomeDetail";#N/A,#N/A,FALSE,"InterestCalculation"}</definedName>
    <definedName name="WWWWW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WWWWW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CFDSA" localSheetId="15" hidden="1">{#N/A,#N/A,FALSE,"Centres";#N/A,#N/A,FALSE,"Partenariats";#N/A,#N/A,FALSE,"P.Diverses";#N/A,#N/A,FALSE,"Adm";#N/A,#N/A,FALSE,"Autres R-D";#N/A,#N/A,FALSE,"Intérêts"}</definedName>
    <definedName name="XE" localSheetId="15" hidden="1">{#N/A,#N/A,FALSE,"Centres";#N/A,#N/A,FALSE,"Partenariats";#N/A,#N/A,FALSE,"P.Diverses";#N/A,#N/A,FALSE,"Adm";#N/A,#N/A,FALSE,"Autres R-D";#N/A,#N/A,FALSE,"Intérêts"}</definedName>
    <definedName name="xlg" localSheetId="15" hidden="1">{"schedule1",#N/A,FALSE,"Sheet1";"schedule2",#N/A,FALSE,"Sheet1";"schedule3",#N/A,FALSE,"Sheet1";"schedule4",#N/A,FALSE,"Sheet1";"schedule5",#N/A,FALSE,"Sheet1";"schedule6",#N/A,FALSE,"Sheet1"}</definedName>
    <definedName name="xlg1" localSheetId="15" hidden="1">{"Year 1",#N/A,FALSE,"Budget";"Year 2",#N/A,FALSE,"Budget";"Year 3",#N/A,FALSE,"Budget";"Year 4",#N/A,FALSE,"Budget"}</definedName>
    <definedName name="Xuxu" localSheetId="15" hidden="1">{#N/A,#N/A,FALSE,"CONTROLE"}</definedName>
    <definedName name="XXXXX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z" localSheetId="15" hidden="1">{#N/A,#N/A,FALSE,"Adm comp";#N/A,#N/A,FALSE,"Adm ajust";"adm",#N/A,FALSE,"Administration";#N/A,#N/A,FALSE,"Adm Bgt 97 vs Prév. 96";#N/A,#N/A,FALSE,"Adm Bgt 97 vs 96"}</definedName>
    <definedName name="y" localSheetId="15" hidden="1">{"Construction Costs",#N/A,FALSE,"Budget";"Income Statement",#N/A,FALSE,"Budget"}</definedName>
    <definedName name="yes" localSheetId="15" hidden="1">{"Construction Costs",#N/A,FALSE,"Budget";"Income Statement",#N/A,FALSE,"Budget"}</definedName>
    <definedName name="YG" localSheetId="15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ygbyb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GJ" localSheetId="1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JU" localSheetId="15" hidden="1">{#N/A,#N/A,FALSE,"Centres";#N/A,#N/A,FALSE,"Partenariats";#N/A,#N/A,FALSE,"P.Diverses";#N/A,#N/A,FALSE,"Adm";#N/A,#N/A,FALSE,"Autres R-D";#N/A,#N/A,FALSE,"Intérêts"}</definedName>
    <definedName name="yhnhyhn" localSheetId="15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juhnj" localSheetId="15" hidden="1">{#N/A,#N/A,FALSE,"Adm comp";#N/A,#N/A,FALSE,"Adm ajust";"adm",#N/A,FALSE,"Administration";#N/A,#N/A,FALSE,"Adm Bgt 97 vs Prév. 96";#N/A,#N/A,FALSE,"Adm Bgt 97 vs 96"}</definedName>
    <definedName name="YTRE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yttty" localSheetId="15" hidden="1">{#N/A,#N/A,FALSE,"Adm comp";#N/A,#N/A,FALSE,"Adm ajust";"adm",#N/A,FALSE,"Administration";#N/A,#N/A,FALSE,"Adm Bgt 97 vs Prév. 96";#N/A,#N/A,FALSE,"Adm Bgt 97 vs 96"}</definedName>
    <definedName name="YUI" localSheetId="15" hidden="1">{#N/A,#N/A,FALSE,"Min compa cad";#N/A,#N/A,FALSE,"Min CAN Equité ";#N/A,#N/A,FALSE,"Analyse can"}</definedName>
    <definedName name="YUYUY" localSheetId="15" hidden="1">{#N/A,#N/A,FALSE,"Min compar us";#N/A,#N/A,FALSE,"Min US Equité ";#N/A,#N/A,FALSE,"Analyse U.S."}</definedName>
    <definedName name="yyy" localSheetId="15" hidden="1">{#N/A,#N/A,FALSE,"Min compar us";#N/A,#N/A,FALSE,"Min US Equité ";#N/A,#N/A,FALSE,"Analyse U.S."}</definedName>
    <definedName name="YYYYYY" localSheetId="15" hidden="1">{#N/A,#N/A,FALSE,"Centres";#N/A,#N/A,FALSE,"Partenariats";#N/A,#N/A,FALSE,"P.Diverses";#N/A,#N/A,FALSE,"Adm";#N/A,#N/A,FALSE,"Autres R-D";#N/A,#N/A,FALSE,"Intérêts"}</definedName>
    <definedName name="Z_893D3CDD_E6EC_4FBE_9F4B_7C063AADDAA3_.wvu.FilterData" localSheetId="15" hidden="1">#REF!</definedName>
    <definedName name="Z_893D3CDD_E6EC_4FBE_9F4B_7C063AADDAA3_.wvu.PrintTitles" localSheetId="15" hidden="1">#REF!</definedName>
    <definedName name="Z_893D3CDD_E6EC_4FBE_9F4B_7C063AADDAA3_.wvu.Rows" localSheetId="15" hidden="1">#REF!</definedName>
    <definedName name="Zaventhem2" localSheetId="1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ZAXSCDVFBG" localSheetId="15" hidden="1">{#N/A,#N/A,FALSE,"Centres";#N/A,#N/A,FALSE,"Partenariats";#N/A,#N/A,FALSE,"P.Diverses";#N/A,#N/A,FALSE,"Adm";#N/A,#N/A,FALSE,"Autres R-D";#N/A,#N/A,FALSE,"Intérêts"}</definedName>
    <definedName name="ZE" localSheetId="15" hidden="1">{#N/A,#N/A,FALSE,"CONTROLE"}</definedName>
    <definedName name="ZPQLA" localSheetId="15" hidden="1">{#N/A,#N/A,FALSE,"Min compar us";#N/A,#N/A,FALSE,"Min US Equité ";#N/A,#N/A,FALSE,"Analyse U.S."}</definedName>
    <definedName name="zsdf" localSheetId="15" hidden="1">{"AnnualRentRoll",#N/A,FALSE,"RentRoll"}</definedName>
    <definedName name="ZXCNFJH" localSheetId="15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_xlnm.Print_Area" localSheetId="15">'Partnership Terms + Fees'!$B$2:$G$20</definedName>
    <definedName name="_xlnm.Print_Area" localSheetId="16">'Promote Cash Flow'!$C$2:$DV$223</definedName>
    <definedName name="___2__123Graph_ACHART_2" localSheetId="17" hidden="1">#REF!</definedName>
    <definedName name="__123Graph_ACASHFLOW" localSheetId="17" hidden="1">#REF!</definedName>
    <definedName name="__123Graph_AOAREDR" localSheetId="17" hidden="1">#REF!</definedName>
    <definedName name="__123Graph_BCASHFLOW" localSheetId="17" hidden="1">#REF!</definedName>
    <definedName name="__123Graph_BOAREDR" localSheetId="17" hidden="1">#REF!</definedName>
    <definedName name="__123Graph_CCASHFLOW" localSheetId="17" hidden="1">#REF!</definedName>
    <definedName name="__123Graph_COAREDR" localSheetId="17" hidden="1">#REF!</definedName>
    <definedName name="__123Graph_XCASHFLOW" localSheetId="17" hidden="1">#REF!</definedName>
    <definedName name="__123Graph_XOAREDR" localSheetId="17" hidden="1">#REF!</definedName>
    <definedName name="__IntlFixupTable" localSheetId="17" hidden="1">#REF!</definedName>
    <definedName name="__JE1299" localSheetId="17" hidden="1">#REF!</definedName>
    <definedName name="_1__123Graph_ACHART_2" localSheetId="17" hidden="1">#REF!</definedName>
    <definedName name="_1_0ACwvu.Pag" localSheetId="17" hidden="1">#REF!</definedName>
    <definedName name="_10__123Graph_ACHART_6" localSheetId="17" hidden="1">#REF!</definedName>
    <definedName name="_10__123Graph_BCHART_5" localSheetId="17" hidden="1">#REF!</definedName>
    <definedName name="_10__123Graph_BGRAFICO_20" localSheetId="17" hidden="1">#REF!</definedName>
    <definedName name="_10__123Graph_CCHART_3" localSheetId="17" hidden="1">#REF!</definedName>
    <definedName name="_10__123Graph_XCHART_1" localSheetId="17" hidden="1">#REF!</definedName>
    <definedName name="_11__123Graph_BGRAFICO_7" localSheetId="17" hidden="1">#REF!</definedName>
    <definedName name="_12__123Graph_BGRAFICO_8" localSheetId="17" hidden="1">#REF!</definedName>
    <definedName name="_13__123Graph_CGRAFICO_20" localSheetId="17" hidden="1">#REF!</definedName>
    <definedName name="_15__123Graph_DGRAFICO_20" localSheetId="17" hidden="1">#REF!</definedName>
    <definedName name="_15__123Graph_LBL_ACHART_3" localSheetId="17" hidden="1">#REF!</definedName>
    <definedName name="_15__123Graph_XCHART_6" localSheetId="17" hidden="1">#REF!</definedName>
    <definedName name="_150__123Graph_XCHART_15" localSheetId="17" hidden="1">#REF!</definedName>
    <definedName name="_16__123Graph_BCHART_5" localSheetId="17" hidden="1">#REF!</definedName>
    <definedName name="_16__123Graph_EGRAFICO_20" localSheetId="17" hidden="1">#REF!</definedName>
    <definedName name="_17__123Graph_FGRAFICO_20" localSheetId="17" hidden="1">#REF!</definedName>
    <definedName name="_19__123Graph_LBL_ACHART_3" localSheetId="17" hidden="1">#REF!</definedName>
    <definedName name="_2__123Graph_A5_15" localSheetId="17" hidden="1">#REF!</definedName>
    <definedName name="_2_0Swvu.Pag" localSheetId="17" hidden="1">#REF!</definedName>
    <definedName name="_20__123Graph_ACHART_5" localSheetId="17" hidden="1">#REF!</definedName>
    <definedName name="_20__123Graph_BCHART_7" localSheetId="17" hidden="1">#REF!</definedName>
    <definedName name="_20__123Graph_LBL_AGRAFICO_20" localSheetId="17" hidden="1">#REF!</definedName>
    <definedName name="_20__123Graph_LBL_CCHART_3" localSheetId="17" hidden="1">#REF!</definedName>
    <definedName name="_21__123Graph_ACHART_4" localSheetId="17" hidden="1">#REF!</definedName>
    <definedName name="_21__123Graph_LBL_BGRAFICO_20" localSheetId="17" hidden="1">#REF!</definedName>
    <definedName name="_21_0_S" localSheetId="17" hidden="1">#REF!</definedName>
    <definedName name="_22__123Graph_ACHART_4" localSheetId="17" hidden="1">#REF!</definedName>
    <definedName name="_22__123Graph_ACHART_5" localSheetId="17" hidden="1">#REF!</definedName>
    <definedName name="_22__123Graph_CCHART_4" localSheetId="17" hidden="1">#REF!</definedName>
    <definedName name="_22__123Graph_LBL_CGRAFICO_20" localSheetId="17" hidden="1">#REF!</definedName>
    <definedName name="_23__123Graph_ACHART_6" localSheetId="17" hidden="1">#REF!</definedName>
    <definedName name="_24__123Graph_ACHART_5" localSheetId="17" hidden="1">#REF!</definedName>
    <definedName name="_24__123Graph_ACHART_7" localSheetId="17" hidden="1">#REF!</definedName>
    <definedName name="_24__123Graph_LBL_DGRAFICO_20" localSheetId="17" hidden="1">#REF!</definedName>
    <definedName name="_24__123Graph_XCHART_5" localSheetId="17" hidden="1">#REF!</definedName>
    <definedName name="_25__123Graph_BCHART_4" localSheetId="17" hidden="1">#REF!</definedName>
    <definedName name="_25__123Graph_LBL_EGRAFICO_20" localSheetId="17" hidden="1">#REF!</definedName>
    <definedName name="_26__123Graph_ACHART_6" localSheetId="17" hidden="1">#REF!</definedName>
    <definedName name="_26__123Graph_BCHART_5" localSheetId="17" hidden="1">#REF!</definedName>
    <definedName name="_26__123Graph_LBL_FGRAFICO_20" localSheetId="17" hidden="1">#REF!</definedName>
    <definedName name="_26__123Graph_XCHART_6" localSheetId="17" hidden="1">#REF!</definedName>
    <definedName name="_27__123Graph_BCHART_6" localSheetId="17" hidden="1">#REF!</definedName>
    <definedName name="_27__123Graph_XGRAFICO_8" localSheetId="17" hidden="1">#REF!</definedName>
    <definedName name="_28__123Graph_ACHART_7" localSheetId="17" hidden="1">#REF!</definedName>
    <definedName name="_28__123Graph_BCHART_7" localSheetId="17" hidden="1">#REF!</definedName>
    <definedName name="_28__123Graph_XCHART_7" localSheetId="17" hidden="1">#REF!</definedName>
    <definedName name="_28_0Rwvu.Pag" localSheetId="17" hidden="1">#REF!</definedName>
    <definedName name="_29__123Graph_CCHART_4" localSheetId="17" hidden="1">#REF!</definedName>
    <definedName name="_3__123Graph_ACHART_2" localSheetId="17" hidden="1">#REF!</definedName>
    <definedName name="_4__123Graph_ACHART_3" localSheetId="17" hidden="1">#REF!</definedName>
    <definedName name="_4__123Graph_X5_15" localSheetId="17" hidden="1">#REF!</definedName>
    <definedName name="_5__123Graph_AGRAFICO_20" localSheetId="17" hidden="1">#REF!</definedName>
    <definedName name="_6__123Graph_AGRAFICO_7" localSheetId="17" hidden="1">#REF!</definedName>
    <definedName name="_7__123Graph_AGRAFICO_8" localSheetId="17" hidden="1">#REF!</definedName>
    <definedName name="_7__123Graph_BCHART_3" localSheetId="17" hidden="1">#REF!</definedName>
    <definedName name="_9__123Graph_BCHART_3" localSheetId="17" hidden="1">#REF!</definedName>
    <definedName name="_9__123Graph_BCHART_4" localSheetId="17" hidden="1">#REF!</definedName>
    <definedName name="_bdm.1EE47C4AA0064280819CC19BB4690A1F.edm" localSheetId="17" hidden="1">#REF!</definedName>
    <definedName name="_bdm.294AA496D34A43399372281D01706956.edm" localSheetId="17" hidden="1">#REF!</definedName>
    <definedName name="_bdm.2CCD44ACE8EF422D88045C2A0F5B824C.edm" localSheetId="17" hidden="1">#REF!</definedName>
    <definedName name="_bdm.2F2B2B5E0A7F41A5A5153533F14B2F3B.edm" localSheetId="17" hidden="1">#REF!</definedName>
    <definedName name="_bdm.41BB7010280A4F17A60A7A2EC65762F2.edm" localSheetId="17" hidden="1">#REF!</definedName>
    <definedName name="_bdm.4A5C97D8A8B4461BB06808C9781CCA97.edm" localSheetId="17" hidden="1">#REF!</definedName>
    <definedName name="_bdm.4CC45777DB794402B638D2F5A2762696.edm" localSheetId="17" hidden="1">#REF!</definedName>
    <definedName name="_bdm.506BB95D5FF74692ACB6C4DCCF0C02A1.edm" localSheetId="17" hidden="1">#REF!</definedName>
    <definedName name="_bdm.5A06B77531BB40EAB24074C943DCD22A.edm" localSheetId="17" hidden="1">#REF!</definedName>
    <definedName name="_bdm.5CF81FEE6E9A4189820ECA41DD31C6C1.edm" localSheetId="17" hidden="1">#REF!</definedName>
    <definedName name="_bdm.60D496C198B94FE88AAC240F81DA2AE4.edm" localSheetId="17" hidden="1">#REF!</definedName>
    <definedName name="_bdm.91A0B11909A947559083CFFAB8CC725C.edm" localSheetId="17" hidden="1">#REF!</definedName>
    <definedName name="_bdm.A247B1D77986400F9A61095B26F4A68A.edm" localSheetId="17" hidden="1">#REF!</definedName>
    <definedName name="_bdm.A2D7D32E999A42C693AC64234B320B5F.edm" localSheetId="17" hidden="1">#REF!</definedName>
    <definedName name="_bdm.B238B0BF07174C20BE49BB50D2EFA2EF.edm" localSheetId="17" hidden="1">#REF!</definedName>
    <definedName name="_bdm.C6B7218D518D4DEFBDE91D23E5344CC7.edm" localSheetId="17" hidden="1">#REF!</definedName>
    <definedName name="_bdm.E82B9A19CF4343EC9674771C65B0EBE1.edm" localSheetId="17" hidden="1">#REF!</definedName>
    <definedName name="_Dist_Bin" localSheetId="17" hidden="1">#REF!</definedName>
    <definedName name="_Dist_Values" localSheetId="17" hidden="1">#REF!</definedName>
    <definedName name="_Fill" localSheetId="17" hidden="1">#REF!</definedName>
    <definedName name="_Fill_HO" localSheetId="17" hidden="1">#REF!</definedName>
    <definedName name="_Fill2" localSheetId="17" hidden="1">#REF!</definedName>
    <definedName name="_JE1299" localSheetId="17" hidden="1">#REF!</definedName>
    <definedName name="_Key1" localSheetId="17" hidden="1">#REF!</definedName>
    <definedName name="_Key2" localSheetId="17" hidden="1">#REF!</definedName>
    <definedName name="_Key5" localSheetId="17" hidden="1">#REF!</definedName>
    <definedName name="_Key6" localSheetId="17" hidden="1">#REF!</definedName>
    <definedName name="_Key8" localSheetId="17" hidden="1">#REF!</definedName>
    <definedName name="_Key9" localSheetId="17" hidden="1">#REF!</definedName>
    <definedName name="_Regression_X" localSheetId="17" hidden="1">#REF!</definedName>
    <definedName name="_Regression_Y" localSheetId="17" hidden="1">#REF!</definedName>
    <definedName name="_Sort" localSheetId="17" hidden="1">#REF!</definedName>
    <definedName name="_Tab2_In2" localSheetId="17" hidden="1">#REF!</definedName>
    <definedName name="_Table1_Out" localSheetId="17" hidden="1">#REF!</definedName>
    <definedName name="_Table2" localSheetId="17" hidden="1">#REF!</definedName>
    <definedName name="_Table2_Out" localSheetId="17" hidden="1">#REF!</definedName>
    <definedName name="_Table3_In2" localSheetId="17" hidden="1">#REF!</definedName>
    <definedName name="ACwvu.CAM._.RECOVERIES." localSheetId="17" hidden="1">#REF!</definedName>
    <definedName name="ACwvu.CAM._.TABLE." localSheetId="17" hidden="1">#REF!</definedName>
    <definedName name="ACwvu.INSURANCE._.RECOVERIES." localSheetId="17" hidden="1">#REF!</definedName>
    <definedName name="ACwvu.MINIMUM._.RENT." localSheetId="17" hidden="1">#REF!</definedName>
    <definedName name="ACwvu.OCCUPANCY._.ANALYSIS." localSheetId="17" hidden="1">#REF!</definedName>
    <definedName name="ACwvu.PERCENTAGE._.RENT." localSheetId="17" hidden="1">#REF!</definedName>
    <definedName name="ACwvu.TAX._.RECOVERIES." localSheetId="17" hidden="1">#REF!</definedName>
    <definedName name="ACwvu.WAT." localSheetId="17" hidden="1">#REF!</definedName>
    <definedName name="asdfasdfasdfsdf" localSheetId="17" hidden="1">#REF!</definedName>
    <definedName name="BadLink" localSheetId="17" hidden="1">#REF!</definedName>
    <definedName name="BLPH_2" localSheetId="17" hidden="1">#REF!</definedName>
    <definedName name="BLPH1" localSheetId="17" hidden="1">#REF!</definedName>
    <definedName name="BLPH10" localSheetId="17" hidden="1">#REF!</definedName>
    <definedName name="BLPH1000003" localSheetId="17" hidden="1">#REF!</definedName>
    <definedName name="BLPH11" localSheetId="17" hidden="1">#REF!</definedName>
    <definedName name="BLPH12" localSheetId="17" hidden="1">#REF!</definedName>
    <definedName name="BLPH13" localSheetId="17" hidden="1">#REF!</definedName>
    <definedName name="BLPH14" localSheetId="17" hidden="1">#REF!</definedName>
    <definedName name="BLPH2" localSheetId="17" hidden="1">#REF!</definedName>
    <definedName name="BLPH3" localSheetId="17" hidden="1">#REF!</definedName>
    <definedName name="BLPH4" localSheetId="17" hidden="1">#REF!</definedName>
    <definedName name="BLPH5" localSheetId="17" hidden="1">#REF!</definedName>
    <definedName name="BLPH6" localSheetId="17" hidden="1">#REF!</definedName>
    <definedName name="BLPH7" localSheetId="17" hidden="1">#REF!</definedName>
    <definedName name="BLPH8" localSheetId="17" hidden="1">#REF!</definedName>
    <definedName name="BLPH9" localSheetId="17" hidden="1">#REF!</definedName>
    <definedName name="Cwvu._Current_." localSheetId="17" hidden="1">#REF!,#REF!,#REF!,#REF!,#REF!,#REF!,#REF!,#REF!,#REF!,#REF!,#REF!,#REF!,#REF!,#REF!,#REF!,#REF!,#REF!,#REF!,#REF!,#REF!,#REF!,#REF!,#REF!,#REF!</definedName>
    <definedName name="Cwvu.ACCOUNT._.DETAIL." localSheetId="17" hidden="1">#REF!</definedName>
    <definedName name="Cwvu.WAT." localSheetId="17" hidden="1">#REF!</definedName>
    <definedName name="DATA_01" localSheetId="17" hidden="1">#REF!</definedName>
    <definedName name="DATA_01A" localSheetId="17" hidden="1">#REF!</definedName>
    <definedName name="data_02" localSheetId="17" hidden="1">#REF!</definedName>
    <definedName name="DATA_03" localSheetId="17" hidden="1">#REF!</definedName>
    <definedName name="data_04" localSheetId="17" hidden="1">#REF!</definedName>
    <definedName name="dddddd" localSheetId="17" hidden="1">{#N/A,#N/A,FALSE,"CAPREIT"}</definedName>
    <definedName name="ddddddd" localSheetId="17" hidden="1">{#N/A,#N/A,FALSE,"CAPREIT"}</definedName>
    <definedName name="fdfdfd" localSheetId="17" hidden="1">{#N/A,#N/A,FALSE,"CAPREIT"}</definedName>
    <definedName name="fdfdfdf" localSheetId="17" hidden="1">{#N/A,#N/A,FALSE,"CAPREIT"}</definedName>
    <definedName name="FDP_166_1_aUrv" localSheetId="17" hidden="1">#REF!</definedName>
    <definedName name="FDP_167_1_aUrv" localSheetId="17" hidden="1">#REF!</definedName>
    <definedName name="FDP_168_1_aSrv" localSheetId="17" hidden="1">#REF!</definedName>
    <definedName name="FDP_169_1_aUrv" localSheetId="17" hidden="1">#REF!</definedName>
    <definedName name="FDP_170_1_aSrv" localSheetId="17" hidden="1">#REF!</definedName>
    <definedName name="FDP_171_1_aUrv" localSheetId="17" hidden="1">#REF!</definedName>
    <definedName name="FDP_172_1_aUrv" localSheetId="17" hidden="1">#REF!</definedName>
    <definedName name="FDP_173_1_aUrv" localSheetId="17" hidden="1">#REF!</definedName>
    <definedName name="FDP_174_1_aSrv" localSheetId="17" hidden="1">#REF!</definedName>
    <definedName name="FDP_175_1_aUrv" localSheetId="17" hidden="1">#REF!</definedName>
    <definedName name="FDP_176_1_aUrv" localSheetId="17" hidden="1">#REF!</definedName>
    <definedName name="FDP_177_1_aSrv" localSheetId="17" hidden="1">#REF!</definedName>
    <definedName name="FDP_178_1_aSrv" localSheetId="17" hidden="1">#REF!</definedName>
    <definedName name="FDP_179_1_aSrv" localSheetId="17" hidden="1">#REF!</definedName>
    <definedName name="FDP_180_1_aSrv" localSheetId="17" hidden="1">#REF!</definedName>
    <definedName name="FDP_181_1_aUrv" localSheetId="17" hidden="1">#REF!</definedName>
    <definedName name="FDP_182_1_aSrv" localSheetId="17" hidden="1">#REF!</definedName>
    <definedName name="FDP_183_1_aSrv" localSheetId="17" hidden="1">#REF!</definedName>
    <definedName name="FDP_184_1_aUrv" localSheetId="17" hidden="1">#REF!</definedName>
    <definedName name="FDP_185_1_aSrv" localSheetId="17" hidden="1">#REF!</definedName>
    <definedName name="FDP_186_1_aUrv" localSheetId="17" hidden="1">#REF!</definedName>
    <definedName name="FDP_187_1_aSrv" localSheetId="17" hidden="1">#REF!</definedName>
    <definedName name="FDP_188_1_aUrv" localSheetId="17" hidden="1">#REF!</definedName>
    <definedName name="FDP_189_1_aUrv" localSheetId="17" hidden="1">#REF!</definedName>
    <definedName name="FDP_190_1_aUrv" localSheetId="17" hidden="1">#REF!</definedName>
    <definedName name="FDP_191_1_aUrv" localSheetId="17" hidden="1">#REF!</definedName>
    <definedName name="FDP_192_1_aSrv" localSheetId="17" hidden="1">#REF!</definedName>
    <definedName name="FDP_193_1_aUrv" localSheetId="17" hidden="1">#REF!</definedName>
    <definedName name="FDP_194_1_aUrv" localSheetId="17" hidden="1">#REF!</definedName>
    <definedName name="FDP_195_1_aUrv" localSheetId="17" hidden="1">#REF!</definedName>
    <definedName name="FDP_196_1_aSrv" localSheetId="17" hidden="1">#REF!</definedName>
    <definedName name="FDP_197_1_aUrv" localSheetId="17" hidden="1">#REF!</definedName>
    <definedName name="FDP_198_1_aSrv" localSheetId="17" hidden="1">#REF!</definedName>
    <definedName name="FDP_199_1_aUrv" localSheetId="17" hidden="1">#REF!</definedName>
    <definedName name="FDP_200_1_aUrv" localSheetId="17" hidden="1">#REF!</definedName>
    <definedName name="FDP_201_1_aUrv" localSheetId="17" hidden="1">#REF!</definedName>
    <definedName name="FDP_202_1_aUrv" localSheetId="17" hidden="1">#REF!</definedName>
    <definedName name="FDP_203_1_aSrv" localSheetId="17" hidden="1">#REF!</definedName>
    <definedName name="FDP_204_1_aUrv" localSheetId="17" hidden="1">#REF!</definedName>
    <definedName name="FDP_205_1_aUrv" localSheetId="17" hidden="1">#REF!</definedName>
    <definedName name="FDP_206_1_aUrv" localSheetId="17" hidden="1">#REF!</definedName>
    <definedName name="FDP_207_1_aUrv" localSheetId="17" hidden="1">#REF!</definedName>
    <definedName name="FDP_208_1_aSrv" localSheetId="17" hidden="1">#REF!</definedName>
    <definedName name="FDP_209_1_aUrv" localSheetId="17" hidden="1">#REF!</definedName>
    <definedName name="FDP_210_1_aUrv" localSheetId="17" hidden="1">#REF!</definedName>
    <definedName name="FDP_211_1_aUrv" localSheetId="17" hidden="1">#REF!</definedName>
    <definedName name="FDP_212_1_aUrv" localSheetId="17" hidden="1">#REF!</definedName>
    <definedName name="FDP_213_1_aSrv" localSheetId="17" hidden="1">#REF!</definedName>
    <definedName name="FDP_214_1_aUrv" localSheetId="17" hidden="1">#REF!</definedName>
    <definedName name="FDP_215_1_aUrv" localSheetId="17" hidden="1">#REF!</definedName>
    <definedName name="FDP_216_1_aUrv" localSheetId="17" hidden="1">#REF!</definedName>
    <definedName name="FDP_217_1_aUrv" localSheetId="17" hidden="1">#REF!</definedName>
    <definedName name="FDP_218_1_aSrv" localSheetId="17" hidden="1">#REF!</definedName>
    <definedName name="FDP_219_1_aSrv" localSheetId="17" hidden="1">#REF!</definedName>
    <definedName name="FDP_220_1_aSrv" localSheetId="17" hidden="1">#REF!</definedName>
    <definedName name="FDP_221_1_aSrv" localSheetId="17" hidden="1">#REF!</definedName>
    <definedName name="FDP_222_1_aSrv" localSheetId="17" hidden="1">#REF!</definedName>
    <definedName name="FDP_223_1_aSrv" localSheetId="17" hidden="1">#REF!</definedName>
    <definedName name="FDP_224_1_aUrv" localSheetId="17" hidden="1">#REF!</definedName>
    <definedName name="FDP_225_1_aUrv" localSheetId="17" hidden="1">#REF!</definedName>
    <definedName name="FDP_226_1_aUrv" localSheetId="17" hidden="1">#REF!</definedName>
    <definedName name="FDP_227_1_aUrv" localSheetId="17" hidden="1">#REF!</definedName>
    <definedName name="FDP_228_1_aSrv" localSheetId="17" hidden="1">#REF!</definedName>
    <definedName name="FDP_229_1_aSrv" localSheetId="17" hidden="1">#REF!</definedName>
    <definedName name="FDP_230_1_aSrv" localSheetId="17" hidden="1">#REF!</definedName>
    <definedName name="FDP_231_1_aSrv" localSheetId="17" hidden="1">#REF!</definedName>
    <definedName name="FDP_232_1_aSrv" localSheetId="17" hidden="1">#REF!</definedName>
    <definedName name="FDP_233_1_aSrv" localSheetId="17" hidden="1">#REF!</definedName>
    <definedName name="FDP_234_1_aUrv" localSheetId="17" hidden="1">#REF!</definedName>
    <definedName name="FDP_235_1_aUrv" localSheetId="17" hidden="1">#REF!</definedName>
    <definedName name="FDP_236_1_aUrv" localSheetId="17" hidden="1">#REF!</definedName>
    <definedName name="FDP_237_1_aUrv" localSheetId="17" hidden="1">#REF!</definedName>
    <definedName name="FDP_238_1_aSrv" localSheetId="17" hidden="1">#REF!</definedName>
    <definedName name="FDP_243_1_aSrv" localSheetId="17" hidden="1">#REF!</definedName>
    <definedName name="FDP_244_1_aSrv" localSheetId="17" hidden="1">#REF!</definedName>
    <definedName name="FDP_245_1_aSrv" localSheetId="17" hidden="1">#REF!</definedName>
    <definedName name="FDP_246_1_aSrv" localSheetId="17" hidden="1">#REF!</definedName>
    <definedName name="FDP_247_1_aSrv" localSheetId="17" hidden="1">#REF!</definedName>
    <definedName name="FDP_248_1_aSrv" localSheetId="17" hidden="1">#REF!</definedName>
    <definedName name="FDP_249_1_aSrv" localSheetId="17" hidden="1">#REF!</definedName>
    <definedName name="FDP_250_1_aSrv" localSheetId="17" hidden="1">#REF!</definedName>
    <definedName name="FDP_251_1_aSrv" localSheetId="17" hidden="1">#REF!</definedName>
    <definedName name="FDP_252_1_aSrv" localSheetId="17" hidden="1">#REF!</definedName>
    <definedName name="FDP_253_1_aSrv" localSheetId="17" hidden="1">#REF!</definedName>
    <definedName name="FDP_254_1_aSrv" localSheetId="17" hidden="1">#REF!</definedName>
    <definedName name="FDP_255_1_aSrv" localSheetId="17" hidden="1">#REF!</definedName>
    <definedName name="FDP_256_1_aSrv" localSheetId="17" hidden="1">#REF!</definedName>
    <definedName name="FDP_257_1_aSrv" localSheetId="17" hidden="1">#REF!</definedName>
    <definedName name="FDP_258_1_aSrv" localSheetId="17" hidden="1">#REF!</definedName>
    <definedName name="FDP_259_1_aSrv" localSheetId="17" hidden="1">#REF!</definedName>
    <definedName name="FDP_260_1_aSrv" localSheetId="17" hidden="1">#REF!</definedName>
    <definedName name="FDP_261_1_aSrv" localSheetId="17" hidden="1">#REF!</definedName>
    <definedName name="FDP_264_1_aUrv" localSheetId="17" hidden="1">#REF!</definedName>
    <definedName name="FDP_265_1_aUrv" localSheetId="17" hidden="1">#REF!</definedName>
    <definedName name="FDP_266_1_aUrv" localSheetId="17" hidden="1">#REF!</definedName>
    <definedName name="FDP_267_1_aUrv" localSheetId="17" hidden="1">#REF!</definedName>
    <definedName name="FDP_268_1_aUrv" localSheetId="17" hidden="1">#REF!</definedName>
    <definedName name="FDP_269_1_aUrv" localSheetId="17" hidden="1">#REF!</definedName>
    <definedName name="FDP_270_1_aUrv" localSheetId="17" hidden="1">#REF!</definedName>
    <definedName name="FDP_271_1_aUrv" localSheetId="17" hidden="1">#REF!</definedName>
    <definedName name="FDP_272_1_aUrv" localSheetId="17" hidden="1">#REF!</definedName>
    <definedName name="FDP_273_1_aUrv" localSheetId="17" hidden="1">#REF!</definedName>
    <definedName name="FDP_274_1_aUrv" localSheetId="17" hidden="1">#REF!</definedName>
    <definedName name="FDP_275_1_aUrv" localSheetId="17" hidden="1">#REF!</definedName>
    <definedName name="FDP_276_1_aUrv" localSheetId="17" hidden="1">#REF!</definedName>
    <definedName name="FDP_277_1_aUrv" localSheetId="17" hidden="1">#REF!</definedName>
    <definedName name="FDP_278_1_aUrv" localSheetId="17" hidden="1">#REF!</definedName>
    <definedName name="FDP_279_1_aSrv" localSheetId="17" hidden="1">#REF!</definedName>
    <definedName name="FDP_280_1_aSrv" localSheetId="17" hidden="1">#REF!</definedName>
    <definedName name="FDP_281_1_aSrv" localSheetId="17" hidden="1">#REF!</definedName>
    <definedName name="FDP_282_1_aSrv" localSheetId="17" hidden="1">#REF!</definedName>
    <definedName name="FDP_283_1_aSrv" localSheetId="17" hidden="1">#REF!</definedName>
    <definedName name="hn.YearLabel" localSheetId="17" hidden="1">#REF!</definedName>
    <definedName name="IHMPrintVAL1" localSheetId="17" hidden="1">#REF!</definedName>
    <definedName name="IHMPrintVAL2" localSheetId="17" hidden="1">#REF!</definedName>
    <definedName name="IntroPrintArea" localSheetId="17" hidden="1">#REF!</definedName>
    <definedName name="Param_DRCredit" localSheetId="17" hidden="1">#REF!</definedName>
    <definedName name="Param_DRNonCredit" localSheetId="17" hidden="1">#REF!</definedName>
    <definedName name="pn" localSheetId="17" hidden="1">#REF!</definedName>
    <definedName name="Print_Area_Reset" localSheetId="17">OFFSET(Full_Print,0,0,Last_Row)</definedName>
    <definedName name="r.Leverage" localSheetId="17" hidden="1">#REF!</definedName>
    <definedName name="r.Liquidity" localSheetId="17" hidden="1">#REF!</definedName>
    <definedName name="r.Market" localSheetId="17" hidden="1">#REF!</definedName>
    <definedName name="r.Profitability" localSheetId="17" hidden="1">#REF!</definedName>
    <definedName name="r.Summary" localSheetId="17" hidden="1">#REF!</definedName>
    <definedName name="re" localSheetId="17" hidden="1">#REF!</definedName>
    <definedName name="Rreparaturen" localSheetId="17" hidden="1">#REF!</definedName>
    <definedName name="Rwvu.CAM._.RECOVERIES." localSheetId="17" hidden="1">#REF!,#REF!,#REF!</definedName>
    <definedName name="Rwvu.CAM._.TABLE." localSheetId="17" hidden="1">#REF!,#REF!,#REF!</definedName>
    <definedName name="Rwvu.INSURANCE._.RECOVERIES." localSheetId="17" hidden="1">#REF!,#REF!,#REF!,#REF!</definedName>
    <definedName name="Rwvu.MINIMUM._.RENT." localSheetId="17" hidden="1">#REF!,#REF!</definedName>
    <definedName name="Rwvu.OCCUPANCY._.ANALYSIS." localSheetId="17" hidden="1">#REF!,#REF!,#REF!</definedName>
    <definedName name="Rwvu.PERCENTAGE._.RENT." localSheetId="17" hidden="1">#REF!,#REF!,#REF!</definedName>
    <definedName name="Rwvu.TAX._.RECOVERIES." localSheetId="17" hidden="1">#REF!,#REF!,#REF!,#REF!</definedName>
    <definedName name="Rwvu.WAT." localSheetId="17" hidden="1">#REF!</definedName>
    <definedName name="Swvu.CAM._.RECOVERIES." localSheetId="17" hidden="1">#REF!</definedName>
    <definedName name="Swvu.CAM._.TABLE." localSheetId="17" hidden="1">#REF!</definedName>
    <definedName name="Swvu.INSURANCE._.RECOVERIES." localSheetId="17" hidden="1">#REF!</definedName>
    <definedName name="Swvu.MINIMUM._.RENT." localSheetId="17" hidden="1">#REF!</definedName>
    <definedName name="Swvu.OCCUPANCY._.ANALYSIS." localSheetId="17" hidden="1">#REF!</definedName>
    <definedName name="Swvu.PERCENTAGE._.RENT." localSheetId="17" hidden="1">#REF!</definedName>
    <definedName name="Swvu.TAX._.RECOVERIES." localSheetId="17" hidden="1">#REF!</definedName>
    <definedName name="Swvu.WAT." localSheetId="17" hidden="1">#REF!</definedName>
    <definedName name="Whatever" localSheetId="17" hidden="1">#REF!</definedName>
    <definedName name="wrn.CAPREIT." localSheetId="17" hidden="1">{#N/A,#N/A,FALSE,"CAPREIT"}</definedName>
    <definedName name="wrn.CAPREIT2" localSheetId="17" hidden="1">{#N/A,#N/A,FALSE,"CAPREIT"}</definedName>
    <definedName name="Z_0E5612F1_1C5C_4147_BE42_908BDE0B1405_.wvu.PrintTitles" localSheetId="17" hidden="1">#REF!</definedName>
    <definedName name="Z_893D3CDD_E6EC_4FBE_9F4B_7C063AADDAA3_.wvu.FilterData" localSheetId="17" hidden="1">#REF!</definedName>
    <definedName name="Z_893D3CDD_E6EC_4FBE_9F4B_7C063AADDAA3_.wvu.PrintTitles" localSheetId="17" hidden="1">#REF!</definedName>
    <definedName name="Z_893D3CDD_E6EC_4FBE_9F4B_7C063AADDAA3_.wvu.Rows" localSheetId="17" hidden="1">#REF!</definedName>
    <definedName name="Z_911FCEE4_2CBF_4A90_9E55_ED72CBEECF9A_.wvu.FilterData" localSheetId="17" hidden="1">#REF!</definedName>
    <definedName name="Z_C4987C22_A4BC_4088_8093_02A2E532FBED_.wvu.FilterData" localSheetId="17" hidden="1">#REF!</definedName>
    <definedName name="Z_C4987C22_A4BC_4088_8093_02A2E532FBED_.wvu.PrintTitles" localSheetId="17" hidden="1">#REF!</definedName>
    <definedName name="Z_F8A287BF_980C_4986_B08C_54EAB9AA17CB_.wvu.FilterData" localSheetId="17" hidden="1">#REF!</definedName>
    <definedName name="Z_F8A287BF_980C_4986_B08C_54EAB9AA17CB_.wvu.PrintTitles" localSheetId="17" hidden="1">#REF!</definedName>
    <definedName name="_xlnm.Print_Area" localSheetId="17">'Waterfall Summary'!$B$2:$T$51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9">
    <numFmt numFmtId="164" formatCode="* &quot;$&quot;\ #,##0_);* &quot;$&quot;\ \(#,##0\);* &quot;&quot;&quot;$&quot;\ \ \-&quot;&quot;?_);_(@_)"/>
    <numFmt numFmtId="165" formatCode="0.0%"/>
    <numFmt numFmtId="166" formatCode="* #,##0_);* &quot;$&quot;\ \(#,##0\);* &quot;&quot;&quot;$&quot;\ \ \-&quot;&quot;?_);_(@_)"/>
    <numFmt numFmtId="167" formatCode="&quot;$&quot;#,###\ &quot;Per Unit&quot;"/>
    <numFmt numFmtId="168" formatCode="#,##0.0_);\(#,##0.0\)"/>
    <numFmt numFmtId="169" formatCode="##\ &quot;Months&quot;"/>
    <numFmt numFmtId="170" formatCode="###\ &quot;Sq. Ft. / Unit&quot;"/>
    <numFmt numFmtId="171" formatCode="&quot;$&quot;#,##0_);\(&quot;$&quot;#,##0\)"/>
    <numFmt numFmtId="172" formatCode="* &quot;$&quot;\ #,##0.0_);* &quot;$&quot;\ \(#,##0.0\);* &quot;&quot;&quot;$&quot;\ \ \-&quot;&quot;?_);_(@_)"/>
    <numFmt numFmtId="173" formatCode="##\ &quot;Years&quot;"/>
    <numFmt numFmtId="174" formatCode="&quot;Year&quot;\ ##"/>
    <numFmt numFmtId="175" formatCode="##.0&quot;x&quot;"/>
    <numFmt numFmtId="176" formatCode="* #,##0_);* \(#,##0\);* &quot;&quot;\-&quot;&quot;?_);_(@_)"/>
    <numFmt numFmtId="177" formatCode="0.0&quot;x&quot;"/>
    <numFmt numFmtId="178" formatCode="##,###\ &quot;Sq. Ft.&quot;"/>
    <numFmt numFmtId="179" formatCode="&quot;$&quot;#,##0"/>
    <numFmt numFmtId="180" formatCode="&quot;$&quot;#,##0.00"/>
    <numFmt numFmtId="181" formatCode="&quot; $&quot;#,##0\ ;&quot; $(&quot;#,##0\);&quot; $-&quot;#\ ;@\ "/>
    <numFmt numFmtId="182" formatCode="* #,##0_);* &quot;$&quot;\ \(#,##0\);* &quot;&quot;\-&quot;&quot;?_);_(@_)"/>
    <numFmt numFmtId="183" formatCode="_(&quot;$&quot;* #,##0_);_(&quot;$&quot;* \(#,##0\);_(&quot;$&quot;* &quot;-&quot;??_);_(@_)"/>
    <numFmt numFmtId="184" formatCode="##\ &quot;Wks / Yr&quot;"/>
    <numFmt numFmtId="185" formatCode="##\ &quot;Hrs / Wk&quot;"/>
    <numFmt numFmtId="186" formatCode="##.00&quot;x&quot;"/>
    <numFmt numFmtId="187" formatCode="#.#\x"/>
    <numFmt numFmtId="188" formatCode="&quot;$&quot;#,##0.0"/>
    <numFmt numFmtId="189" formatCode="&quot;Compound Interval:&quot;\ "/>
    <numFmt numFmtId="190" formatCode="0.0%;;\-"/>
    <numFmt numFmtId="191" formatCode="0.00&quot;x&quot;;;&quot;n/a&quot;"/>
    <numFmt numFmtId="192" formatCode=";;;"/>
    <numFmt numFmtId="193" formatCode="&quot;$&quot;#,##0_);\(&quot;$&quot;#,##0\);&quot;$&quot;\-"/>
    <numFmt numFmtId="194" formatCode="&quot;Month&quot;\ General"/>
    <numFmt numFmtId="195" formatCode="&quot;Year&quot;\ General"/>
    <numFmt numFmtId="196" formatCode="&quot;$&quot;#,##0_);\(&quot;$&quot;#,##0\);\-"/>
    <numFmt numFmtId="197" formatCode="0.00&quot;x&quot;"/>
    <numFmt numFmtId="198" formatCode="&quot;$&quot;#,##0;\(&quot;$&quot;#,##0\);\-"/>
    <numFmt numFmtId="199" formatCode="[=0]\ &quot;Unlevered Waterfall&quot;;[=1]\ &quot;Levered Waterfall&quot;"/>
    <numFmt numFmtId="200" formatCode="0.00&quot;x&quot;;;"/>
    <numFmt numFmtId="201" formatCode="0.0&quot;x&quot;;;"/>
    <numFmt numFmtId="202" formatCode="#,##0_);\(#,##0\);\-"/>
    <numFmt numFmtId="203" formatCode="[=0]\ &quot;Unl.&quot;;[=1]\ \ &quot;Lev.&quot;"/>
    <numFmt numFmtId="204" formatCode="0.00\x"/>
    <numFmt numFmtId="205" formatCode="&quot;$&quot;#,##0_%_);\(&quot;$&quot;#,##0\)_%;&quot;$&quot;#,##0_%_);@_%_)"/>
    <numFmt numFmtId="206" formatCode="&quot;$&quot;#,##0.00_);\(&quot;$&quot;#,##0.00\)"/>
    <numFmt numFmtId="207" formatCode="[=0]&quot;No&quot;;[=1]&quot;Yes&quot;"/>
    <numFmt numFmtId="208" formatCode="0%\ &quot;Accrual Distribution&quot;"/>
    <numFmt numFmtId="209" formatCode="0.00&quot;x&quot;;;&quot;N/A&quot;"/>
    <numFmt numFmtId="210" formatCode="0.0\x"/>
    <numFmt numFmtId="211" formatCode="0.0%;\(0.0%\);&quot;Pari Passu&quot;"/>
    <numFmt numFmtId="212" formatCode="&quot; $&quot;#,##0.00\ ;&quot; $(&quot;#,##0.00\);&quot; $-&quot;#\ ;@\ "/>
  </numFmts>
  <fonts count="7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274C"/>
      <sz val="22"/>
      <scheme val="minor"/>
    </font>
    <font>
      <name val="Arial"/>
      <family val="2"/>
      <b val="1"/>
      <color theme="1"/>
      <sz val="22"/>
    </font>
    <font>
      <name val="Arial"/>
      <family val="2"/>
      <color theme="1"/>
      <sz val="10"/>
    </font>
    <font>
      <name val="Calibri"/>
      <family val="2"/>
      <b val="1"/>
      <i val="1"/>
      <color rgb="FF00274C"/>
      <sz val="22"/>
      <scheme val="minor"/>
    </font>
    <font>
      <name val="Arial"/>
      <family val="2"/>
      <b val="1"/>
      <i val="1"/>
      <color theme="1"/>
      <sz val="22"/>
    </font>
    <font>
      <name val="Calibri"/>
      <family val="2"/>
      <color rgb="FF00274C"/>
      <sz val="10"/>
      <scheme val="minor"/>
    </font>
    <font>
      <name val="Calibri"/>
      <family val="2"/>
      <b val="1"/>
      <i val="1"/>
      <color rgb="FF00274C"/>
      <sz val="18"/>
      <scheme val="minor"/>
    </font>
    <font>
      <name val="Arial"/>
      <family val="2"/>
      <b val="1"/>
      <i val="1"/>
      <color theme="1"/>
      <sz val="18"/>
    </font>
    <font>
      <name val="Arial"/>
      <family val="2"/>
      <color theme="1"/>
      <sz val="18"/>
    </font>
    <font>
      <name val="Arial"/>
      <family val="2"/>
      <color theme="1"/>
      <sz val="12"/>
    </font>
    <font>
      <name val="Arial"/>
      <family val="2"/>
      <color theme="1"/>
      <sz val="9"/>
    </font>
    <font>
      <name val="Arial"/>
      <family val="2"/>
      <color rgb="FF0000FF"/>
      <sz val="9"/>
    </font>
    <font>
      <name val="Arial"/>
      <family val="2"/>
      <color rgb="FF008000"/>
      <sz val="9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274C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0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sz val="10"/>
      <scheme val="minor"/>
    </font>
    <font>
      <name val="Calibri"/>
      <family val="2"/>
      <color indexed="8"/>
      <sz val="11"/>
    </font>
    <font>
      <name val="Calibri"/>
      <family val="2"/>
      <color rgb="FF008000"/>
      <sz val="10"/>
      <scheme val="minor"/>
    </font>
    <font>
      <name val="Calibri"/>
      <family val="2"/>
      <i val="1"/>
      <color rgb="FF008000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i val="1"/>
      <sz val="10"/>
      <scheme val="minor"/>
    </font>
    <font>
      <name val="Calibri"/>
      <family val="2"/>
      <i val="1"/>
      <color rgb="FF0000FF"/>
      <sz val="10"/>
      <scheme val="minor"/>
    </font>
    <font>
      <name val="Calibri"/>
      <family val="2"/>
      <color rgb="FF0000FF"/>
      <sz val="10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color theme="0"/>
      <sz val="10"/>
      <u val="single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rgb="FF9C6500"/>
      <sz val="11"/>
      <scheme val="minor"/>
    </font>
    <font>
      <name val="Calibri"/>
      <family val="2"/>
      <color indexed="8"/>
      <sz val="10"/>
      <scheme val="minor"/>
    </font>
    <font>
      <name val="Calibri"/>
      <family val="2"/>
      <b val="1"/>
      <color rgb="FF00274C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i val="1"/>
      <color indexed="8"/>
      <sz val="10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008000"/>
      <sz val="10"/>
      <scheme val="minor"/>
    </font>
    <font>
      <name val="Arial Narrow"/>
      <family val="2"/>
      <color theme="1"/>
      <sz val="11"/>
    </font>
    <font>
      <name val="Arial"/>
      <family val="2"/>
      <b val="1"/>
      <color rgb="FF20396D"/>
      <sz val="22"/>
    </font>
    <font>
      <name val="Arial Narrow"/>
      <family val="2"/>
      <b val="1"/>
      <color rgb="FF20396D"/>
      <sz val="18"/>
    </font>
    <font>
      <name val="Arial Narrow"/>
      <family val="2"/>
      <color theme="1"/>
      <sz val="10"/>
    </font>
    <font>
      <name val="Arial Narrow"/>
      <family val="2"/>
      <i val="1"/>
      <color theme="1"/>
      <sz val="10"/>
    </font>
    <font>
      <name val="Arial"/>
      <family val="2"/>
      <b val="1"/>
      <color rgb="FF20396D"/>
      <sz val="16"/>
    </font>
    <font>
      <name val="Arial Narrow"/>
      <family val="2"/>
      <b val="1"/>
      <i val="1"/>
      <color rgb="FF20396D"/>
      <sz val="12"/>
    </font>
    <font>
      <name val="Arial Narrow"/>
      <family val="2"/>
      <b val="1"/>
      <i val="1"/>
      <color rgb="FF20396D"/>
      <sz val="16"/>
    </font>
    <font>
      <name val="Arial Narrow"/>
      <family val="2"/>
      <b val="1"/>
      <color rgb="FF20396D"/>
      <sz val="10"/>
    </font>
    <font>
      <name val="Arial"/>
      <family val="2"/>
      <b val="1"/>
      <color rgb="FF20396D"/>
      <sz val="10"/>
    </font>
    <font>
      <name val="Arial Narrow"/>
      <family val="2"/>
      <b val="1"/>
      <color theme="0"/>
      <sz val="11"/>
    </font>
    <font>
      <name val="Arial Narrow"/>
      <family val="2"/>
      <color theme="0"/>
      <sz val="11"/>
    </font>
    <font>
      <name val="Arial Narrow"/>
      <family val="2"/>
      <b val="1"/>
      <color rgb="FF20396D"/>
      <sz val="11"/>
      <u val="singleAccounting"/>
    </font>
    <font>
      <name val="Arial Narrow"/>
      <family val="2"/>
      <i val="1"/>
      <color rgb="FF0000FF"/>
      <sz val="11"/>
    </font>
    <font>
      <name val="Arial Narrow"/>
      <family val="2"/>
      <b val="1"/>
      <color rgb="FF20396D"/>
      <sz val="11"/>
    </font>
    <font>
      <name val="Arial Narrow"/>
      <family val="2"/>
      <color rgb="FF0000FF"/>
      <sz val="11"/>
    </font>
    <font>
      <name val="Arial Narrow"/>
      <family val="2"/>
      <b val="1"/>
      <color theme="1"/>
      <sz val="11"/>
    </font>
    <font>
      <name val="Arial Narrow"/>
      <family val="2"/>
      <i val="1"/>
      <color theme="1"/>
      <sz val="11"/>
    </font>
    <font>
      <name val="Arial Narrow"/>
      <family val="2"/>
      <sz val="10"/>
    </font>
    <font>
      <name val="Arial Narrow"/>
      <family val="2"/>
      <b val="1"/>
      <color theme="0"/>
      <sz val="10"/>
    </font>
    <font>
      <name val="Arial Narrow"/>
      <family val="2"/>
      <b val="1"/>
      <sz val="10"/>
    </font>
    <font>
      <name val="Arial Narrow"/>
      <family val="2"/>
      <b val="1"/>
      <sz val="10"/>
      <u val="single"/>
    </font>
    <font>
      <name val="Arial Narrow"/>
      <family val="2"/>
      <b val="1"/>
      <color theme="1"/>
      <sz val="10"/>
    </font>
    <font>
      <name val="Arial Narrow"/>
      <family val="2"/>
      <color theme="0"/>
      <sz val="10"/>
    </font>
    <font>
      <name val="Arial Narrow"/>
      <family val="2"/>
      <b val="1"/>
      <color theme="1"/>
      <sz val="10"/>
      <u val="single"/>
    </font>
    <font>
      <name val="Arial Narrow"/>
      <family val="2"/>
      <i val="1"/>
      <sz val="10"/>
    </font>
    <font>
      <name val="Arial Narrow"/>
      <family val="2"/>
      <color indexed="12"/>
      <sz val="10"/>
    </font>
    <font>
      <name val="Arial Narrow"/>
      <family val="2"/>
      <i val="1"/>
      <color theme="0"/>
      <sz val="11"/>
    </font>
    <font>
      <name val="Calibri"/>
      <family val="2"/>
      <sz val="8"/>
      <scheme val="minor"/>
    </font>
  </fonts>
  <fills count="1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00274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lightGray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"/>
        <bgColor indexed="64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20396D"/>
      </top>
      <bottom/>
      <diagonal/>
    </border>
    <border>
      <left/>
      <right/>
      <top/>
      <bottom style="thick">
        <color rgb="FF20396D"/>
      </bottom>
      <diagonal/>
    </border>
    <border>
      <left/>
      <right/>
      <top/>
      <bottom style="medium">
        <color rgb="FF20396D"/>
      </bottom>
      <diagonal/>
    </border>
    <border>
      <left style="thick">
        <color theme="0"/>
      </left>
      <right style="thick">
        <color theme="0"/>
      </right>
      <top/>
      <bottom style="medium">
        <color rgb="FF20396D"/>
      </bottom>
      <diagonal/>
    </border>
    <border>
      <left/>
      <right style="thin">
        <color indexed="64"/>
      </right>
      <top/>
      <bottom style="medium">
        <color rgb="FF20396D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4">
    <xf numFmtId="0" fontId="1" fillId="0" borderId="0"/>
    <xf numFmtId="9" fontId="1" fillId="0" borderId="0"/>
    <xf numFmtId="0" fontId="1" fillId="2" borderId="1"/>
    <xf numFmtId="0" fontId="15" fillId="0" borderId="0"/>
    <xf numFmtId="0" fontId="24" fillId="0" borderId="0"/>
    <xf numFmtId="0" fontId="33" fillId="0" borderId="18"/>
    <xf numFmtId="0" fontId="34" fillId="0" borderId="0"/>
    <xf numFmtId="9" fontId="24" fillId="0" borderId="0"/>
    <xf numFmtId="212" fontId="24" fillId="0" borderId="0"/>
    <xf numFmtId="43" fontId="34" fillId="0" borderId="0"/>
    <xf numFmtId="0" fontId="35" fillId="8" borderId="0"/>
    <xf numFmtId="0" fontId="1" fillId="0" borderId="0"/>
    <xf numFmtId="0" fontId="43" fillId="0" borderId="0"/>
    <xf numFmtId="0" fontId="4" fillId="0" borderId="0"/>
    <xf numFmtId="0" fontId="47" fillId="0" borderId="0"/>
    <xf numFmtId="0" fontId="51" fillId="0" borderId="28" applyAlignment="1">
      <alignment horizontal="center"/>
    </xf>
    <xf numFmtId="0" fontId="1" fillId="0" borderId="0"/>
    <xf numFmtId="9" fontId="24" fillId="0" borderId="0"/>
    <xf numFmtId="9" fontId="1" fillId="0" borderId="0"/>
    <xf numFmtId="0" fontId="17" fillId="0" borderId="0"/>
    <xf numFmtId="9" fontId="17" fillId="0" borderId="0"/>
    <xf numFmtId="9" fontId="34" fillId="0" borderId="0"/>
    <xf numFmtId="43" fontId="1" fillId="0" borderId="0"/>
    <xf numFmtId="9" fontId="34" fillId="0" borderId="0"/>
  </cellStyleXfs>
  <cellXfs count="698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Continuous"/>
    </xf>
    <xf numFmtId="0" fontId="4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14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Continuous"/>
    </xf>
    <xf numFmtId="0" fontId="12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3" borderId="0" pivotButton="0" quotePrefix="0" xfId="0"/>
    <xf numFmtId="0" fontId="19" fillId="0" borderId="0" applyAlignment="1" pivotButton="0" quotePrefix="0" xfId="0">
      <alignment horizontal="right"/>
    </xf>
    <xf numFmtId="14" fontId="17" fillId="0" borderId="0" pivotButton="0" quotePrefix="0" xfId="0"/>
    <xf numFmtId="164" fontId="17" fillId="0" borderId="0" pivotButton="0" quotePrefix="0" xfId="0"/>
    <xf numFmtId="0" fontId="19" fillId="0" borderId="0" pivotButton="0" quotePrefix="0" xfId="0"/>
    <xf numFmtId="164" fontId="19" fillId="0" borderId="0" pivotButton="0" quotePrefix="0" xfId="0"/>
    <xf numFmtId="10" fontId="19" fillId="0" borderId="0" pivotButton="0" quotePrefix="0" xfId="0"/>
    <xf numFmtId="0" fontId="20" fillId="0" borderId="3" pivotButton="0" quotePrefix="0" xfId="0"/>
    <xf numFmtId="0" fontId="20" fillId="0" borderId="3" applyAlignment="1" pivotButton="0" quotePrefix="0" xfId="0">
      <alignment horizontal="center"/>
    </xf>
    <xf numFmtId="41" fontId="17" fillId="0" borderId="0" pivotButton="0" quotePrefix="0" xfId="0"/>
    <xf numFmtId="165" fontId="17" fillId="0" borderId="0" pivotButton="0" quotePrefix="0" xfId="0"/>
    <xf numFmtId="0" fontId="20" fillId="4" borderId="4" pivotButton="0" quotePrefix="0" xfId="0"/>
    <xf numFmtId="42" fontId="20" fillId="4" borderId="4" pivotButton="0" quotePrefix="0" xfId="0"/>
    <xf numFmtId="165" fontId="20" fillId="4" borderId="4" pivotButton="0" quotePrefix="0" xfId="0"/>
    <xf numFmtId="0" fontId="20" fillId="0" borderId="0" pivotButton="0" quotePrefix="0" xfId="0"/>
    <xf numFmtId="164" fontId="21" fillId="0" borderId="0" pivotButton="0" quotePrefix="0" xfId="0"/>
    <xf numFmtId="0" fontId="18" fillId="3" borderId="0" applyAlignment="1" pivotButton="0" quotePrefix="0" xfId="0">
      <alignment vertical="center"/>
    </xf>
    <xf numFmtId="0" fontId="17" fillId="5" borderId="0" pivotButton="0" quotePrefix="0" xfId="0"/>
    <xf numFmtId="0" fontId="22" fillId="3" borderId="0" pivotButton="0" quotePrefix="0" xfId="0"/>
    <xf numFmtId="0" fontId="20" fillId="0" borderId="5" pivotButton="0" quotePrefix="0" xfId="0"/>
    <xf numFmtId="164" fontId="20" fillId="0" borderId="5" pivotButton="0" quotePrefix="0" xfId="0"/>
    <xf numFmtId="3" fontId="17" fillId="0" borderId="0" pivotButton="0" quotePrefix="0" xfId="0"/>
    <xf numFmtId="0" fontId="18" fillId="6" borderId="0" pivotButton="0" quotePrefix="0" xfId="0"/>
    <xf numFmtId="0" fontId="18" fillId="3" borderId="0" applyAlignment="1" pivotButton="0" quotePrefix="0" xfId="0">
      <alignment horizontal="centerContinuous"/>
    </xf>
    <xf numFmtId="0" fontId="17" fillId="0" borderId="5" pivotButton="0" quotePrefix="0" xfId="0"/>
    <xf numFmtId="0" fontId="22" fillId="0" borderId="0" pivotButton="0" quotePrefix="0" xfId="0"/>
    <xf numFmtId="164" fontId="25" fillId="0" borderId="0" pivotButton="0" quotePrefix="0" xfId="0"/>
    <xf numFmtId="166" fontId="21" fillId="0" borderId="0" pivotButton="0" quotePrefix="0" xfId="0"/>
    <xf numFmtId="165" fontId="26" fillId="0" borderId="0" pivotButton="0" quotePrefix="0" xfId="0"/>
    <xf numFmtId="0" fontId="17" fillId="0" borderId="0" applyAlignment="1" pivotButton="0" quotePrefix="0" xfId="0">
      <alignment horizontal="left" indent="1"/>
    </xf>
    <xf numFmtId="0" fontId="17" fillId="0" borderId="0" applyAlignment="1" pivotButton="0" quotePrefix="0" xfId="0">
      <alignment horizontal="right"/>
    </xf>
    <xf numFmtId="164" fontId="17" fillId="0" borderId="6" pivotButton="0" quotePrefix="0" xfId="0"/>
    <xf numFmtId="10" fontId="21" fillId="0" borderId="0" pivotButton="0" quotePrefix="0" xfId="0"/>
    <xf numFmtId="0" fontId="27" fillId="0" borderId="0" applyAlignment="1" pivotButton="0" quotePrefix="0" xfId="0">
      <alignment horizontal="left" indent="1"/>
    </xf>
    <xf numFmtId="165" fontId="19" fillId="4" borderId="1" pivotButton="0" quotePrefix="0" xfId="1"/>
    <xf numFmtId="167" fontId="19" fillId="4" borderId="1" pivotButton="0" quotePrefix="0" xfId="2"/>
    <xf numFmtId="164" fontId="19" fillId="4" borderId="1" pivotButton="0" quotePrefix="0" xfId="2"/>
    <xf numFmtId="0" fontId="30" fillId="4" borderId="1" applyAlignment="1" pivotButton="0" quotePrefix="0" xfId="2">
      <alignment horizontal="center"/>
    </xf>
    <xf numFmtId="164" fontId="29" fillId="4" borderId="1" pivotButton="0" quotePrefix="0" xfId="2"/>
    <xf numFmtId="168" fontId="29" fillId="4" borderId="1" applyAlignment="1" pivotButton="0" quotePrefix="0" xfId="2">
      <alignment horizontal="right"/>
    </xf>
    <xf numFmtId="37" fontId="19" fillId="4" borderId="1" applyAlignment="1" pivotButton="0" quotePrefix="0" xfId="2">
      <alignment horizontal="center"/>
    </xf>
    <xf numFmtId="164" fontId="27" fillId="0" borderId="0" pivotButton="0" quotePrefix="0" xfId="0"/>
    <xf numFmtId="169" fontId="19" fillId="4" borderId="1" pivotButton="0" quotePrefix="0" xfId="2"/>
    <xf numFmtId="164" fontId="21" fillId="0" borderId="0" pivotButton="0" quotePrefix="0" xfId="2"/>
    <xf numFmtId="164" fontId="21" fillId="0" borderId="14" pivotButton="0" quotePrefix="0" xfId="2"/>
    <xf numFmtId="164" fontId="21" fillId="0" borderId="15" pivotButton="0" quotePrefix="0" xfId="2"/>
    <xf numFmtId="170" fontId="21" fillId="0" borderId="0" pivotButton="0" quotePrefix="0" xfId="2"/>
    <xf numFmtId="9" fontId="31" fillId="0" borderId="5" pivotButton="0" quotePrefix="0" xfId="1"/>
    <xf numFmtId="9" fontId="27" fillId="0" borderId="0" pivotButton="0" quotePrefix="0" xfId="0"/>
    <xf numFmtId="1" fontId="17" fillId="0" borderId="0" pivotButton="0" quotePrefix="0" xfId="0"/>
    <xf numFmtId="1" fontId="20" fillId="0" borderId="5" pivotButton="0" quotePrefix="0" xfId="0"/>
    <xf numFmtId="165" fontId="27" fillId="0" borderId="0" pivotButton="0" quotePrefix="0" xfId="1"/>
    <xf numFmtId="164" fontId="20" fillId="0" borderId="0" pivotButton="0" quotePrefix="0" xfId="0"/>
    <xf numFmtId="0" fontId="17" fillId="4" borderId="7" pivotButton="0" quotePrefix="0" xfId="0"/>
    <xf numFmtId="0" fontId="17" fillId="4" borderId="5" pivotButton="0" quotePrefix="0" xfId="0"/>
    <xf numFmtId="0" fontId="17" fillId="4" borderId="9" pivotButton="0" quotePrefix="0" xfId="0"/>
    <xf numFmtId="0" fontId="17" fillId="4" borderId="0" pivotButton="0" quotePrefix="0" xfId="0"/>
    <xf numFmtId="165" fontId="17" fillId="4" borderId="0" pivotButton="0" quotePrefix="0" xfId="1"/>
    <xf numFmtId="165" fontId="17" fillId="4" borderId="10" pivotButton="0" quotePrefix="0" xfId="1"/>
    <xf numFmtId="0" fontId="17" fillId="4" borderId="10" pivotButton="0" quotePrefix="0" xfId="0"/>
    <xf numFmtId="0" fontId="17" fillId="4" borderId="16" pivotButton="0" quotePrefix="0" xfId="0"/>
    <xf numFmtId="0" fontId="17" fillId="4" borderId="6" pivotButton="0" quotePrefix="0" xfId="0"/>
    <xf numFmtId="171" fontId="17" fillId="4" borderId="0" pivotButton="0" quotePrefix="0" xfId="0"/>
    <xf numFmtId="0" fontId="20" fillId="4" borderId="9" pivotButton="0" quotePrefix="0" xfId="0"/>
    <xf numFmtId="0" fontId="20" fillId="4" borderId="0" pivotButton="0" quotePrefix="0" xfId="0"/>
    <xf numFmtId="165" fontId="20" fillId="4" borderId="0" pivotButton="0" quotePrefix="0" xfId="1"/>
    <xf numFmtId="165" fontId="20" fillId="4" borderId="10" pivotButton="0" quotePrefix="0" xfId="1"/>
    <xf numFmtId="171" fontId="17" fillId="4" borderId="10" pivotButton="0" quotePrefix="0" xfId="0"/>
    <xf numFmtId="165" fontId="17" fillId="4" borderId="6" pivotButton="0" quotePrefix="0" xfId="1"/>
    <xf numFmtId="165" fontId="17" fillId="4" borderId="17" pivotButton="0" quotePrefix="0" xfId="1"/>
    <xf numFmtId="9" fontId="26" fillId="4" borderId="0" pivotButton="0" quotePrefix="0" xfId="1"/>
    <xf numFmtId="164" fontId="31" fillId="0" borderId="0" pivotButton="0" quotePrefix="0" xfId="0"/>
    <xf numFmtId="164" fontId="23" fillId="0" borderId="0" pivotButton="0" quotePrefix="0" xfId="2"/>
    <xf numFmtId="172" fontId="19" fillId="4" borderId="1" pivotButton="0" quotePrefix="0" xfId="2"/>
    <xf numFmtId="42" fontId="20" fillId="0" borderId="5" pivotButton="0" quotePrefix="0" xfId="0"/>
    <xf numFmtId="0" fontId="20" fillId="0" borderId="4" pivotButton="0" quotePrefix="0" xfId="0"/>
    <xf numFmtId="42" fontId="20" fillId="0" borderId="4" pivotButton="0" quotePrefix="0" xfId="0"/>
    <xf numFmtId="0" fontId="20" fillId="4" borderId="5" pivotButton="0" quotePrefix="0" xfId="0"/>
    <xf numFmtId="0" fontId="20" fillId="4" borderId="6" pivotButton="0" quotePrefix="0" xfId="0"/>
    <xf numFmtId="164" fontId="21" fillId="4" borderId="1" pivotButton="0" quotePrefix="0" xfId="2"/>
    <xf numFmtId="173" fontId="19" fillId="4" borderId="1" pivotButton="0" quotePrefix="0" xfId="2"/>
    <xf numFmtId="165" fontId="28" fillId="4" borderId="1" pivotButton="0" quotePrefix="0" xfId="1"/>
    <xf numFmtId="174" fontId="22" fillId="6" borderId="0" applyAlignment="1" pivotButton="0" quotePrefix="0" xfId="0">
      <alignment horizontal="center"/>
    </xf>
    <xf numFmtId="174" fontId="22" fillId="3" borderId="0" applyAlignment="1" pivotButton="0" quotePrefix="0" xfId="0">
      <alignment horizontal="center"/>
    </xf>
    <xf numFmtId="174" fontId="22" fillId="3" borderId="0" applyAlignment="1" pivotButton="0" quotePrefix="0" xfId="0">
      <alignment horizontal="centerContinuous"/>
    </xf>
    <xf numFmtId="42" fontId="20" fillId="0" borderId="0" pivotButton="0" quotePrefix="0" xfId="0"/>
    <xf numFmtId="42" fontId="17" fillId="0" borderId="0" pivotButton="0" quotePrefix="0" xfId="0"/>
    <xf numFmtId="175" fontId="17" fillId="4" borderId="5" pivotButton="0" quotePrefix="0" xfId="0"/>
    <xf numFmtId="175" fontId="17" fillId="4" borderId="8" pivotButton="0" quotePrefix="0" xfId="0"/>
    <xf numFmtId="41" fontId="25" fillId="0" borderId="0" pivotButton="0" quotePrefix="0" xfId="0"/>
    <xf numFmtId="0" fontId="27" fillId="0" borderId="0" pivotButton="0" quotePrefix="0" xfId="0"/>
    <xf numFmtId="165" fontId="27" fillId="0" borderId="0" pivotButton="0" quotePrefix="0" xfId="1"/>
    <xf numFmtId="176" fontId="17" fillId="7" borderId="0" pivotButton="0" quotePrefix="0" xfId="0"/>
    <xf numFmtId="175" fontId="17" fillId="4" borderId="0" pivotButton="0" quotePrefix="0" xfId="0"/>
    <xf numFmtId="175" fontId="17" fillId="4" borderId="10" pivotButton="0" quotePrefix="0" xfId="0"/>
    <xf numFmtId="0" fontId="18" fillId="0" borderId="0" pivotButton="0" quotePrefix="0" xfId="0"/>
    <xf numFmtId="174" fontId="22" fillId="0" borderId="0" applyAlignment="1" pivotButton="0" quotePrefix="0" xfId="0">
      <alignment horizontal="center"/>
    </xf>
    <xf numFmtId="42" fontId="21" fillId="0" borderId="0" pivotButton="0" quotePrefix="0" xfId="0"/>
    <xf numFmtId="41" fontId="21" fillId="0" borderId="0" pivotButton="0" quotePrefix="0" xfId="0"/>
    <xf numFmtId="0" fontId="20" fillId="4" borderId="7" pivotButton="0" quotePrefix="0" xfId="0"/>
    <xf numFmtId="9" fontId="20" fillId="4" borderId="8" pivotButton="0" quotePrefix="0" xfId="0"/>
    <xf numFmtId="0" fontId="20" fillId="4" borderId="16" pivotButton="0" quotePrefix="0" xfId="0"/>
    <xf numFmtId="177" fontId="20" fillId="4" borderId="17" pivotButton="0" quotePrefix="0" xfId="0"/>
    <xf numFmtId="178" fontId="25" fillId="0" borderId="0" pivotButton="0" quotePrefix="0" xfId="2"/>
    <xf numFmtId="165" fontId="31" fillId="0" borderId="0" pivotButton="0" quotePrefix="0" xfId="1"/>
    <xf numFmtId="10" fontId="21" fillId="0" borderId="15" pivotButton="0" quotePrefix="0" xfId="1"/>
    <xf numFmtId="0" fontId="21" fillId="0" borderId="0" applyAlignment="1" pivotButton="0" quotePrefix="0" xfId="6">
      <alignment horizontal="center"/>
    </xf>
    <xf numFmtId="0" fontId="21" fillId="0" borderId="0" applyAlignment="1" pivotButton="0" quotePrefix="0" xfId="9">
      <alignment horizontal="center"/>
    </xf>
    <xf numFmtId="0" fontId="21" fillId="0" borderId="5" applyAlignment="1" pivotButton="0" quotePrefix="0" xfId="6">
      <alignment horizontal="center"/>
    </xf>
    <xf numFmtId="179" fontId="20" fillId="0" borderId="0" applyAlignment="1" pivotButton="0" quotePrefix="0" xfId="5">
      <alignment horizontal="center"/>
    </xf>
    <xf numFmtId="180" fontId="36" fillId="0" borderId="0" applyAlignment="1" pivotButton="0" quotePrefix="0" xfId="4">
      <alignment horizontal="center"/>
    </xf>
    <xf numFmtId="180" fontId="21" fillId="0" borderId="0" applyAlignment="1" pivotButton="0" quotePrefix="0" xfId="6">
      <alignment horizontal="center"/>
    </xf>
    <xf numFmtId="0" fontId="21" fillId="0" borderId="9" applyAlignment="1" pivotButton="0" quotePrefix="0" xfId="9">
      <alignment horizontal="center"/>
    </xf>
    <xf numFmtId="165" fontId="21" fillId="0" borderId="10" applyAlignment="1" pivotButton="0" quotePrefix="0" xfId="9">
      <alignment horizontal="center"/>
    </xf>
    <xf numFmtId="1" fontId="23" fillId="0" borderId="12" applyAlignment="1" pivotButton="0" quotePrefix="0" xfId="6">
      <alignment horizontal="center"/>
    </xf>
    <xf numFmtId="165" fontId="23" fillId="0" borderId="13" applyAlignment="1" pivotButton="0" quotePrefix="0" xfId="9">
      <alignment horizontal="center"/>
    </xf>
    <xf numFmtId="0" fontId="23" fillId="0" borderId="11" applyAlignment="1" pivotButton="0" quotePrefix="0" xfId="6">
      <alignment horizontal="center"/>
    </xf>
    <xf numFmtId="0" fontId="23" fillId="0" borderId="0" applyAlignment="1" pivotButton="0" quotePrefix="0" xfId="6">
      <alignment horizontal="center"/>
    </xf>
    <xf numFmtId="0" fontId="21" fillId="0" borderId="0" pivotButton="0" quotePrefix="0" xfId="6"/>
    <xf numFmtId="0" fontId="21" fillId="0" borderId="9" pivotButton="0" quotePrefix="0" xfId="6"/>
    <xf numFmtId="9" fontId="36" fillId="0" borderId="10" applyAlignment="1" pivotButton="0" quotePrefix="0" xfId="7">
      <alignment horizontal="center"/>
    </xf>
    <xf numFmtId="0" fontId="23" fillId="0" borderId="11" pivotButton="0" quotePrefix="0" xfId="6"/>
    <xf numFmtId="0" fontId="23" fillId="0" borderId="12" applyAlignment="1" pivotButton="0" quotePrefix="0" xfId="6">
      <alignment horizontal="center"/>
    </xf>
    <xf numFmtId="9" fontId="23" fillId="0" borderId="13" applyAlignment="1" pivotButton="0" quotePrefix="0" xfId="6">
      <alignment horizontal="center"/>
    </xf>
    <xf numFmtId="0" fontId="22" fillId="11" borderId="11" applyAlignment="1" pivotButton="0" quotePrefix="0" xfId="9">
      <alignment horizontal="centerContinuous"/>
    </xf>
    <xf numFmtId="0" fontId="18" fillId="11" borderId="12" applyAlignment="1" pivotButton="0" quotePrefix="0" xfId="9">
      <alignment horizontal="centerContinuous"/>
    </xf>
    <xf numFmtId="0" fontId="18" fillId="11" borderId="13" applyAlignment="1" pivotButton="0" quotePrefix="0" xfId="9">
      <alignment horizontal="centerContinuous"/>
    </xf>
    <xf numFmtId="0" fontId="22" fillId="11" borderId="0" applyAlignment="1" pivotButton="0" quotePrefix="0" xfId="6">
      <alignment horizontal="center"/>
    </xf>
    <xf numFmtId="0" fontId="22" fillId="11" borderId="8" applyAlignment="1" pivotButton="0" quotePrefix="0" xfId="6">
      <alignment horizontal="center"/>
    </xf>
    <xf numFmtId="3" fontId="21" fillId="0" borderId="19" applyAlignment="1" pivotButton="0" quotePrefix="0" xfId="9">
      <alignment horizontal="center"/>
    </xf>
    <xf numFmtId="0" fontId="22" fillId="11" borderId="20" applyAlignment="1" pivotButton="0" quotePrefix="0" xfId="6">
      <alignment horizontal="center"/>
    </xf>
    <xf numFmtId="0" fontId="22" fillId="11" borderId="21" applyAlignment="1" pivotButton="0" quotePrefix="0" xfId="6">
      <alignment horizontal="center"/>
    </xf>
    <xf numFmtId="0" fontId="23" fillId="4" borderId="7" applyAlignment="1" pivotButton="0" quotePrefix="0" xfId="6">
      <alignment horizontal="left"/>
    </xf>
    <xf numFmtId="0" fontId="21" fillId="4" borderId="5" pivotButton="0" quotePrefix="0" xfId="6"/>
    <xf numFmtId="0" fontId="23" fillId="4" borderId="9" applyAlignment="1" pivotButton="0" quotePrefix="0" xfId="6">
      <alignment horizontal="left"/>
    </xf>
    <xf numFmtId="0" fontId="21" fillId="4" borderId="0" applyAlignment="1" pivotButton="0" quotePrefix="0" xfId="9">
      <alignment horizontal="center"/>
    </xf>
    <xf numFmtId="0" fontId="23" fillId="4" borderId="9" applyAlignment="1" pivotButton="0" quotePrefix="0" xfId="6">
      <alignment horizontal="center"/>
    </xf>
    <xf numFmtId="179" fontId="20" fillId="4" borderId="0" applyAlignment="1" pivotButton="0" quotePrefix="0" xfId="5">
      <alignment horizontal="center"/>
    </xf>
    <xf numFmtId="179" fontId="20" fillId="4" borderId="10" applyAlignment="1" pivotButton="0" quotePrefix="0" xfId="5">
      <alignment horizontal="center"/>
    </xf>
    <xf numFmtId="0" fontId="23" fillId="4" borderId="16" applyAlignment="1" pivotButton="0" quotePrefix="0" xfId="6">
      <alignment horizontal="left"/>
    </xf>
    <xf numFmtId="0" fontId="23" fillId="4" borderId="6" pivotButton="0" quotePrefix="0" xfId="6"/>
    <xf numFmtId="3" fontId="23" fillId="4" borderId="6" applyAlignment="1" pivotButton="0" quotePrefix="0" xfId="6">
      <alignment horizontal="center"/>
    </xf>
    <xf numFmtId="179" fontId="23" fillId="4" borderId="5" applyAlignment="1" pivotButton="0" quotePrefix="0" xfId="6">
      <alignment horizontal="center"/>
    </xf>
    <xf numFmtId="179" fontId="23" fillId="4" borderId="8" applyAlignment="1" pivotButton="0" quotePrefix="0" xfId="6">
      <alignment horizontal="center"/>
    </xf>
    <xf numFmtId="179" fontId="23" fillId="4" borderId="0" applyAlignment="1" pivotButton="0" quotePrefix="0" xfId="6">
      <alignment horizontal="center"/>
    </xf>
    <xf numFmtId="179" fontId="23" fillId="4" borderId="10" applyAlignment="1" pivotButton="0" quotePrefix="0" xfId="6">
      <alignment horizontal="center"/>
    </xf>
    <xf numFmtId="179" fontId="23" fillId="4" borderId="6" applyAlignment="1" pivotButton="0" quotePrefix="0" xfId="6">
      <alignment horizontal="center"/>
    </xf>
    <xf numFmtId="179" fontId="23" fillId="4" borderId="17" applyAlignment="1" pivotButton="0" quotePrefix="0" xfId="6">
      <alignment horizontal="center"/>
    </xf>
    <xf numFmtId="0" fontId="21" fillId="4" borderId="5" applyAlignment="1" pivotButton="0" quotePrefix="1" xfId="6">
      <alignment horizontal="center"/>
    </xf>
    <xf numFmtId="0" fontId="21" fillId="4" borderId="0" applyAlignment="1" pivotButton="0" quotePrefix="1" xfId="6">
      <alignment horizontal="center"/>
    </xf>
    <xf numFmtId="0" fontId="21" fillId="0" borderId="0" applyAlignment="1" pivotButton="0" quotePrefix="0" xfId="6">
      <alignment horizontal="center" wrapText="1"/>
    </xf>
    <xf numFmtId="181" fontId="20" fillId="10" borderId="5" applyAlignment="1" pivotButton="0" quotePrefix="0" xfId="5">
      <alignment horizontal="center"/>
    </xf>
    <xf numFmtId="3" fontId="20" fillId="10" borderId="5" applyAlignment="1" pivotButton="0" quotePrefix="0" xfId="5">
      <alignment horizontal="center"/>
    </xf>
    <xf numFmtId="0" fontId="21" fillId="0" borderId="0" applyAlignment="1" pivotButton="0" quotePrefix="0" xfId="6">
      <alignment vertical="center"/>
    </xf>
    <xf numFmtId="0" fontId="21" fillId="0" borderId="0" applyAlignment="1" pivotButton="0" quotePrefix="0" xfId="6">
      <alignment horizontal="center" vertical="center"/>
    </xf>
    <xf numFmtId="0" fontId="22" fillId="11" borderId="0" applyAlignment="1" pivotButton="0" quotePrefix="0" xfId="6">
      <alignment horizontal="centerContinuous" vertical="center"/>
    </xf>
    <xf numFmtId="0" fontId="22" fillId="6" borderId="0" applyAlignment="1" pivotButton="0" quotePrefix="0" xfId="6">
      <alignment horizontal="centerContinuous" vertical="center"/>
    </xf>
    <xf numFmtId="0" fontId="22" fillId="12" borderId="0" applyAlignment="1" pivotButton="0" quotePrefix="0" xfId="6">
      <alignment horizontal="centerContinuous"/>
    </xf>
    <xf numFmtId="0" fontId="22" fillId="12" borderId="0" applyAlignment="1" pivotButton="0" quotePrefix="0" xfId="7">
      <alignment horizontal="centerContinuous"/>
    </xf>
    <xf numFmtId="9" fontId="22" fillId="12" borderId="0" applyAlignment="1" pivotButton="0" quotePrefix="0" xfId="7">
      <alignment horizontal="centerContinuous"/>
    </xf>
    <xf numFmtId="1" fontId="22" fillId="12" borderId="0" applyAlignment="1" pivotButton="0" quotePrefix="0" xfId="6">
      <alignment horizontal="centerContinuous"/>
    </xf>
    <xf numFmtId="3" fontId="22" fillId="12" borderId="0" applyAlignment="1" pivotButton="0" quotePrefix="0" xfId="6">
      <alignment horizontal="centerContinuous"/>
    </xf>
    <xf numFmtId="37" fontId="22" fillId="12" borderId="0" applyAlignment="1" pivotButton="0" quotePrefix="0" xfId="6">
      <alignment horizontal="centerContinuous"/>
    </xf>
    <xf numFmtId="182" fontId="25" fillId="0" borderId="0" pivotButton="0" quotePrefix="0" xfId="0"/>
    <xf numFmtId="165" fontId="21" fillId="0" borderId="0" pivotButton="0" quotePrefix="0" xfId="1"/>
    <xf numFmtId="0" fontId="38" fillId="3" borderId="0" applyAlignment="1" pivotButton="0" quotePrefix="0" xfId="0">
      <alignment horizontal="centerContinuous"/>
    </xf>
    <xf numFmtId="0" fontId="20" fillId="0" borderId="0" applyAlignment="1" pivotButton="0" quotePrefix="0" xfId="0">
      <alignment horizontal="center"/>
    </xf>
    <xf numFmtId="183" fontId="20" fillId="0" borderId="0" pivotButton="0" quotePrefix="0" xfId="0"/>
    <xf numFmtId="0" fontId="16" fillId="0" borderId="0" applyAlignment="1" pivotButton="0" quotePrefix="0" xfId="0">
      <alignment horizontal="left"/>
    </xf>
    <xf numFmtId="0" fontId="16" fillId="0" borderId="2" applyAlignment="1" pivotButton="0" quotePrefix="0" xfId="0">
      <alignment horizontal="left"/>
    </xf>
    <xf numFmtId="10" fontId="19" fillId="4" borderId="1" pivotButton="0" quotePrefix="0" xfId="1"/>
    <xf numFmtId="14" fontId="19" fillId="4" borderId="1" pivotButton="0" quotePrefix="0" xfId="2"/>
    <xf numFmtId="0" fontId="19" fillId="0" borderId="0" applyAlignment="1" pivotButton="0" quotePrefix="0" xfId="6">
      <alignment horizontal="center"/>
    </xf>
    <xf numFmtId="0" fontId="19" fillId="0" borderId="0" applyAlignment="1" pivotButton="0" quotePrefix="0" xfId="7">
      <alignment horizontal="center"/>
    </xf>
    <xf numFmtId="9" fontId="19" fillId="0" borderId="0" applyAlignment="1" pivotButton="0" quotePrefix="0" xfId="7">
      <alignment horizontal="center"/>
    </xf>
    <xf numFmtId="3" fontId="19" fillId="0" borderId="0" applyAlignment="1" pivotButton="0" quotePrefix="0" xfId="6">
      <alignment horizontal="center"/>
    </xf>
    <xf numFmtId="171" fontId="19" fillId="0" borderId="0" applyAlignment="1" pivotButton="0" quotePrefix="0" xfId="6">
      <alignment horizontal="center"/>
    </xf>
    <xf numFmtId="171" fontId="21" fillId="0" borderId="0" applyAlignment="1" pivotButton="0" quotePrefix="0" xfId="6">
      <alignment horizontal="center"/>
    </xf>
    <xf numFmtId="37" fontId="19" fillId="0" borderId="0" applyAlignment="1" pivotButton="0" quotePrefix="0" xfId="6">
      <alignment horizontal="center"/>
    </xf>
    <xf numFmtId="37" fontId="21" fillId="0" borderId="0" applyAlignment="1" pivotButton="0" quotePrefix="0" xfId="6">
      <alignment horizontal="center"/>
    </xf>
    <xf numFmtId="1" fontId="19" fillId="0" borderId="0" applyAlignment="1" pivotButton="0" quotePrefix="0" xfId="6">
      <alignment horizontal="center"/>
    </xf>
    <xf numFmtId="0" fontId="19" fillId="0" borderId="9" pivotButton="0" quotePrefix="0" xfId="6"/>
    <xf numFmtId="0" fontId="19" fillId="0" borderId="9" pivotButton="0" quotePrefix="1" xfId="6"/>
    <xf numFmtId="182" fontId="21" fillId="0" borderId="0" pivotButton="0" quotePrefix="0" xfId="0"/>
    <xf numFmtId="0" fontId="23" fillId="0" borderId="5" applyAlignment="1" pivotButton="0" quotePrefix="0" xfId="6">
      <alignment horizontal="left"/>
    </xf>
    <xf numFmtId="165" fontId="26" fillId="4" borderId="0" pivotButton="0" quotePrefix="0" xfId="0"/>
    <xf numFmtId="164" fontId="26" fillId="4" borderId="0" pivotButton="0" quotePrefix="0" xfId="0"/>
    <xf numFmtId="164" fontId="28" fillId="4" borderId="0" pivotButton="0" quotePrefix="0" xfId="0"/>
    <xf numFmtId="176" fontId="26" fillId="4" borderId="0" pivotButton="0" quotePrefix="0" xfId="0"/>
    <xf numFmtId="182" fontId="28" fillId="4" borderId="0" pivotButton="0" quotePrefix="0" xfId="0"/>
    <xf numFmtId="182" fontId="26" fillId="4" borderId="0" pivotButton="0" quotePrefix="0" xfId="0"/>
    <xf numFmtId="165" fontId="26" fillId="4" borderId="0" applyAlignment="1" pivotButton="0" quotePrefix="0" xfId="0">
      <alignment horizontal="right"/>
    </xf>
    <xf numFmtId="3" fontId="28" fillId="4" borderId="0" applyAlignment="1" pivotButton="0" quotePrefix="0" xfId="0">
      <alignment horizontal="left" indent="2"/>
    </xf>
    <xf numFmtId="0" fontId="27" fillId="4" borderId="0" applyAlignment="1" pivotButton="0" quotePrefix="0" xfId="0">
      <alignment horizontal="left" indent="2"/>
    </xf>
    <xf numFmtId="0" fontId="39" fillId="4" borderId="0" applyAlignment="1" pivotButton="0" quotePrefix="0" xfId="4">
      <alignment horizontal="left" vertical="center" indent="2"/>
    </xf>
    <xf numFmtId="0" fontId="32" fillId="3" borderId="0" applyAlignment="1" pivotButton="0" quotePrefix="0" xfId="0">
      <alignment horizontal="centerContinuous" vertical="center"/>
    </xf>
    <xf numFmtId="0" fontId="18" fillId="3" borderId="0" applyAlignment="1" pivotButton="0" quotePrefix="0" xfId="0">
      <alignment horizontal="centerContinuous" vertical="center"/>
    </xf>
    <xf numFmtId="9" fontId="22" fillId="6" borderId="0" pivotButton="0" quotePrefix="0" xfId="1"/>
    <xf numFmtId="0" fontId="23" fillId="0" borderId="0" pivotButton="0" quotePrefix="0" xfId="0"/>
    <xf numFmtId="165" fontId="40" fillId="0" borderId="5" pivotButton="0" quotePrefix="0" xfId="1"/>
    <xf numFmtId="164" fontId="23" fillId="0" borderId="5" pivotButton="0" quotePrefix="0" xfId="0"/>
    <xf numFmtId="0" fontId="22" fillId="3" borderId="0" applyAlignment="1" pivotButton="0" quotePrefix="0" xfId="0">
      <alignment vertical="center"/>
    </xf>
    <xf numFmtId="165" fontId="21" fillId="4" borderId="1" pivotButton="0" quotePrefix="0" xfId="1"/>
    <xf numFmtId="165" fontId="26" fillId="4" borderId="1" pivotButton="0" quotePrefix="0" xfId="1"/>
    <xf numFmtId="184" fontId="19" fillId="0" borderId="0" pivotButton="0" quotePrefix="0" xfId="0"/>
    <xf numFmtId="185" fontId="19" fillId="0" borderId="0" pivotButton="0" quotePrefix="0" xfId="0"/>
    <xf numFmtId="0" fontId="16" fillId="0" borderId="2" pivotButton="0" quotePrefix="0" xfId="0"/>
    <xf numFmtId="0" fontId="27" fillId="0" borderId="0" applyAlignment="1" pivotButton="0" quotePrefix="0" xfId="0">
      <alignment horizontal="center"/>
    </xf>
    <xf numFmtId="164" fontId="19" fillId="0" borderId="22" pivotButton="0" quotePrefix="0" xfId="0"/>
    <xf numFmtId="166" fontId="19" fillId="0" borderId="22" pivotButton="0" quotePrefix="0" xfId="0"/>
    <xf numFmtId="164" fontId="20" fillId="0" borderId="23" pivotButton="0" quotePrefix="0" xfId="0"/>
    <xf numFmtId="164" fontId="20" fillId="0" borderId="22" pivotButton="0" quotePrefix="0" xfId="0"/>
    <xf numFmtId="0" fontId="17" fillId="0" borderId="22" pivotButton="0" quotePrefix="0" xfId="0"/>
    <xf numFmtId="164" fontId="29" fillId="4" borderId="22" pivotButton="0" quotePrefix="0" xfId="0"/>
    <xf numFmtId="164" fontId="21" fillId="0" borderId="22" pivotButton="0" quotePrefix="0" xfId="0"/>
    <xf numFmtId="182" fontId="29" fillId="4" borderId="22" pivotButton="0" quotePrefix="0" xfId="0"/>
    <xf numFmtId="182" fontId="21" fillId="0" borderId="22" pivotButton="0" quotePrefix="0" xfId="0"/>
    <xf numFmtId="182" fontId="25" fillId="0" borderId="22" pivotButton="0" quotePrefix="0" xfId="0"/>
    <xf numFmtId="164" fontId="17" fillId="0" borderId="19" pivotButton="0" quotePrefix="0" xfId="0"/>
    <xf numFmtId="165" fontId="27" fillId="0" borderId="22" applyAlignment="1" pivotButton="0" quotePrefix="0" xfId="1">
      <alignment horizontal="right"/>
    </xf>
    <xf numFmtId="176" fontId="17" fillId="7" borderId="22" pivotButton="0" quotePrefix="0" xfId="0"/>
    <xf numFmtId="42" fontId="20" fillId="0" borderId="24" pivotButton="0" quotePrefix="0" xfId="0"/>
    <xf numFmtId="42" fontId="20" fillId="0" borderId="22" pivotButton="0" quotePrefix="0" xfId="0"/>
    <xf numFmtId="41" fontId="25" fillId="0" borderId="22" applyAlignment="1" pivotButton="0" quotePrefix="0" xfId="0">
      <alignment horizontal="right"/>
    </xf>
    <xf numFmtId="41" fontId="25" fillId="0" borderId="22" applyAlignment="1" pivotButton="0" quotePrefix="1" xfId="0">
      <alignment horizontal="right"/>
    </xf>
    <xf numFmtId="42" fontId="20" fillId="0" borderId="24" applyAlignment="1" pivotButton="0" quotePrefix="1" xfId="0">
      <alignment horizontal="right"/>
    </xf>
    <xf numFmtId="165" fontId="26" fillId="4" borderId="22" applyAlignment="1" pivotButton="0" quotePrefix="0" xfId="0">
      <alignment horizontal="right"/>
    </xf>
    <xf numFmtId="164" fontId="27" fillId="0" borderId="0" applyAlignment="1" pivotButton="0" quotePrefix="0" xfId="0">
      <alignment horizontal="right"/>
    </xf>
    <xf numFmtId="186" fontId="23" fillId="0" borderId="15" pivotButton="0" quotePrefix="0" xfId="2"/>
    <xf numFmtId="0" fontId="16" fillId="0" borderId="0" pivotButton="0" quotePrefix="0" xfId="0"/>
    <xf numFmtId="9" fontId="22" fillId="0" borderId="0" pivotButton="0" quotePrefix="0" xfId="1"/>
    <xf numFmtId="0" fontId="32" fillId="0" borderId="0" applyAlignment="1" pivotButton="0" quotePrefix="0" xfId="0">
      <alignment horizontal="centerContinuous" vertical="center"/>
    </xf>
    <xf numFmtId="0" fontId="18" fillId="0" borderId="0" applyAlignment="1" pivotButton="0" quotePrefix="0" xfId="0">
      <alignment horizontal="centerContinuous"/>
    </xf>
    <xf numFmtId="174" fontId="22" fillId="0" borderId="0" applyAlignment="1" pivotButton="0" quotePrefix="0" xfId="0">
      <alignment horizontal="centerContinuous"/>
    </xf>
    <xf numFmtId="164" fontId="26" fillId="4" borderId="22" pivotButton="0" quotePrefix="0" xfId="0"/>
    <xf numFmtId="164" fontId="25" fillId="0" borderId="22" pivotButton="0" quotePrefix="0" xfId="0"/>
    <xf numFmtId="182" fontId="26" fillId="4" borderId="22" pivotButton="0" quotePrefix="0" xfId="0"/>
    <xf numFmtId="164" fontId="41" fillId="0" borderId="23" pivotButton="0" quotePrefix="0" xfId="0"/>
    <xf numFmtId="164" fontId="41" fillId="0" borderId="5" pivotButton="0" quotePrefix="0" xfId="0"/>
    <xf numFmtId="182" fontId="41" fillId="0" borderId="22" pivotButton="0" quotePrefix="0" xfId="0"/>
    <xf numFmtId="182" fontId="41" fillId="0" borderId="0" pivotButton="0" quotePrefix="0" xfId="0"/>
    <xf numFmtId="164" fontId="41" fillId="0" borderId="22" pivotButton="0" quotePrefix="0" xfId="0"/>
    <xf numFmtId="164" fontId="41" fillId="0" borderId="0" pivotButton="0" quotePrefix="0" xfId="0"/>
    <xf numFmtId="0" fontId="22" fillId="3" borderId="0" applyAlignment="1" pivotButton="0" quotePrefix="0" xfId="0">
      <alignment horizontal="centerContinuous"/>
    </xf>
    <xf numFmtId="166" fontId="25" fillId="0" borderId="22" pivotButton="0" quotePrefix="0" xfId="0"/>
    <xf numFmtId="164" fontId="20" fillId="0" borderId="22" applyAlignment="1" pivotButton="0" quotePrefix="1" xfId="0">
      <alignment horizontal="right"/>
    </xf>
    <xf numFmtId="0" fontId="0" fillId="0" borderId="11" pivotButton="0" quotePrefix="0" xfId="0"/>
    <xf numFmtId="0" fontId="0" fillId="0" borderId="12" pivotButton="0" quotePrefix="0" xfId="0"/>
    <xf numFmtId="0" fontId="33" fillId="0" borderId="13" applyAlignment="1" pivotButton="0" quotePrefix="0" xfId="0">
      <alignment horizontal="center"/>
    </xf>
    <xf numFmtId="0" fontId="32" fillId="3" borderId="7" applyAlignment="1" pivotButton="0" quotePrefix="0" xfId="0">
      <alignment horizontal="centerContinuous" vertical="center"/>
    </xf>
    <xf numFmtId="0" fontId="32" fillId="3" borderId="5" applyAlignment="1" pivotButton="0" quotePrefix="0" xfId="0">
      <alignment horizontal="centerContinuous" vertical="center"/>
    </xf>
    <xf numFmtId="0" fontId="32" fillId="3" borderId="8" applyAlignment="1" pivotButton="0" quotePrefix="0" xfId="0">
      <alignment horizontal="centerContinuous" vertical="center"/>
    </xf>
    <xf numFmtId="0" fontId="32" fillId="6" borderId="9" applyAlignment="1" pivotButton="0" quotePrefix="0" xfId="0">
      <alignment horizontal="centerContinuous" vertical="center"/>
    </xf>
    <xf numFmtId="0" fontId="32" fillId="6" borderId="0" applyAlignment="1" pivotButton="0" quotePrefix="0" xfId="0">
      <alignment horizontal="centerContinuous" vertical="center"/>
    </xf>
    <xf numFmtId="0" fontId="32" fillId="6" borderId="10" applyAlignment="1" pivotButton="0" quotePrefix="0" xfId="0">
      <alignment horizontal="centerContinuous" vertical="center"/>
    </xf>
    <xf numFmtId="0" fontId="33" fillId="0" borderId="9" pivotButton="0" quotePrefix="0" xfId="0"/>
    <xf numFmtId="0" fontId="33" fillId="0" borderId="0" pivotButton="0" quotePrefix="0" xfId="0"/>
    <xf numFmtId="0" fontId="33" fillId="0" borderId="16" pivotButton="0" quotePrefix="0" xfId="0"/>
    <xf numFmtId="0" fontId="33" fillId="0" borderId="6" pivotButton="0" quotePrefix="0" xfId="0"/>
    <xf numFmtId="187" fontId="33" fillId="0" borderId="10" applyAlignment="1" pivotButton="0" quotePrefix="0" xfId="0">
      <alignment horizontal="center"/>
    </xf>
    <xf numFmtId="188" fontId="33" fillId="0" borderId="17" applyAlignment="1" pivotButton="0" quotePrefix="0" xfId="0">
      <alignment horizontal="center"/>
    </xf>
    <xf numFmtId="165" fontId="33" fillId="0" borderId="10" applyAlignment="1" pivotButton="0" quotePrefix="0" xfId="0">
      <alignment horizontal="center"/>
    </xf>
    <xf numFmtId="0" fontId="42" fillId="0" borderId="0" applyAlignment="1" pivotButton="0" quotePrefix="0" xfId="11">
      <alignment vertical="center"/>
    </xf>
    <xf numFmtId="0" fontId="44" fillId="0" borderId="26" pivotButton="0" quotePrefix="0" xfId="12"/>
    <xf numFmtId="0" fontId="45" fillId="0" borderId="0" applyAlignment="1" pivotButton="0" quotePrefix="0" xfId="13">
      <alignment vertical="center"/>
    </xf>
    <xf numFmtId="14" fontId="46" fillId="0" borderId="0" applyAlignment="1" pivotButton="0" quotePrefix="0" xfId="13">
      <alignment vertical="center"/>
    </xf>
    <xf numFmtId="0" fontId="48" fillId="0" borderId="27" applyAlignment="1" pivotButton="0" quotePrefix="0" xfId="14">
      <alignment vertical="center"/>
    </xf>
    <xf numFmtId="0" fontId="49" fillId="0" borderId="27" applyAlignment="1" pivotButton="0" quotePrefix="0" xfId="14">
      <alignment vertical="center"/>
    </xf>
    <xf numFmtId="0" fontId="50" fillId="0" borderId="0" applyAlignment="1" pivotButton="0" quotePrefix="0" xfId="14">
      <alignment vertical="center"/>
    </xf>
    <xf numFmtId="0" fontId="54" fillId="0" borderId="0" applyAlignment="1" pivotButton="0" quotePrefix="0" xfId="15">
      <alignment horizontal="centerContinuous" vertical="center"/>
    </xf>
    <xf numFmtId="0" fontId="54" fillId="0" borderId="10" applyAlignment="1" pivotButton="0" quotePrefix="0" xfId="15">
      <alignment horizontal="centerContinuous" vertical="center"/>
    </xf>
    <xf numFmtId="189" fontId="55" fillId="0" borderId="9" applyAlignment="1" pivotButton="0" quotePrefix="0" xfId="16">
      <alignment vertical="center"/>
    </xf>
    <xf numFmtId="0" fontId="56" fillId="0" borderId="28" applyAlignment="1" pivotButton="0" quotePrefix="0" xfId="15">
      <alignment horizontal="center" vertical="center"/>
    </xf>
    <xf numFmtId="0" fontId="56" fillId="0" borderId="29" applyAlignment="1" pivotButton="0" quotePrefix="0" xfId="15">
      <alignment horizontal="center" vertical="center"/>
    </xf>
    <xf numFmtId="3" fontId="56" fillId="0" borderId="30" applyAlignment="1" pivotButton="0" quotePrefix="0" xfId="15">
      <alignment horizontal="center" vertical="center"/>
    </xf>
    <xf numFmtId="0" fontId="42" fillId="0" borderId="9" applyAlignment="1" pivotButton="0" quotePrefix="0" xfId="16">
      <alignment vertical="center"/>
    </xf>
    <xf numFmtId="190" fontId="57" fillId="0" borderId="0" applyAlignment="1" pivotButton="0" quotePrefix="0" xfId="17">
      <alignment horizontal="center" vertical="center"/>
    </xf>
    <xf numFmtId="191" fontId="57" fillId="0" borderId="0" applyAlignment="1" pivotButton="0" quotePrefix="0" xfId="17">
      <alignment horizontal="center" vertical="center"/>
    </xf>
    <xf numFmtId="0" fontId="57" fillId="0" borderId="0" applyAlignment="1" pivotButton="0" quotePrefix="0" xfId="11">
      <alignment horizontal="center" vertical="center"/>
    </xf>
    <xf numFmtId="165" fontId="57" fillId="0" borderId="0" applyAlignment="1" pivotButton="0" quotePrefix="0" xfId="18">
      <alignment horizontal="center" vertical="center"/>
    </xf>
    <xf numFmtId="165" fontId="57" fillId="0" borderId="10" applyAlignment="1" pivotButton="0" quotePrefix="0" xfId="18">
      <alignment horizontal="center" vertical="center"/>
    </xf>
    <xf numFmtId="165" fontId="57" fillId="0" borderId="0" applyAlignment="1" pivotButton="0" quotePrefix="0" xfId="17">
      <alignment horizontal="center" vertical="center"/>
    </xf>
    <xf numFmtId="0" fontId="42" fillId="0" borderId="16" applyAlignment="1" pivotButton="0" quotePrefix="0" xfId="16">
      <alignment vertical="center"/>
    </xf>
    <xf numFmtId="165" fontId="57" fillId="0" borderId="6" applyAlignment="1" pivotButton="0" quotePrefix="0" xfId="17">
      <alignment horizontal="center" vertical="center"/>
    </xf>
    <xf numFmtId="191" fontId="57" fillId="0" borderId="6" applyAlignment="1" pivotButton="0" quotePrefix="0" xfId="17">
      <alignment horizontal="center" vertical="center"/>
    </xf>
    <xf numFmtId="165" fontId="57" fillId="0" borderId="6" applyAlignment="1" pivotButton="0" quotePrefix="0" xfId="18">
      <alignment horizontal="center" vertical="center"/>
    </xf>
    <xf numFmtId="165" fontId="57" fillId="0" borderId="17" applyAlignment="1" pivotButton="0" quotePrefix="0" xfId="18">
      <alignment horizontal="center" vertical="center"/>
    </xf>
    <xf numFmtId="192" fontId="42" fillId="0" borderId="0" applyAlignment="1" pivotButton="0" quotePrefix="0" xfId="11">
      <alignment vertical="center"/>
    </xf>
    <xf numFmtId="0" fontId="42" fillId="15" borderId="11" applyAlignment="1" pivotButton="0" quotePrefix="0" xfId="11">
      <alignment vertical="center"/>
    </xf>
    <xf numFmtId="0" fontId="58" fillId="15" borderId="25" applyAlignment="1" pivotButton="0" quotePrefix="0" xfId="11">
      <alignment horizontal="center" vertical="center"/>
    </xf>
    <xf numFmtId="0" fontId="58" fillId="15" borderId="12" applyAlignment="1" pivotButton="0" quotePrefix="0" xfId="11">
      <alignment horizontal="center" vertical="center"/>
    </xf>
    <xf numFmtId="3" fontId="58" fillId="15" borderId="13" applyAlignment="1" pivotButton="0" quotePrefix="0" xfId="11">
      <alignment horizontal="center" vertical="center"/>
    </xf>
    <xf numFmtId="0" fontId="58" fillId="0" borderId="22" applyAlignment="1" pivotButton="0" quotePrefix="0" xfId="11">
      <alignment vertical="center"/>
    </xf>
    <xf numFmtId="165" fontId="58" fillId="4" borderId="22" applyAlignment="1" pivotButton="0" quotePrefix="0" xfId="18">
      <alignment horizontal="centerContinuous" vertical="center"/>
    </xf>
    <xf numFmtId="165" fontId="58" fillId="0" borderId="0" applyAlignment="1" pivotButton="0" quotePrefix="0" xfId="18">
      <alignment horizontal="centerContinuous" vertical="center"/>
    </xf>
    <xf numFmtId="165" fontId="58" fillId="0" borderId="10" applyAlignment="1" pivotButton="0" quotePrefix="0" xfId="18">
      <alignment horizontal="centerContinuous" vertical="center"/>
    </xf>
    <xf numFmtId="177" fontId="58" fillId="4" borderId="22" applyAlignment="1" pivotButton="0" quotePrefix="0" xfId="11">
      <alignment horizontal="centerContinuous" vertical="center"/>
    </xf>
    <xf numFmtId="177" fontId="58" fillId="0" borderId="0" applyAlignment="1" pivotButton="0" quotePrefix="0" xfId="11">
      <alignment horizontal="centerContinuous" vertical="center"/>
    </xf>
    <xf numFmtId="177" fontId="58" fillId="0" borderId="10" applyAlignment="1" pivotButton="0" quotePrefix="0" xfId="11">
      <alignment horizontal="centerContinuous" vertical="center"/>
    </xf>
    <xf numFmtId="171" fontId="58" fillId="4" borderId="22" applyAlignment="1" pivotButton="0" quotePrefix="0" xfId="11">
      <alignment horizontal="centerContinuous" vertical="center"/>
    </xf>
    <xf numFmtId="171" fontId="58" fillId="0" borderId="0" applyAlignment="1" pivotButton="0" quotePrefix="0" xfId="11">
      <alignment horizontal="centerContinuous" vertical="center"/>
    </xf>
    <xf numFmtId="171" fontId="58" fillId="0" borderId="10" applyAlignment="1" pivotButton="0" quotePrefix="0" xfId="11">
      <alignment horizontal="centerContinuous" vertical="center"/>
    </xf>
    <xf numFmtId="165" fontId="59" fillId="4" borderId="22" applyAlignment="1" pivotButton="0" quotePrefix="0" xfId="18">
      <alignment horizontal="centerContinuous" vertical="center"/>
    </xf>
    <xf numFmtId="0" fontId="58" fillId="0" borderId="19" applyAlignment="1" pivotButton="0" quotePrefix="0" xfId="11">
      <alignment vertical="center"/>
    </xf>
    <xf numFmtId="0" fontId="59" fillId="4" borderId="19" applyAlignment="1" pivotButton="0" quotePrefix="0" xfId="11">
      <alignment horizontal="center" vertical="center"/>
    </xf>
    <xf numFmtId="0" fontId="59" fillId="0" borderId="6" applyAlignment="1" pivotButton="0" quotePrefix="0" xfId="11">
      <alignment horizontal="center" vertical="center"/>
    </xf>
    <xf numFmtId="193" fontId="58" fillId="0" borderId="17" applyAlignment="1" pivotButton="0" quotePrefix="0" xfId="11">
      <alignment horizontal="centerContinuous" vertical="center"/>
    </xf>
    <xf numFmtId="0" fontId="60" fillId="0" borderId="0" applyAlignment="1" pivotButton="0" quotePrefix="0" xfId="11">
      <alignment vertical="center"/>
    </xf>
    <xf numFmtId="0" fontId="42" fillId="0" borderId="0" pivotButton="0" quotePrefix="0" xfId="16"/>
    <xf numFmtId="9" fontId="42" fillId="0" borderId="0" pivotButton="0" quotePrefix="0" xfId="16"/>
    <xf numFmtId="0" fontId="45" fillId="0" borderId="26" pivotButton="0" quotePrefix="0" xfId="13"/>
    <xf numFmtId="14" fontId="46" fillId="0" borderId="26" pivotButton="0" quotePrefix="0" xfId="13"/>
    <xf numFmtId="0" fontId="48" fillId="0" borderId="27" pivotButton="0" quotePrefix="0" xfId="14"/>
    <xf numFmtId="0" fontId="45" fillId="0" borderId="27" pivotButton="0" quotePrefix="0" xfId="13"/>
    <xf numFmtId="171" fontId="45" fillId="0" borderId="27" pivotButton="0" quotePrefix="0" xfId="13"/>
    <xf numFmtId="0" fontId="48" fillId="0" borderId="0" pivotButton="0" quotePrefix="0" xfId="14"/>
    <xf numFmtId="0" fontId="45" fillId="0" borderId="0" pivotButton="0" quotePrefix="0" xfId="13"/>
    <xf numFmtId="171" fontId="45" fillId="0" borderId="0" pivotButton="0" quotePrefix="0" xfId="13"/>
    <xf numFmtId="171" fontId="42" fillId="0" borderId="0" pivotButton="0" quotePrefix="0" xfId="16"/>
    <xf numFmtId="194" fontId="57" fillId="0" borderId="0" applyAlignment="1" pivotButton="0" quotePrefix="0" xfId="16">
      <alignment horizontal="center"/>
    </xf>
    <xf numFmtId="0" fontId="52" fillId="14" borderId="0" pivotButton="0" quotePrefix="0" xfId="16"/>
    <xf numFmtId="195" fontId="52" fillId="14" borderId="0" pivotButton="0" quotePrefix="0" xfId="16"/>
    <xf numFmtId="194" fontId="52" fillId="14" borderId="0" pivotButton="0" quotePrefix="0" xfId="16"/>
    <xf numFmtId="14" fontId="52" fillId="14" borderId="0" pivotButton="0" quotePrefix="0" xfId="16"/>
    <xf numFmtId="0" fontId="42" fillId="0" borderId="0" applyAlignment="1" pivotButton="0" quotePrefix="0" xfId="16">
      <alignment vertical="center"/>
    </xf>
    <xf numFmtId="196" fontId="42" fillId="0" borderId="0" applyAlignment="1" pivotButton="0" quotePrefix="0" xfId="19">
      <alignment vertical="center"/>
    </xf>
    <xf numFmtId="0" fontId="58" fillId="0" borderId="4" pivotButton="0" quotePrefix="0" xfId="19"/>
    <xf numFmtId="196" fontId="58" fillId="0" borderId="4" applyAlignment="1" pivotButton="0" quotePrefix="0" xfId="19">
      <alignment vertical="center"/>
    </xf>
    <xf numFmtId="196" fontId="42" fillId="0" borderId="0" pivotButton="0" quotePrefix="0" xfId="16"/>
    <xf numFmtId="37" fontId="42" fillId="0" borderId="0" pivotButton="0" quotePrefix="0" xfId="16"/>
    <xf numFmtId="0" fontId="58" fillId="0" borderId="7" applyAlignment="1" pivotButton="0" quotePrefix="0" xfId="19">
      <alignment vertical="center"/>
    </xf>
    <xf numFmtId="0" fontId="58" fillId="0" borderId="8" applyAlignment="1" pivotButton="0" quotePrefix="0" xfId="19">
      <alignment horizontal="right"/>
    </xf>
    <xf numFmtId="0" fontId="58" fillId="0" borderId="0" applyAlignment="1" pivotButton="0" quotePrefix="0" xfId="19">
      <alignment horizontal="right"/>
    </xf>
    <xf numFmtId="0" fontId="58" fillId="4" borderId="7" applyAlignment="1" pivotButton="0" quotePrefix="0" xfId="19">
      <alignment vertical="center"/>
    </xf>
    <xf numFmtId="165" fontId="58" fillId="4" borderId="8" applyAlignment="1" pivotButton="0" quotePrefix="0" xfId="20">
      <alignment vertical="center"/>
    </xf>
    <xf numFmtId="165" fontId="58" fillId="0" borderId="0" pivotButton="0" quotePrefix="0" xfId="20"/>
    <xf numFmtId="0" fontId="58" fillId="4" borderId="9" applyAlignment="1" pivotButton="0" quotePrefix="0" xfId="19">
      <alignment vertical="center"/>
    </xf>
    <xf numFmtId="177" fontId="58" fillId="4" borderId="10" applyAlignment="1" pivotButton="0" quotePrefix="0" xfId="19">
      <alignment vertical="center"/>
    </xf>
    <xf numFmtId="197" fontId="58" fillId="0" borderId="0" pivotButton="0" quotePrefix="0" xfId="19"/>
    <xf numFmtId="0" fontId="58" fillId="4" borderId="16" applyAlignment="1" pivotButton="0" quotePrefix="0" xfId="19">
      <alignment vertical="center"/>
    </xf>
    <xf numFmtId="198" fontId="58" fillId="4" borderId="17" applyAlignment="1" pivotButton="0" quotePrefix="0" xfId="19">
      <alignment vertical="center"/>
    </xf>
    <xf numFmtId="196" fontId="58" fillId="0" borderId="0" pivotButton="0" quotePrefix="0" xfId="19"/>
    <xf numFmtId="0" fontId="58" fillId="0" borderId="4" applyAlignment="1" pivotButton="0" quotePrefix="0" xfId="19">
      <alignment vertical="center"/>
    </xf>
    <xf numFmtId="192" fontId="42" fillId="0" borderId="0" pivotButton="0" quotePrefix="0" xfId="16"/>
    <xf numFmtId="39" fontId="42" fillId="0" borderId="0" pivotButton="0" quotePrefix="0" xfId="16"/>
    <xf numFmtId="199" fontId="61" fillId="3" borderId="0" applyAlignment="1" pivotButton="0" quotePrefix="0" xfId="16">
      <alignment horizontal="left" vertical="center"/>
    </xf>
    <xf numFmtId="0" fontId="45" fillId="0" borderId="0" applyAlignment="1" pivotButton="0" quotePrefix="0" xfId="16">
      <alignment vertical="center"/>
    </xf>
    <xf numFmtId="0" fontId="61" fillId="3" borderId="11" applyAlignment="1" pivotButton="0" quotePrefix="0" xfId="16">
      <alignment vertical="center"/>
    </xf>
    <xf numFmtId="0" fontId="61" fillId="3" borderId="13" applyAlignment="1" pivotButton="0" quotePrefix="0" xfId="16">
      <alignment vertical="center"/>
    </xf>
    <xf numFmtId="0" fontId="62" fillId="4" borderId="16" applyAlignment="1" pivotButton="0" quotePrefix="0" xfId="16">
      <alignment vertical="center"/>
    </xf>
    <xf numFmtId="0" fontId="62" fillId="4" borderId="17" applyAlignment="1" pivotButton="0" quotePrefix="0" xfId="16">
      <alignment horizontal="center" vertical="center"/>
    </xf>
    <xf numFmtId="0" fontId="62" fillId="0" borderId="0" applyAlignment="1" pivotButton="0" quotePrefix="0" xfId="16">
      <alignment vertical="center"/>
    </xf>
    <xf numFmtId="3" fontId="60" fillId="0" borderId="5" applyAlignment="1" pivotButton="0" quotePrefix="0" xfId="16">
      <alignment vertical="center"/>
    </xf>
    <xf numFmtId="165" fontId="60" fillId="0" borderId="8" applyAlignment="1" pivotButton="0" quotePrefix="0" xfId="18">
      <alignment horizontal="center" vertical="center"/>
    </xf>
    <xf numFmtId="165" fontId="60" fillId="0" borderId="0" applyAlignment="1" pivotButton="0" quotePrefix="0" xfId="18">
      <alignment vertical="center"/>
    </xf>
    <xf numFmtId="3" fontId="60" fillId="0" borderId="6" applyAlignment="1" pivotButton="0" quotePrefix="0" xfId="16">
      <alignment vertical="center"/>
    </xf>
    <xf numFmtId="165" fontId="60" fillId="0" borderId="10" applyAlignment="1" pivotButton="0" quotePrefix="0" xfId="16">
      <alignment horizontal="center" vertical="center"/>
    </xf>
    <xf numFmtId="165" fontId="60" fillId="0" borderId="0" applyAlignment="1" pivotButton="0" quotePrefix="0" xfId="16">
      <alignment vertical="center"/>
    </xf>
    <xf numFmtId="0" fontId="62" fillId="0" borderId="4" applyAlignment="1" pivotButton="0" quotePrefix="0" xfId="16">
      <alignment vertical="center"/>
    </xf>
    <xf numFmtId="165" fontId="62" fillId="0" borderId="31" applyAlignment="1" pivotButton="0" quotePrefix="0" xfId="18">
      <alignment horizontal="center" vertical="center"/>
    </xf>
    <xf numFmtId="0" fontId="60" fillId="0" borderId="0" applyAlignment="1" pivotButton="0" quotePrefix="0" xfId="16">
      <alignment vertical="center"/>
    </xf>
    <xf numFmtId="0" fontId="61" fillId="3" borderId="0" applyAlignment="1" pivotButton="0" quotePrefix="0" xfId="16">
      <alignment vertical="center"/>
    </xf>
    <xf numFmtId="0" fontId="62" fillId="4" borderId="11" applyAlignment="1" pivotButton="0" quotePrefix="0" xfId="16">
      <alignment vertical="center"/>
    </xf>
    <xf numFmtId="0" fontId="62" fillId="4" borderId="12" applyAlignment="1" pivotButton="0" quotePrefix="0" xfId="16">
      <alignment horizontal="centerContinuous" vertical="center"/>
    </xf>
    <xf numFmtId="0" fontId="63" fillId="4" borderId="12" applyAlignment="1" pivotButton="0" quotePrefix="0" xfId="16">
      <alignment horizontal="centerContinuous" vertical="center"/>
    </xf>
    <xf numFmtId="0" fontId="63" fillId="4" borderId="13" applyAlignment="1" pivotButton="0" quotePrefix="0" xfId="16">
      <alignment horizontal="centerContinuous" vertical="center"/>
    </xf>
    <xf numFmtId="0" fontId="42" fillId="4" borderId="25" pivotButton="0" quotePrefix="0" xfId="16"/>
    <xf numFmtId="0" fontId="61" fillId="3" borderId="23" applyAlignment="1" pivotButton="0" quotePrefix="0" xfId="16">
      <alignment horizontal="center" vertical="center"/>
    </xf>
    <xf numFmtId="0" fontId="62" fillId="0" borderId="6" applyAlignment="1" pivotButton="0" quotePrefix="0" xfId="16">
      <alignment vertical="center"/>
    </xf>
    <xf numFmtId="0" fontId="62" fillId="0" borderId="6" applyAlignment="1" pivotButton="0" quotePrefix="0" xfId="16">
      <alignment horizontal="center" vertical="center"/>
    </xf>
    <xf numFmtId="0" fontId="62" fillId="0" borderId="25" applyAlignment="1" pivotButton="0" quotePrefix="0" xfId="16">
      <alignment horizontal="center" vertical="center"/>
    </xf>
    <xf numFmtId="0" fontId="62" fillId="0" borderId="11" applyAlignment="1" pivotButton="0" quotePrefix="0" xfId="16">
      <alignment horizontal="center" vertical="center"/>
    </xf>
    <xf numFmtId="3" fontId="62" fillId="0" borderId="13" applyAlignment="1" pivotButton="0" quotePrefix="0" xfId="16">
      <alignment horizontal="center" vertical="center"/>
    </xf>
    <xf numFmtId="0" fontId="64" fillId="4" borderId="25" applyAlignment="1" pivotButton="0" quotePrefix="0" xfId="16">
      <alignment horizontal="center" vertical="center"/>
    </xf>
    <xf numFmtId="165" fontId="60" fillId="0" borderId="0" applyAlignment="1" pivotButton="0" quotePrefix="0" xfId="16">
      <alignment horizontal="center" vertical="center"/>
    </xf>
    <xf numFmtId="200" fontId="45" fillId="0" borderId="0" applyAlignment="1" pivotButton="0" quotePrefix="0" xfId="16">
      <alignment horizontal="center" vertical="center"/>
    </xf>
    <xf numFmtId="0" fontId="45" fillId="0" borderId="22" applyAlignment="1" pivotButton="0" quotePrefix="0" xfId="16">
      <alignment horizontal="center"/>
    </xf>
    <xf numFmtId="165" fontId="60" fillId="0" borderId="9" applyAlignment="1" pivotButton="0" quotePrefix="0" xfId="16">
      <alignment horizontal="center" vertical="center"/>
    </xf>
    <xf numFmtId="0" fontId="45" fillId="0" borderId="19" applyAlignment="1" pivotButton="0" quotePrefix="0" xfId="16">
      <alignment horizontal="center" vertical="center"/>
    </xf>
    <xf numFmtId="200" fontId="60" fillId="0" borderId="0" applyAlignment="1" pivotButton="0" quotePrefix="0" xfId="16">
      <alignment horizontal="center" vertical="center"/>
    </xf>
    <xf numFmtId="165" fontId="60" fillId="0" borderId="22" applyAlignment="1" pivotButton="0" quotePrefix="0" xfId="16">
      <alignment horizontal="center" vertical="center"/>
    </xf>
    <xf numFmtId="0" fontId="60" fillId="0" borderId="6" applyAlignment="1" pivotButton="0" quotePrefix="0" xfId="16">
      <alignment vertical="center"/>
    </xf>
    <xf numFmtId="165" fontId="60" fillId="0" borderId="6" applyAlignment="1" pivotButton="0" quotePrefix="0" xfId="16">
      <alignment horizontal="center" vertical="center"/>
    </xf>
    <xf numFmtId="201" fontId="60" fillId="0" borderId="6" applyAlignment="1" pivotButton="0" quotePrefix="0" xfId="16">
      <alignment horizontal="center" vertical="center"/>
    </xf>
    <xf numFmtId="165" fontId="60" fillId="0" borderId="19" applyAlignment="1" pivotButton="0" quotePrefix="0" xfId="16">
      <alignment horizontal="center" vertical="center"/>
    </xf>
    <xf numFmtId="165" fontId="60" fillId="0" borderId="16" applyAlignment="1" pivotButton="0" quotePrefix="0" xfId="16">
      <alignment horizontal="center" vertical="center"/>
    </xf>
    <xf numFmtId="165" fontId="60" fillId="0" borderId="17" applyAlignment="1" pivotButton="0" quotePrefix="0" xfId="16">
      <alignment horizontal="center" vertical="center"/>
    </xf>
    <xf numFmtId="3" fontId="61" fillId="3" borderId="9" applyAlignment="1" pivotButton="0" quotePrefix="0" xfId="16">
      <alignment vertical="center"/>
    </xf>
    <xf numFmtId="0" fontId="65" fillId="3" borderId="8" applyAlignment="1" pivotButton="0" quotePrefix="0" xfId="16">
      <alignment vertical="center"/>
    </xf>
    <xf numFmtId="0" fontId="65" fillId="3" borderId="0" applyAlignment="1" pivotButton="0" quotePrefix="0" xfId="16">
      <alignment vertical="center"/>
    </xf>
    <xf numFmtId="0" fontId="65" fillId="3" borderId="5" applyAlignment="1" pivotButton="0" quotePrefix="0" xfId="16">
      <alignment vertical="center"/>
    </xf>
    <xf numFmtId="0" fontId="45" fillId="3" borderId="5" applyAlignment="1" pivotButton="0" quotePrefix="0" xfId="16">
      <alignment vertical="center"/>
    </xf>
    <xf numFmtId="0" fontId="60" fillId="0" borderId="9" applyAlignment="1" pivotButton="0" quotePrefix="0" xfId="16">
      <alignment vertical="center"/>
    </xf>
    <xf numFmtId="171" fontId="62" fillId="0" borderId="10" applyAlignment="1" pivotButton="0" quotePrefix="0" xfId="16">
      <alignment vertical="center"/>
    </xf>
    <xf numFmtId="171" fontId="62" fillId="0" borderId="0" applyAlignment="1" pivotButton="0" quotePrefix="0" xfId="16">
      <alignment vertical="center"/>
    </xf>
    <xf numFmtId="196" fontId="45" fillId="0" borderId="0" applyAlignment="1" pivotButton="0" quotePrefix="0" xfId="16">
      <alignment vertical="center"/>
    </xf>
    <xf numFmtId="202" fontId="62" fillId="0" borderId="10" applyAlignment="1" pivotButton="0" quotePrefix="0" xfId="16">
      <alignment vertical="center"/>
    </xf>
    <xf numFmtId="202" fontId="62" fillId="0" borderId="0" applyAlignment="1" pivotButton="0" quotePrefix="0" xfId="16">
      <alignment vertical="center"/>
    </xf>
    <xf numFmtId="202" fontId="45" fillId="0" borderId="0" applyAlignment="1" pivotButton="0" quotePrefix="0" xfId="16">
      <alignment vertical="center"/>
    </xf>
    <xf numFmtId="171" fontId="62" fillId="0" borderId="31" applyAlignment="1" pivotButton="0" quotePrefix="0" xfId="16">
      <alignment vertical="center"/>
    </xf>
    <xf numFmtId="171" fontId="62" fillId="0" borderId="4" applyAlignment="1" pivotButton="0" quotePrefix="0" xfId="16">
      <alignment vertical="center"/>
    </xf>
    <xf numFmtId="196" fontId="62" fillId="0" borderId="4" applyAlignment="1" pivotButton="0" quotePrefix="0" xfId="16">
      <alignment vertical="center"/>
    </xf>
    <xf numFmtId="0" fontId="64" fillId="0" borderId="11" applyAlignment="1" pivotButton="0" quotePrefix="0" xfId="16">
      <alignment vertical="center"/>
    </xf>
    <xf numFmtId="0" fontId="45" fillId="0" borderId="13" applyAlignment="1" pivotButton="0" quotePrefix="0" xfId="16">
      <alignment vertical="center"/>
    </xf>
    <xf numFmtId="10" fontId="62" fillId="0" borderId="0" applyAlignment="1" pivotButton="0" quotePrefix="0" xfId="21">
      <alignment vertical="center"/>
    </xf>
    <xf numFmtId="203" fontId="64" fillId="0" borderId="11" applyAlignment="1" pivotButton="0" quotePrefix="0" xfId="16">
      <alignment horizontal="center" vertical="center"/>
    </xf>
    <xf numFmtId="203" fontId="64" fillId="0" borderId="13" applyAlignment="1" pivotButton="0" quotePrefix="0" xfId="16">
      <alignment horizontal="center" vertical="center"/>
    </xf>
    <xf numFmtId="0" fontId="62" fillId="4" borderId="7" applyAlignment="1" pivotButton="0" quotePrefix="0" xfId="16">
      <alignment vertical="center"/>
    </xf>
    <xf numFmtId="165" fontId="62" fillId="4" borderId="8" applyAlignment="1" pivotButton="0" quotePrefix="0" xfId="21">
      <alignment vertical="center"/>
    </xf>
    <xf numFmtId="192" fontId="62" fillId="0" borderId="0" applyAlignment="1" pivotButton="0" quotePrefix="0" xfId="16">
      <alignment vertical="center"/>
    </xf>
    <xf numFmtId="165" fontId="58" fillId="16" borderId="23" applyAlignment="1" pivotButton="0" quotePrefix="0" xfId="18">
      <alignment horizontal="center"/>
    </xf>
    <xf numFmtId="165" fontId="58" fillId="16" borderId="8" applyAlignment="1" pivotButton="0" quotePrefix="0" xfId="18">
      <alignment horizontal="center"/>
    </xf>
    <xf numFmtId="0" fontId="62" fillId="4" borderId="9" applyAlignment="1" pivotButton="0" quotePrefix="0" xfId="16">
      <alignment vertical="center"/>
    </xf>
    <xf numFmtId="171" fontId="62" fillId="4" borderId="10" applyAlignment="1" pivotButton="0" quotePrefix="0" xfId="16">
      <alignment vertical="center"/>
    </xf>
    <xf numFmtId="192" fontId="62" fillId="0" borderId="0" applyAlignment="1" pivotButton="0" quotePrefix="0" xfId="22">
      <alignment vertical="center"/>
    </xf>
    <xf numFmtId="197" fontId="58" fillId="16" borderId="22" applyAlignment="1" pivotButton="0" quotePrefix="0" xfId="16">
      <alignment horizontal="center"/>
    </xf>
    <xf numFmtId="197" fontId="58" fillId="16" borderId="10" applyAlignment="1" pivotButton="0" quotePrefix="0" xfId="16">
      <alignment horizontal="center"/>
    </xf>
    <xf numFmtId="204" fontId="62" fillId="4" borderId="10" applyAlignment="1" pivotButton="0" quotePrefix="0" xfId="21">
      <alignment vertical="center"/>
    </xf>
    <xf numFmtId="192" fontId="62" fillId="0" borderId="0" applyAlignment="1" pivotButton="0" quotePrefix="0" xfId="21">
      <alignment vertical="center"/>
    </xf>
    <xf numFmtId="171" fontId="58" fillId="16" borderId="19" applyAlignment="1" pivotButton="0" quotePrefix="0" xfId="16">
      <alignment horizontal="center"/>
    </xf>
    <xf numFmtId="171" fontId="58" fillId="16" borderId="17" applyAlignment="1" pivotButton="0" quotePrefix="0" xfId="16">
      <alignment horizontal="center"/>
    </xf>
    <xf numFmtId="165" fontId="62" fillId="4" borderId="17" applyAlignment="1" pivotButton="0" quotePrefix="0" xfId="21">
      <alignment vertical="center"/>
    </xf>
    <xf numFmtId="0" fontId="1" fillId="0" borderId="0" pivotButton="0" quotePrefix="0" xfId="16"/>
    <xf numFmtId="196" fontId="45" fillId="0" borderId="9" applyAlignment="1" pivotButton="0" quotePrefix="0" xfId="16">
      <alignment vertical="center"/>
    </xf>
    <xf numFmtId="202" fontId="45" fillId="0" borderId="9" applyAlignment="1" pivotButton="0" quotePrefix="0" xfId="16">
      <alignment vertical="center"/>
    </xf>
    <xf numFmtId="202" fontId="45" fillId="0" borderId="16" applyAlignment="1" pivotButton="0" quotePrefix="0" xfId="16">
      <alignment vertical="center"/>
    </xf>
    <xf numFmtId="202" fontId="45" fillId="0" borderId="6" applyAlignment="1" pivotButton="0" quotePrefix="0" xfId="16">
      <alignment vertical="center"/>
    </xf>
    <xf numFmtId="0" fontId="62" fillId="0" borderId="4" pivotButton="0" quotePrefix="0" xfId="16"/>
    <xf numFmtId="171" fontId="62" fillId="0" borderId="31" pivotButton="0" quotePrefix="0" xfId="16"/>
    <xf numFmtId="171" fontId="62" fillId="0" borderId="4" pivotButton="0" quotePrefix="0" xfId="16"/>
    <xf numFmtId="196" fontId="62" fillId="0" borderId="4" pivotButton="0" quotePrefix="0" xfId="16"/>
    <xf numFmtId="205" fontId="62" fillId="0" borderId="0" applyAlignment="1" pivotButton="0" quotePrefix="0" xfId="16">
      <alignment vertical="center"/>
    </xf>
    <xf numFmtId="204" fontId="62" fillId="0" borderId="0" applyAlignment="1" pivotButton="0" quotePrefix="0" xfId="21">
      <alignment vertical="center"/>
    </xf>
    <xf numFmtId="10" fontId="62" fillId="0" borderId="0" applyAlignment="1" pivotButton="0" quotePrefix="0" xfId="21">
      <alignment vertical="center"/>
    </xf>
    <xf numFmtId="206" fontId="45" fillId="0" borderId="0" applyAlignment="1" pivotButton="0" quotePrefix="0" xfId="16">
      <alignment vertical="center"/>
    </xf>
    <xf numFmtId="0" fontId="42" fillId="0" borderId="6" pivotButton="0" quotePrefix="0" xfId="16"/>
    <xf numFmtId="171" fontId="62" fillId="0" borderId="8" applyAlignment="1" pivotButton="0" quotePrefix="0" xfId="16">
      <alignment vertical="center"/>
    </xf>
    <xf numFmtId="196" fontId="45" fillId="0" borderId="5" applyAlignment="1" pivotButton="0" quotePrefix="0" xfId="16">
      <alignment vertical="center"/>
    </xf>
    <xf numFmtId="3" fontId="60" fillId="0" borderId="0" applyAlignment="1" pivotButton="0" quotePrefix="0" xfId="16">
      <alignment vertical="center"/>
    </xf>
    <xf numFmtId="37" fontId="62" fillId="0" borderId="10" applyAlignment="1" pivotButton="0" quotePrefix="0" xfId="16">
      <alignment vertical="center"/>
    </xf>
    <xf numFmtId="0" fontId="45" fillId="0" borderId="10" applyAlignment="1" pivotButton="0" quotePrefix="0" xfId="16">
      <alignment vertical="center"/>
    </xf>
    <xf numFmtId="0" fontId="66" fillId="0" borderId="6" applyAlignment="1" pivotButton="0" quotePrefix="0" xfId="16">
      <alignment vertical="center"/>
    </xf>
    <xf numFmtId="196" fontId="66" fillId="0" borderId="17" applyAlignment="1" pivotButton="0" quotePrefix="0" xfId="16">
      <alignment vertical="center"/>
    </xf>
    <xf numFmtId="196" fontId="64" fillId="0" borderId="6" applyAlignment="1" pivotButton="0" quotePrefix="0" xfId="16">
      <alignment vertical="center"/>
    </xf>
    <xf numFmtId="0" fontId="45" fillId="0" borderId="6" applyAlignment="1" pivotButton="0" quotePrefix="0" xfId="16">
      <alignment vertical="center"/>
    </xf>
    <xf numFmtId="206" fontId="60" fillId="0" borderId="6" applyAlignment="1" pivotButton="0" quotePrefix="0" xfId="16">
      <alignment vertical="center"/>
    </xf>
    <xf numFmtId="0" fontId="67" fillId="0" borderId="6" applyAlignment="1" pivotButton="0" quotePrefix="0" xfId="16">
      <alignment horizontal="right" vertical="center"/>
    </xf>
    <xf numFmtId="207" fontId="67" fillId="0" borderId="6" applyAlignment="1" pivotButton="0" quotePrefix="0" xfId="16">
      <alignment horizontal="right" vertical="center"/>
    </xf>
    <xf numFmtId="3" fontId="62" fillId="0" borderId="0" applyAlignment="1" pivotButton="0" quotePrefix="0" xfId="16">
      <alignment vertical="center"/>
    </xf>
    <xf numFmtId="37" fontId="60" fillId="0" borderId="0" applyAlignment="1" pivotButton="0" quotePrefix="0" xfId="16">
      <alignment vertical="center"/>
    </xf>
    <xf numFmtId="192" fontId="67" fillId="0" borderId="0" applyAlignment="1" pivotButton="0" quotePrefix="0" xfId="16">
      <alignment vertical="center"/>
    </xf>
    <xf numFmtId="196" fontId="68" fillId="0" borderId="0" applyAlignment="1" pivotButton="0" quotePrefix="0" xfId="16">
      <alignment vertical="center"/>
    </xf>
    <xf numFmtId="196" fontId="60" fillId="0" borderId="0" applyAlignment="1" pivotButton="0" quotePrefix="0" xfId="16">
      <alignment vertical="center"/>
    </xf>
    <xf numFmtId="171" fontId="60" fillId="0" borderId="0" applyAlignment="1" pivotButton="0" quotePrefix="0" xfId="16">
      <alignment vertical="center"/>
    </xf>
    <xf numFmtId="202" fontId="60" fillId="0" borderId="0" applyAlignment="1" pivotButton="0" quotePrefix="0" xfId="16">
      <alignment vertical="center"/>
    </xf>
    <xf numFmtId="208" fontId="60" fillId="0" borderId="0" applyAlignment="1" pivotButton="0" quotePrefix="0" xfId="16">
      <alignment horizontal="left" vertical="center"/>
    </xf>
    <xf numFmtId="10" fontId="60" fillId="0" borderId="0" applyAlignment="1" pivotButton="0" quotePrefix="0" xfId="23">
      <alignment vertical="center"/>
    </xf>
    <xf numFmtId="37" fontId="60" fillId="0" borderId="6" applyAlignment="1" pivotButton="0" quotePrefix="0" xfId="16">
      <alignment vertical="center"/>
    </xf>
    <xf numFmtId="0" fontId="45" fillId="10" borderId="0" applyAlignment="1" pivotButton="0" quotePrefix="0" xfId="16">
      <alignment vertical="center"/>
    </xf>
    <xf numFmtId="0" fontId="45" fillId="10" borderId="0" applyAlignment="1" pivotButton="0" quotePrefix="0" xfId="16">
      <alignment horizontal="center" vertical="center"/>
    </xf>
    <xf numFmtId="0" fontId="60" fillId="0" borderId="0" applyAlignment="1" pivotButton="0" quotePrefix="0" xfId="16">
      <alignment horizontal="center" vertical="center"/>
    </xf>
    <xf numFmtId="171" fontId="68" fillId="0" borderId="0" applyAlignment="1" pivotButton="0" quotePrefix="0" xfId="16">
      <alignment vertical="center"/>
    </xf>
    <xf numFmtId="0" fontId="60" fillId="0" borderId="0" applyAlignment="1" pivotButton="0" quotePrefix="0" xfId="16">
      <alignment horizontal="left" vertical="center"/>
    </xf>
    <xf numFmtId="204" fontId="60" fillId="0" borderId="0" applyAlignment="1" pivotButton="0" quotePrefix="0" xfId="23">
      <alignment horizontal="center" vertical="center"/>
    </xf>
    <xf numFmtId="10" fontId="60" fillId="0" borderId="0" applyAlignment="1" pivotButton="0" quotePrefix="0" xfId="23">
      <alignment horizontal="center" vertical="center"/>
    </xf>
    <xf numFmtId="0" fontId="62" fillId="9" borderId="0" applyAlignment="1" pivotButton="0" quotePrefix="0" xfId="16">
      <alignment vertical="center"/>
    </xf>
    <xf numFmtId="0" fontId="60" fillId="9" borderId="0" applyAlignment="1" pivotButton="0" quotePrefix="0" xfId="16">
      <alignment vertical="center"/>
    </xf>
    <xf numFmtId="37" fontId="60" fillId="9" borderId="0" applyAlignment="1" pivotButton="0" quotePrefix="0" xfId="16">
      <alignment vertical="center"/>
    </xf>
    <xf numFmtId="37" fontId="62" fillId="9" borderId="4" applyAlignment="1" pivotButton="0" quotePrefix="0" xfId="16">
      <alignment vertical="center"/>
    </xf>
    <xf numFmtId="202" fontId="60" fillId="9" borderId="0" applyAlignment="1" pivotButton="0" quotePrefix="0" xfId="16">
      <alignment vertical="center"/>
    </xf>
    <xf numFmtId="10" fontId="60" fillId="0" borderId="0" applyAlignment="1" pivotButton="0" quotePrefix="0" xfId="23">
      <alignment vertical="center"/>
    </xf>
    <xf numFmtId="10" fontId="62" fillId="0" borderId="0" applyAlignment="1" pivotButton="0" quotePrefix="0" xfId="23">
      <alignment horizontal="left" vertical="center"/>
    </xf>
    <xf numFmtId="165" fontId="60" fillId="0" borderId="0" applyAlignment="1" pivotButton="0" quotePrefix="0" xfId="23">
      <alignment horizontal="center" vertical="center"/>
    </xf>
    <xf numFmtId="9" fontId="60" fillId="0" borderId="0" applyAlignment="1" pivotButton="0" quotePrefix="0" xfId="23">
      <alignment vertical="center"/>
    </xf>
    <xf numFmtId="171" fontId="62" fillId="0" borderId="2" applyAlignment="1" pivotButton="0" quotePrefix="0" xfId="16">
      <alignment vertical="center"/>
    </xf>
    <xf numFmtId="196" fontId="62" fillId="0" borderId="2" applyAlignment="1" pivotButton="0" quotePrefix="0" xfId="16">
      <alignment vertical="center"/>
    </xf>
    <xf numFmtId="0" fontId="64" fillId="0" borderId="0" applyAlignment="1" pivotButton="0" quotePrefix="0" xfId="16">
      <alignment vertical="center"/>
    </xf>
    <xf numFmtId="202" fontId="62" fillId="9" borderId="4" applyAlignment="1" pivotButton="0" quotePrefix="0" xfId="16">
      <alignment vertical="center"/>
    </xf>
    <xf numFmtId="196" fontId="62" fillId="0" borderId="0" applyAlignment="1" pivotButton="0" quotePrefix="0" xfId="16">
      <alignment vertical="center"/>
    </xf>
    <xf numFmtId="14" fontId="46" fillId="0" borderId="27" pivotButton="0" quotePrefix="0" xfId="13"/>
    <xf numFmtId="0" fontId="61" fillId="3" borderId="7" applyAlignment="1" pivotButton="0" quotePrefix="0" xfId="16">
      <alignment vertical="center"/>
    </xf>
    <xf numFmtId="0" fontId="61" fillId="3" borderId="8" applyAlignment="1" pivotButton="0" quotePrefix="0" xfId="16">
      <alignment vertical="center"/>
    </xf>
    <xf numFmtId="0" fontId="62" fillId="4" borderId="16" applyAlignment="1" pivotButton="0" quotePrefix="0" xfId="16">
      <alignment vertical="center" wrapText="1"/>
    </xf>
    <xf numFmtId="3" fontId="60" fillId="0" borderId="7" applyAlignment="1" pivotButton="0" quotePrefix="0" xfId="16">
      <alignment vertical="center"/>
    </xf>
    <xf numFmtId="3" fontId="60" fillId="0" borderId="16" applyAlignment="1" pivotButton="0" quotePrefix="0" xfId="16">
      <alignment vertical="center"/>
    </xf>
    <xf numFmtId="0" fontId="62" fillId="0" borderId="32" applyAlignment="1" pivotButton="0" quotePrefix="0" xfId="16">
      <alignment vertical="center"/>
    </xf>
    <xf numFmtId="0" fontId="62" fillId="4" borderId="11" applyAlignment="1" pivotButton="0" quotePrefix="0" xfId="16">
      <alignment horizontal="centerContinuous" vertical="center"/>
    </xf>
    <xf numFmtId="0" fontId="62" fillId="4" borderId="25" applyAlignment="1" pivotButton="0" quotePrefix="0" xfId="16">
      <alignment horizontal="centerContinuous" vertical="center"/>
    </xf>
    <xf numFmtId="0" fontId="62" fillId="0" borderId="7" applyAlignment="1" pivotButton="0" quotePrefix="0" xfId="16">
      <alignment vertical="center"/>
    </xf>
    <xf numFmtId="0" fontId="62" fillId="0" borderId="9" applyAlignment="1" pivotButton="0" quotePrefix="0" xfId="16">
      <alignment horizontal="center" vertical="center"/>
    </xf>
    <xf numFmtId="0" fontId="62" fillId="0" borderId="0" applyAlignment="1" pivotButton="0" quotePrefix="0" xfId="16">
      <alignment horizontal="center" vertical="center"/>
    </xf>
    <xf numFmtId="0" fontId="62" fillId="0" borderId="22" applyAlignment="1" pivotButton="0" quotePrefix="0" xfId="16">
      <alignment horizontal="center" vertical="center"/>
    </xf>
    <xf numFmtId="3" fontId="62" fillId="0" borderId="8" applyAlignment="1" pivotButton="0" quotePrefix="0" xfId="16">
      <alignment horizontal="center" vertical="center"/>
    </xf>
    <xf numFmtId="209" fontId="60" fillId="0" borderId="0" applyAlignment="1" pivotButton="0" quotePrefix="0" xfId="16">
      <alignment horizontal="center" vertical="center"/>
    </xf>
    <xf numFmtId="0" fontId="60" fillId="0" borderId="16" applyAlignment="1" pivotButton="0" quotePrefix="0" xfId="16">
      <alignment vertical="center"/>
    </xf>
    <xf numFmtId="194" fontId="61" fillId="3" borderId="11" applyAlignment="1" pivotButton="0" quotePrefix="0" xfId="16">
      <alignment horizontal="left" vertical="center"/>
    </xf>
    <xf numFmtId="194" fontId="61" fillId="3" borderId="12" applyAlignment="1" pivotButton="0" quotePrefix="0" xfId="16">
      <alignment horizontal="right" vertical="center"/>
    </xf>
    <xf numFmtId="195" fontId="61" fillId="3" borderId="12" applyAlignment="1" pivotButton="0" quotePrefix="0" xfId="16">
      <alignment vertical="center"/>
    </xf>
    <xf numFmtId="195" fontId="61" fillId="3" borderId="25" applyAlignment="1" pivotButton="0" quotePrefix="0" xfId="16">
      <alignment horizontal="center" vertical="center"/>
    </xf>
    <xf numFmtId="193" fontId="45" fillId="0" borderId="0" applyAlignment="1" pivotButton="0" quotePrefix="0" xfId="16">
      <alignment vertical="center"/>
    </xf>
    <xf numFmtId="196" fontId="64" fillId="4" borderId="22" applyAlignment="1" pivotButton="0" quotePrefix="0" xfId="16">
      <alignment vertical="center"/>
    </xf>
    <xf numFmtId="202" fontId="64" fillId="4" borderId="22" applyAlignment="1" pivotButton="0" quotePrefix="0" xfId="16">
      <alignment vertical="center"/>
    </xf>
    <xf numFmtId="196" fontId="62" fillId="4" borderId="24" applyAlignment="1" pivotButton="0" quotePrefix="0" xfId="16">
      <alignment vertical="center"/>
    </xf>
    <xf numFmtId="210" fontId="62" fillId="4" borderId="10" applyAlignment="1" pivotButton="0" quotePrefix="0" xfId="21">
      <alignment vertical="center"/>
    </xf>
    <xf numFmtId="195" fontId="61" fillId="3" borderId="6" applyAlignment="1" pivotButton="0" quotePrefix="0" xfId="16">
      <alignment vertical="center"/>
    </xf>
    <xf numFmtId="193" fontId="45" fillId="0" borderId="9" applyAlignment="1" pivotButton="0" quotePrefix="0" xfId="16">
      <alignment vertical="center"/>
    </xf>
    <xf numFmtId="0" fontId="58" fillId="0" borderId="7" pivotButton="0" quotePrefix="0" xfId="16"/>
    <xf numFmtId="0" fontId="42" fillId="0" borderId="8" pivotButton="0" quotePrefix="0" xfId="16"/>
    <xf numFmtId="3" fontId="58" fillId="0" borderId="16" pivotButton="0" quotePrefix="0" xfId="16"/>
    <xf numFmtId="0" fontId="58" fillId="0" borderId="17" pivotButton="0" quotePrefix="0" xfId="16"/>
    <xf numFmtId="0" fontId="52" fillId="3" borderId="11" applyAlignment="1" pivotButton="0" quotePrefix="0" xfId="15">
      <alignment horizontal="left" vertical="center"/>
    </xf>
    <xf numFmtId="0" fontId="53" fillId="3" borderId="12" applyAlignment="1" pivotButton="0" quotePrefix="0" xfId="16">
      <alignment vertical="center"/>
    </xf>
    <xf numFmtId="0" fontId="53" fillId="3" borderId="13" applyAlignment="1" pivotButton="0" quotePrefix="0" xfId="16">
      <alignment vertical="center"/>
    </xf>
    <xf numFmtId="0" fontId="62" fillId="3" borderId="0" applyAlignment="1" pivotButton="0" quotePrefix="0" xfId="16">
      <alignment vertical="center"/>
    </xf>
    <xf numFmtId="0" fontId="45" fillId="3" borderId="0" applyAlignment="1" pivotButton="0" quotePrefix="0" xfId="16">
      <alignment vertical="center"/>
    </xf>
    <xf numFmtId="0" fontId="42" fillId="3" borderId="0" pivotButton="0" quotePrefix="0" xfId="16"/>
    <xf numFmtId="0" fontId="59" fillId="3" borderId="0" pivotButton="0" quotePrefix="0" xfId="16"/>
    <xf numFmtId="171" fontId="42" fillId="3" borderId="0" pivotButton="0" quotePrefix="0" xfId="16"/>
    <xf numFmtId="0" fontId="52" fillId="3" borderId="11" applyAlignment="1" pivotButton="0" quotePrefix="0" xfId="11">
      <alignment horizontal="centerContinuous" vertical="center"/>
    </xf>
    <xf numFmtId="0" fontId="52" fillId="3" borderId="12" applyAlignment="1" pivotButton="0" quotePrefix="0" xfId="11">
      <alignment horizontal="centerContinuous" vertical="center"/>
    </xf>
    <xf numFmtId="0" fontId="52" fillId="3" borderId="13" applyAlignment="1" pivotButton="0" quotePrefix="0" xfId="11">
      <alignment horizontal="centerContinuous" vertical="center"/>
    </xf>
    <xf numFmtId="194" fontId="69" fillId="3" borderId="0" applyAlignment="1" pivotButton="0" quotePrefix="0" xfId="16">
      <alignment horizontal="center"/>
    </xf>
    <xf numFmtId="211" fontId="60" fillId="0" borderId="22" applyAlignment="1" pivotButton="0" quotePrefix="0" xfId="16">
      <alignment horizontal="center" vertical="center"/>
    </xf>
    <xf numFmtId="1" fontId="23" fillId="0" borderId="0" applyAlignment="1" pivotButton="0" quotePrefix="0" xfId="6">
      <alignment horizontal="center"/>
    </xf>
    <xf numFmtId="165" fontId="23" fillId="0" borderId="0" applyAlignment="1" pivotButton="0" quotePrefix="0" xfId="9">
      <alignment horizontal="center"/>
    </xf>
    <xf numFmtId="9" fontId="21" fillId="0" borderId="9" pivotButton="0" quotePrefix="0" xfId="6"/>
    <xf numFmtId="179" fontId="21" fillId="0" borderId="19" applyAlignment="1" pivotButton="0" quotePrefix="0" xfId="6">
      <alignment horizontal="center"/>
    </xf>
    <xf numFmtId="179" fontId="21" fillId="0" borderId="17" applyAlignment="1" pivotButton="0" quotePrefix="0" xfId="6">
      <alignment horizontal="center"/>
    </xf>
    <xf numFmtId="164" fontId="21" fillId="4" borderId="1" applyAlignment="1" pivotButton="0" quotePrefix="1" xfId="2">
      <alignment horizontal="right"/>
    </xf>
    <xf numFmtId="0" fontId="23" fillId="0" borderId="6" applyAlignment="1" pivotButton="0" quotePrefix="0" xfId="6">
      <alignment horizontal="center" wrapText="1"/>
    </xf>
    <xf numFmtId="1" fontId="23" fillId="0" borderId="6" applyAlignment="1" pivotButton="0" quotePrefix="0" xfId="4">
      <alignment horizontal="center" wrapText="1"/>
    </xf>
    <xf numFmtId="1" fontId="21" fillId="0" borderId="0" applyAlignment="1" pivotButton="0" quotePrefix="0" xfId="4">
      <alignment horizontal="center"/>
    </xf>
    <xf numFmtId="3" fontId="21" fillId="0" borderId="0" applyAlignment="1" pivotButton="0" quotePrefix="0" xfId="4">
      <alignment horizontal="center"/>
    </xf>
    <xf numFmtId="181" fontId="21" fillId="0" borderId="0" applyAlignment="1" pivotButton="0" quotePrefix="0" xfId="8">
      <alignment horizontal="center"/>
    </xf>
    <xf numFmtId="181" fontId="36" fillId="0" borderId="0" applyAlignment="1" pivotButton="0" quotePrefix="0" xfId="8">
      <alignment horizontal="center"/>
    </xf>
    <xf numFmtId="181" fontId="21" fillId="13" borderId="0" applyAlignment="1" pivotButton="0" quotePrefix="0" xfId="8">
      <alignment horizontal="center"/>
    </xf>
    <xf numFmtId="9" fontId="21" fillId="0" borderId="0" applyAlignment="1" pivotButton="0" quotePrefix="0" xfId="4">
      <alignment horizontal="center"/>
    </xf>
    <xf numFmtId="1" fontId="25" fillId="0" borderId="0" applyAlignment="1" pivotButton="0" quotePrefix="0" xfId="4">
      <alignment horizontal="center"/>
    </xf>
    <xf numFmtId="9" fontId="25" fillId="0" borderId="0" applyAlignment="1" pivotButton="0" quotePrefix="0" xfId="4">
      <alignment horizontal="center"/>
    </xf>
    <xf numFmtId="3" fontId="25" fillId="0" borderId="0" applyAlignment="1" pivotButton="0" quotePrefix="0" xfId="4">
      <alignment horizontal="center"/>
    </xf>
    <xf numFmtId="181" fontId="25" fillId="0" borderId="0" applyAlignment="1" pivotButton="0" quotePrefix="0" xfId="8">
      <alignment horizontal="center"/>
    </xf>
    <xf numFmtId="181" fontId="25" fillId="13" borderId="0" applyAlignment="1" pivotButton="0" quotePrefix="0" xfId="8">
      <alignment horizontal="center"/>
    </xf>
    <xf numFmtId="181" fontId="25" fillId="9" borderId="0" applyAlignment="1" pivotButton="0" quotePrefix="0" xfId="8">
      <alignment horizontal="center"/>
    </xf>
    <xf numFmtId="181" fontId="36" fillId="9" borderId="0" applyAlignment="1" pivotButton="0" quotePrefix="0" xfId="8">
      <alignment horizontal="center"/>
    </xf>
    <xf numFmtId="181" fontId="7" fillId="17" borderId="0" applyAlignment="1" pivotButton="0" quotePrefix="0" xfId="8">
      <alignment horizontal="center"/>
    </xf>
    <xf numFmtId="181" fontId="25" fillId="4" borderId="0" applyAlignment="1" pivotButton="0" quotePrefix="0" xfId="8">
      <alignment horizontal="center"/>
    </xf>
    <xf numFmtId="3" fontId="37" fillId="0" borderId="5" applyAlignment="1" pivotButton="0" quotePrefix="0" xfId="4">
      <alignment horizontal="center"/>
    </xf>
    <xf numFmtId="1" fontId="20" fillId="0" borderId="0" pivotButton="0" quotePrefix="0" xfId="0"/>
    <xf numFmtId="9" fontId="31" fillId="0" borderId="0" pivotButton="0" quotePrefix="0" xfId="1"/>
    <xf numFmtId="0" fontId="20" fillId="0" borderId="3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4" fontId="8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5" fillId="0" borderId="0" applyAlignment="1" pivotButton="0" quotePrefix="0" xfId="3">
      <alignment horizontal="center"/>
    </xf>
    <xf numFmtId="0" fontId="16" fillId="0" borderId="0" applyAlignment="1" pivotButton="0" quotePrefix="0" xfId="0">
      <alignment horizontal="left"/>
    </xf>
    <xf numFmtId="0" fontId="16" fillId="0" borderId="2" applyAlignment="1" pivotButton="0" quotePrefix="0" xfId="0">
      <alignment horizontal="left"/>
    </xf>
    <xf numFmtId="172" fontId="19" fillId="4" borderId="1" pivotButton="0" quotePrefix="0" xfId="2"/>
    <xf numFmtId="178" fontId="25" fillId="0" borderId="0" pivotButton="0" quotePrefix="0" xfId="2"/>
    <xf numFmtId="170" fontId="21" fillId="0" borderId="0" pivotButton="0" quotePrefix="0" xfId="2"/>
    <xf numFmtId="168" fontId="29" fillId="4" borderId="1" applyAlignment="1" pivotButton="0" quotePrefix="0" xfId="2">
      <alignment horizontal="right"/>
    </xf>
    <xf numFmtId="185" fontId="19" fillId="0" borderId="0" pivotButton="0" quotePrefix="0" xfId="0"/>
    <xf numFmtId="184" fontId="19" fillId="0" borderId="0" pivotButton="0" quotePrefix="0" xfId="0"/>
    <xf numFmtId="167" fontId="19" fillId="4" borderId="1" pivotButton="0" quotePrefix="0" xfId="2"/>
    <xf numFmtId="169" fontId="19" fillId="4" borderId="1" pivotButton="0" quotePrefix="0" xfId="2"/>
    <xf numFmtId="166" fontId="21" fillId="0" borderId="0" pivotButton="0" quotePrefix="0" xfId="0"/>
    <xf numFmtId="183" fontId="20" fillId="0" borderId="0" pivotButton="0" quotePrefix="0" xfId="0"/>
    <xf numFmtId="173" fontId="19" fillId="4" borderId="1" pivotButton="0" quotePrefix="0" xfId="2"/>
    <xf numFmtId="0" fontId="0" fillId="0" borderId="2" pivotButton="0" quotePrefix="0" xfId="0"/>
    <xf numFmtId="174" fontId="22" fillId="3" borderId="0" applyAlignment="1" pivotButton="0" quotePrefix="0" xfId="0">
      <alignment horizontal="centerContinuous"/>
    </xf>
    <xf numFmtId="174" fontId="22" fillId="6" borderId="0" applyAlignment="1" pivotButton="0" quotePrefix="0" xfId="0">
      <alignment horizontal="center"/>
    </xf>
    <xf numFmtId="166" fontId="19" fillId="0" borderId="22" pivotButton="0" quotePrefix="0" xfId="0"/>
    <xf numFmtId="182" fontId="29" fillId="4" borderId="22" pivotButton="0" quotePrefix="0" xfId="0"/>
    <xf numFmtId="182" fontId="26" fillId="4" borderId="0" pivotButton="0" quotePrefix="0" xfId="0"/>
    <xf numFmtId="182" fontId="28" fillId="4" borderId="0" pivotButton="0" quotePrefix="0" xfId="0"/>
    <xf numFmtId="182" fontId="21" fillId="0" borderId="22" pivotButton="0" quotePrefix="0" xfId="0"/>
    <xf numFmtId="182" fontId="21" fillId="0" borderId="0" pivotButton="0" quotePrefix="0" xfId="0"/>
    <xf numFmtId="176" fontId="26" fillId="4" borderId="0" pivotButton="0" quotePrefix="0" xfId="0"/>
    <xf numFmtId="182" fontId="25" fillId="0" borderId="22" pivotButton="0" quotePrefix="0" xfId="0"/>
    <xf numFmtId="182" fontId="25" fillId="0" borderId="0" pivotButton="0" quotePrefix="0" xfId="0"/>
    <xf numFmtId="176" fontId="17" fillId="7" borderId="22" pivotButton="0" quotePrefix="0" xfId="0"/>
    <xf numFmtId="176" fontId="17" fillId="7" borderId="0" pivotButton="0" quotePrefix="0" xfId="0"/>
    <xf numFmtId="175" fontId="17" fillId="4" borderId="5" pivotButton="0" quotePrefix="0" xfId="0"/>
    <xf numFmtId="175" fontId="17" fillId="4" borderId="8" pivotButton="0" quotePrefix="0" xfId="0"/>
    <xf numFmtId="175" fontId="17" fillId="4" borderId="0" pivotButton="0" quotePrefix="0" xfId="0"/>
    <xf numFmtId="175" fontId="17" fillId="4" borderId="10" pivotButton="0" quotePrefix="0" xfId="0"/>
    <xf numFmtId="171" fontId="17" fillId="4" borderId="0" pivotButton="0" quotePrefix="0" xfId="0"/>
    <xf numFmtId="171" fontId="17" fillId="4" borderId="10" pivotButton="0" quotePrefix="0" xfId="0"/>
    <xf numFmtId="174" fontId="22" fillId="3" borderId="0" applyAlignment="1" pivotButton="0" quotePrefix="0" xfId="0">
      <alignment horizontal="center"/>
    </xf>
    <xf numFmtId="174" fontId="22" fillId="0" borderId="0" applyAlignment="1" pivotButton="0" quotePrefix="0" xfId="0">
      <alignment horizontal="center"/>
    </xf>
    <xf numFmtId="177" fontId="20" fillId="4" borderId="17" pivotButton="0" quotePrefix="0" xfId="0"/>
    <xf numFmtId="166" fontId="25" fillId="0" borderId="22" pivotButton="0" quotePrefix="0" xfId="0"/>
    <xf numFmtId="182" fontId="26" fillId="4" borderId="22" pivotButton="0" quotePrefix="0" xfId="0"/>
    <xf numFmtId="0" fontId="1" fillId="0" borderId="0" pivotButton="0" quotePrefix="0" xfId="0"/>
    <xf numFmtId="180" fontId="21" fillId="0" borderId="0" applyAlignment="1" pivotButton="0" quotePrefix="0" xfId="6">
      <alignment horizontal="center"/>
    </xf>
    <xf numFmtId="179" fontId="21" fillId="0" borderId="19" applyAlignment="1" pivotButton="0" quotePrefix="0" xfId="6">
      <alignment horizontal="center"/>
    </xf>
    <xf numFmtId="179" fontId="21" fillId="0" borderId="17" applyAlignment="1" pivotButton="0" quotePrefix="0" xfId="6">
      <alignment horizontal="center"/>
    </xf>
    <xf numFmtId="171" fontId="19" fillId="0" borderId="0" applyAlignment="1" pivotButton="0" quotePrefix="0" xfId="6">
      <alignment horizontal="center"/>
    </xf>
    <xf numFmtId="171" fontId="21" fillId="0" borderId="0" applyAlignment="1" pivotButton="0" quotePrefix="0" xfId="6">
      <alignment horizontal="center"/>
    </xf>
    <xf numFmtId="179" fontId="23" fillId="4" borderId="5" applyAlignment="1" pivotButton="0" quotePrefix="0" xfId="6">
      <alignment horizontal="center"/>
    </xf>
    <xf numFmtId="179" fontId="23" fillId="4" borderId="8" applyAlignment="1" pivotButton="0" quotePrefix="0" xfId="6">
      <alignment horizontal="center"/>
    </xf>
    <xf numFmtId="179" fontId="23" fillId="4" borderId="0" applyAlignment="1" pivotButton="0" quotePrefix="0" xfId="6">
      <alignment horizontal="center"/>
    </xf>
    <xf numFmtId="179" fontId="23" fillId="4" borderId="10" applyAlignment="1" pivotButton="0" quotePrefix="0" xfId="6">
      <alignment horizontal="center"/>
    </xf>
    <xf numFmtId="179" fontId="20" fillId="4" borderId="0" applyAlignment="1" pivotButton="0" quotePrefix="0" xfId="5">
      <alignment horizontal="center"/>
    </xf>
    <xf numFmtId="179" fontId="20" fillId="4" borderId="10" applyAlignment="1" pivotButton="0" quotePrefix="0" xfId="5">
      <alignment horizontal="center"/>
    </xf>
    <xf numFmtId="179" fontId="23" fillId="4" borderId="6" applyAlignment="1" pivotButton="0" quotePrefix="0" xfId="6">
      <alignment horizontal="center"/>
    </xf>
    <xf numFmtId="179" fontId="23" fillId="4" borderId="17" applyAlignment="1" pivotButton="0" quotePrefix="0" xfId="6">
      <alignment horizontal="center"/>
    </xf>
    <xf numFmtId="179" fontId="20" fillId="0" borderId="0" applyAlignment="1" pivotButton="0" quotePrefix="0" xfId="5">
      <alignment horizontal="center"/>
    </xf>
    <xf numFmtId="180" fontId="36" fillId="0" borderId="0" applyAlignment="1" pivotButton="0" quotePrefix="0" xfId="4">
      <alignment horizontal="center"/>
    </xf>
    <xf numFmtId="174" fontId="22" fillId="0" borderId="0" applyAlignment="1" pivotButton="0" quotePrefix="0" xfId="0">
      <alignment horizontal="centerContinuous"/>
    </xf>
    <xf numFmtId="182" fontId="41" fillId="0" borderId="22" pivotButton="0" quotePrefix="0" xfId="0"/>
    <xf numFmtId="182" fontId="41" fillId="0" borderId="0" pivotButton="0" quotePrefix="0" xfId="0"/>
    <xf numFmtId="189" fontId="55" fillId="0" borderId="9" applyAlignment="1" pivotButton="0" quotePrefix="0" xfId="16">
      <alignment vertical="center"/>
    </xf>
    <xf numFmtId="190" fontId="57" fillId="0" borderId="0" applyAlignment="1" pivotButton="0" quotePrefix="0" xfId="17">
      <alignment horizontal="center" vertical="center"/>
    </xf>
    <xf numFmtId="191" fontId="57" fillId="0" borderId="0" applyAlignment="1" pivotButton="0" quotePrefix="0" xfId="17">
      <alignment horizontal="center" vertical="center"/>
    </xf>
    <xf numFmtId="191" fontId="57" fillId="0" borderId="6" applyAlignment="1" pivotButton="0" quotePrefix="0" xfId="17">
      <alignment horizontal="center" vertical="center"/>
    </xf>
    <xf numFmtId="192" fontId="42" fillId="0" borderId="0" applyAlignment="1" pivotButton="0" quotePrefix="0" xfId="11">
      <alignment vertical="center"/>
    </xf>
    <xf numFmtId="177" fontId="58" fillId="4" borderId="22" applyAlignment="1" pivotButton="0" quotePrefix="0" xfId="11">
      <alignment horizontal="centerContinuous" vertical="center"/>
    </xf>
    <xf numFmtId="177" fontId="58" fillId="0" borderId="0" applyAlignment="1" pivotButton="0" quotePrefix="0" xfId="11">
      <alignment horizontal="centerContinuous" vertical="center"/>
    </xf>
    <xf numFmtId="177" fontId="58" fillId="0" borderId="10" applyAlignment="1" pivotButton="0" quotePrefix="0" xfId="11">
      <alignment horizontal="centerContinuous" vertical="center"/>
    </xf>
    <xf numFmtId="171" fontId="58" fillId="4" borderId="22" applyAlignment="1" pivotButton="0" quotePrefix="0" xfId="11">
      <alignment horizontal="centerContinuous" vertical="center"/>
    </xf>
    <xf numFmtId="171" fontId="58" fillId="0" borderId="0" applyAlignment="1" pivotButton="0" quotePrefix="0" xfId="11">
      <alignment horizontal="centerContinuous" vertical="center"/>
    </xf>
    <xf numFmtId="171" fontId="58" fillId="0" borderId="10" applyAlignment="1" pivotButton="0" quotePrefix="0" xfId="11">
      <alignment horizontal="centerContinuous" vertical="center"/>
    </xf>
    <xf numFmtId="193" fontId="58" fillId="0" borderId="17" applyAlignment="1" pivotButton="0" quotePrefix="0" xfId="11">
      <alignment horizontal="centerContinuous" vertical="center"/>
    </xf>
    <xf numFmtId="171" fontId="45" fillId="0" borderId="27" pivotButton="0" quotePrefix="0" xfId="13"/>
    <xf numFmtId="171" fontId="45" fillId="0" borderId="0" pivotButton="0" quotePrefix="0" xfId="13"/>
    <xf numFmtId="194" fontId="69" fillId="3" borderId="0" applyAlignment="1" pivotButton="0" quotePrefix="0" xfId="16">
      <alignment horizontal="center"/>
    </xf>
    <xf numFmtId="171" fontId="42" fillId="3" borderId="0" pivotButton="0" quotePrefix="0" xfId="16"/>
    <xf numFmtId="171" fontId="42" fillId="0" borderId="0" pivotButton="0" quotePrefix="0" xfId="16"/>
    <xf numFmtId="194" fontId="57" fillId="0" borderId="0" applyAlignment="1" pivotButton="0" quotePrefix="0" xfId="16">
      <alignment horizontal="center"/>
    </xf>
    <xf numFmtId="195" fontId="52" fillId="14" borderId="0" pivotButton="0" quotePrefix="0" xfId="16"/>
    <xf numFmtId="194" fontId="52" fillId="14" borderId="0" pivotButton="0" quotePrefix="0" xfId="16"/>
    <xf numFmtId="196" fontId="42" fillId="0" borderId="0" applyAlignment="1" pivotButton="0" quotePrefix="0" xfId="19">
      <alignment vertical="center"/>
    </xf>
    <xf numFmtId="196" fontId="58" fillId="0" borderId="4" applyAlignment="1" pivotButton="0" quotePrefix="0" xfId="19">
      <alignment vertical="center"/>
    </xf>
    <xf numFmtId="196" fontId="42" fillId="0" borderId="0" pivotButton="0" quotePrefix="0" xfId="16"/>
    <xf numFmtId="177" fontId="58" fillId="4" borderId="10" applyAlignment="1" pivotButton="0" quotePrefix="0" xfId="19">
      <alignment vertical="center"/>
    </xf>
    <xf numFmtId="197" fontId="58" fillId="0" borderId="0" pivotButton="0" quotePrefix="0" xfId="19"/>
    <xf numFmtId="196" fontId="58" fillId="0" borderId="0" pivotButton="0" quotePrefix="0" xfId="19"/>
    <xf numFmtId="192" fontId="42" fillId="0" borderId="0" pivotButton="0" quotePrefix="0" xfId="16"/>
    <xf numFmtId="171" fontId="62" fillId="0" borderId="10" applyAlignment="1" pivotButton="0" quotePrefix="0" xfId="16">
      <alignment vertical="center"/>
    </xf>
    <xf numFmtId="171" fontId="62" fillId="0" borderId="0" applyAlignment="1" pivotButton="0" quotePrefix="0" xfId="16">
      <alignment vertical="center"/>
    </xf>
    <xf numFmtId="196" fontId="45" fillId="0" borderId="0" applyAlignment="1" pivotButton="0" quotePrefix="0" xfId="16">
      <alignment vertical="center"/>
    </xf>
    <xf numFmtId="171" fontId="62" fillId="0" borderId="31" applyAlignment="1" pivotButton="0" quotePrefix="0" xfId="16">
      <alignment vertical="center"/>
    </xf>
    <xf numFmtId="171" fontId="62" fillId="0" borderId="4" applyAlignment="1" pivotButton="0" quotePrefix="0" xfId="16">
      <alignment vertical="center"/>
    </xf>
    <xf numFmtId="196" fontId="62" fillId="0" borderId="4" applyAlignment="1" pivotButton="0" quotePrefix="0" xfId="16">
      <alignment vertical="center"/>
    </xf>
    <xf numFmtId="192" fontId="62" fillId="0" borderId="0" applyAlignment="1" pivotButton="0" quotePrefix="0" xfId="16">
      <alignment vertical="center"/>
    </xf>
    <xf numFmtId="171" fontId="62" fillId="4" borderId="10" applyAlignment="1" pivotButton="0" quotePrefix="0" xfId="16">
      <alignment vertical="center"/>
    </xf>
    <xf numFmtId="192" fontId="62" fillId="0" borderId="0" applyAlignment="1" pivotButton="0" quotePrefix="0" xfId="22">
      <alignment vertical="center"/>
    </xf>
    <xf numFmtId="197" fontId="58" fillId="16" borderId="22" applyAlignment="1" pivotButton="0" quotePrefix="0" xfId="16">
      <alignment horizontal="center"/>
    </xf>
    <xf numFmtId="197" fontId="58" fillId="16" borderId="10" applyAlignment="1" pivotButton="0" quotePrefix="0" xfId="16">
      <alignment horizontal="center"/>
    </xf>
    <xf numFmtId="192" fontId="62" fillId="0" borderId="0" applyAlignment="1" pivotButton="0" quotePrefix="0" xfId="21">
      <alignment vertical="center"/>
    </xf>
    <xf numFmtId="171" fontId="58" fillId="16" borderId="19" applyAlignment="1" pivotButton="0" quotePrefix="0" xfId="16">
      <alignment horizontal="center"/>
    </xf>
    <xf numFmtId="171" fontId="58" fillId="16" borderId="17" applyAlignment="1" pivotButton="0" quotePrefix="0" xfId="16">
      <alignment horizontal="center"/>
    </xf>
    <xf numFmtId="196" fontId="45" fillId="0" borderId="9" applyAlignment="1" pivotButton="0" quotePrefix="0" xfId="16">
      <alignment vertical="center"/>
    </xf>
    <xf numFmtId="171" fontId="62" fillId="0" borderId="31" pivotButton="0" quotePrefix="0" xfId="16"/>
    <xf numFmtId="171" fontId="62" fillId="0" borderId="4" pivotButton="0" quotePrefix="0" xfId="16"/>
    <xf numFmtId="196" fontId="62" fillId="0" borderId="4" pivotButton="0" quotePrefix="0" xfId="16"/>
    <xf numFmtId="206" fontId="45" fillId="0" borderId="0" applyAlignment="1" pivotButton="0" quotePrefix="0" xfId="16">
      <alignment vertical="center"/>
    </xf>
    <xf numFmtId="171" fontId="62" fillId="0" borderId="8" applyAlignment="1" pivotButton="0" quotePrefix="0" xfId="16">
      <alignment vertical="center"/>
    </xf>
    <xf numFmtId="196" fontId="45" fillId="0" borderId="5" applyAlignment="1" pivotButton="0" quotePrefix="0" xfId="16">
      <alignment vertical="center"/>
    </xf>
    <xf numFmtId="196" fontId="66" fillId="0" borderId="17" applyAlignment="1" pivotButton="0" quotePrefix="0" xfId="16">
      <alignment vertical="center"/>
    </xf>
    <xf numFmtId="196" fontId="64" fillId="0" borderId="6" applyAlignment="1" pivotButton="0" quotePrefix="0" xfId="16">
      <alignment vertical="center"/>
    </xf>
    <xf numFmtId="206" fontId="60" fillId="0" borderId="6" applyAlignment="1" pivotButton="0" quotePrefix="0" xfId="16">
      <alignment vertical="center"/>
    </xf>
    <xf numFmtId="207" fontId="67" fillId="0" borderId="6" applyAlignment="1" pivotButton="0" quotePrefix="0" xfId="16">
      <alignment horizontal="right" vertical="center"/>
    </xf>
    <xf numFmtId="192" fontId="67" fillId="0" borderId="0" applyAlignment="1" pivotButton="0" quotePrefix="0" xfId="16">
      <alignment vertical="center"/>
    </xf>
    <xf numFmtId="196" fontId="68" fillId="0" borderId="0" applyAlignment="1" pivotButton="0" quotePrefix="0" xfId="16">
      <alignment vertical="center"/>
    </xf>
    <xf numFmtId="196" fontId="60" fillId="0" borderId="0" applyAlignment="1" pivotButton="0" quotePrefix="0" xfId="16">
      <alignment vertical="center"/>
    </xf>
    <xf numFmtId="171" fontId="60" fillId="0" borderId="0" applyAlignment="1" pivotButton="0" quotePrefix="0" xfId="16">
      <alignment vertical="center"/>
    </xf>
    <xf numFmtId="208" fontId="60" fillId="0" borderId="0" applyAlignment="1" pivotButton="0" quotePrefix="0" xfId="16">
      <alignment horizontal="left" vertical="center"/>
    </xf>
    <xf numFmtId="171" fontId="68" fillId="0" borderId="0" applyAlignment="1" pivotButton="0" quotePrefix="0" xfId="16">
      <alignment vertical="center"/>
    </xf>
    <xf numFmtId="171" fontId="62" fillId="0" borderId="2" applyAlignment="1" pivotButton="0" quotePrefix="0" xfId="16">
      <alignment vertical="center"/>
    </xf>
    <xf numFmtId="196" fontId="62" fillId="0" borderId="2" applyAlignment="1" pivotButton="0" quotePrefix="0" xfId="16">
      <alignment vertical="center"/>
    </xf>
    <xf numFmtId="196" fontId="62" fillId="0" borderId="0" applyAlignment="1" pivotButton="0" quotePrefix="0" xfId="16">
      <alignment vertical="center"/>
    </xf>
    <xf numFmtId="209" fontId="60" fillId="0" borderId="0" applyAlignment="1" pivotButton="0" quotePrefix="0" xfId="16">
      <alignment horizontal="center" vertical="center"/>
    </xf>
    <xf numFmtId="211" fontId="60" fillId="0" borderId="22" applyAlignment="1" pivotButton="0" quotePrefix="0" xfId="16">
      <alignment horizontal="center" vertical="center"/>
    </xf>
    <xf numFmtId="194" fontId="61" fillId="3" borderId="11" applyAlignment="1" pivotButton="0" quotePrefix="0" xfId="16">
      <alignment horizontal="left" vertical="center"/>
    </xf>
    <xf numFmtId="194" fontId="61" fillId="3" borderId="12" applyAlignment="1" pivotButton="0" quotePrefix="0" xfId="16">
      <alignment horizontal="right" vertical="center"/>
    </xf>
    <xf numFmtId="195" fontId="61" fillId="3" borderId="12" applyAlignment="1" pivotButton="0" quotePrefix="0" xfId="16">
      <alignment vertical="center"/>
    </xf>
    <xf numFmtId="195" fontId="61" fillId="3" borderId="25" applyAlignment="1" pivotButton="0" quotePrefix="0" xfId="16">
      <alignment horizontal="center" vertical="center"/>
    </xf>
    <xf numFmtId="193" fontId="45" fillId="0" borderId="0" applyAlignment="1" pivotButton="0" quotePrefix="0" xfId="16">
      <alignment vertical="center"/>
    </xf>
    <xf numFmtId="196" fontId="64" fillId="4" borderId="22" applyAlignment="1" pivotButton="0" quotePrefix="0" xfId="16">
      <alignment vertical="center"/>
    </xf>
    <xf numFmtId="196" fontId="62" fillId="4" borderId="24" applyAlignment="1" pivotButton="0" quotePrefix="0" xfId="16">
      <alignment vertical="center"/>
    </xf>
    <xf numFmtId="195" fontId="61" fillId="3" borderId="6" applyAlignment="1" pivotButton="0" quotePrefix="0" xfId="16">
      <alignment vertical="center"/>
    </xf>
    <xf numFmtId="193" fontId="45" fillId="0" borderId="9" applyAlignment="1" pivotButton="0" quotePrefix="0" xfId="16">
      <alignment vertical="center"/>
    </xf>
  </cellXfs>
  <cellStyles count="24">
    <cellStyle name="Normal" xfId="0" builtinId="0"/>
    <cellStyle name="Percent" xfId="1" builtinId="5"/>
    <cellStyle name="Note" xfId="2" builtinId="10"/>
    <cellStyle name="Hyperlink" xfId="3" builtinId="8"/>
    <cellStyle name="Excel Built-in Normal" xfId="4"/>
    <cellStyle name="Total" xfId="5" builtinId="25"/>
    <cellStyle name="Normal 2" xfId="6"/>
    <cellStyle name="Percent 2" xfId="7"/>
    <cellStyle name="Currency 2" xfId="8"/>
    <cellStyle name="Comma 2" xfId="9"/>
    <cellStyle name="Neutral 2" xfId="10"/>
    <cellStyle name="Normal 76" xfId="11"/>
    <cellStyle name="Heading 5" xfId="12"/>
    <cellStyle name="Normal 4 8" xfId="13"/>
    <cellStyle name="Subhead 2" xfId="14"/>
    <cellStyle name="Head 2" xfId="15"/>
    <cellStyle name="Normal 6 2" xfId="16"/>
    <cellStyle name="Percent 2 2 3" xfId="17"/>
    <cellStyle name="Percent 18" xfId="18"/>
    <cellStyle name="Normal 7 2" xfId="19"/>
    <cellStyle name="Percent 17 2" xfId="20"/>
    <cellStyle name="Percent 10 2" xfId="21"/>
    <cellStyle name="Comma 10" xfId="22"/>
    <cellStyle name="Percent 2 10" xfId="23"/>
  </cellStyles>
  <dxfs count="3">
    <dxf>
      <numFmt numFmtId="211" formatCode="General;;;"/>
    </dxf>
    <dxf>
      <numFmt numFmtId="211" formatCode="General;;;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tc={3E3B6AED-2C1D-4608-934B-520332C9DE78}</author>
  </authors>
  <commentList>
    <comment ref="D1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If S8 Voucher, calculate averages by breaking out units in breakdown section then link rows to appropriate cells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3"/>
  <sheetViews>
    <sheetView showGridLines="1" view="normal" topLeftCell="N1" zoomScaleNormal="100" zoomScaleSheetLayoutView="100" zoomScalePageLayoutView="36" workbookViewId="0">
      <selection activeCell="N1" sqref="N1"/>
    </sheetView>
  </sheetViews>
  <sheetFormatPr baseColWidth="8" defaultColWidth="0" defaultRowHeight="12.75"/>
  <cols>
    <col hidden="1" width="9.140625" customWidth="1" style="3" min="1" max="13"/>
    <col width="9.140625" customWidth="1" style="3" min="14" max="29"/>
    <col hidden="1" style="3" min="30" max="32"/>
    <col hidden="1" width="9.140625" customWidth="1" style="3" min="33" max="16384"/>
  </cols>
  <sheetData>
    <row r="1"/>
    <row r="2"/>
    <row r="3" ht="28.5" customHeight="1">
      <c r="N3" s="564">
        <f>+Dashboard!$E$10</f>
        <v/>
      </c>
      <c r="AA3" s="1" t="n"/>
      <c r="AB3" s="2" t="n"/>
    </row>
    <row r="4" ht="28.5" customHeight="1">
      <c r="N4" s="565">
        <f>+Dashboard!$E$12&amp;", "&amp;Dashboard!$E$13</f>
        <v/>
      </c>
      <c r="AA4" s="4" t="n"/>
    </row>
    <row r="5"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23.25" customFormat="1" customHeight="1" s="7">
      <c r="N6" s="566">
        <f>TODAY()</f>
        <v/>
      </c>
      <c r="AA6" s="6" t="n"/>
    </row>
    <row r="7"/>
    <row r="8" ht="15" customHeight="1"/>
    <row r="9"/>
    <row r="10"/>
    <row r="11"/>
    <row r="12"/>
    <row r="13"/>
    <row r="14" ht="15" customHeight="1"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</row>
    <row r="15" ht="15" customHeight="1">
      <c r="N15" s="9" t="n"/>
      <c r="O15" s="9" t="n"/>
      <c r="P15" s="9" t="n"/>
      <c r="Q15" s="9" t="n"/>
      <c r="R15" s="9" t="n"/>
      <c r="S15" s="9" t="n"/>
      <c r="T15" s="9" t="n"/>
      <c r="U15" s="10" t="n"/>
      <c r="V15" s="10" t="n"/>
      <c r="W15" s="10" t="n"/>
      <c r="X15" s="10" t="n"/>
      <c r="Y15" s="10" t="n"/>
      <c r="Z15" s="10" t="n"/>
      <c r="AA15" s="10" t="n"/>
      <c r="AB15" s="10" t="n"/>
    </row>
    <row r="16">
      <c r="N16" s="11" t="n"/>
      <c r="O16" s="11" t="n"/>
      <c r="P16" s="11" t="n"/>
      <c r="Q16" s="11" t="n"/>
      <c r="R16" s="11" t="n"/>
      <c r="S16" s="11" t="n"/>
      <c r="T16" s="9" t="n"/>
    </row>
    <row r="17">
      <c r="N17" s="9" t="n"/>
      <c r="O17" s="9" t="n"/>
      <c r="P17" s="9" t="n"/>
      <c r="Q17" s="9" t="n"/>
      <c r="R17" s="9" t="n"/>
      <c r="S17" s="9" t="n"/>
      <c r="T17" s="9" t="n"/>
    </row>
    <row r="18">
      <c r="N18" s="12" t="n"/>
      <c r="O18" s="12" t="n"/>
      <c r="P18" s="12" t="n"/>
      <c r="Q18" s="12" t="n"/>
      <c r="R18" s="12" t="n"/>
      <c r="S18" s="12" t="n"/>
      <c r="T18" s="9" t="n"/>
    </row>
    <row r="19" ht="12.75" customHeight="1"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/>
    <row r="21"/>
    <row r="22"/>
    <row r="23"/>
    <row r="24"/>
    <row r="25"/>
    <row r="26"/>
    <row r="27"/>
    <row r="28"/>
    <row r="29"/>
    <row r="30"/>
    <row r="31"/>
    <row r="32">
      <c r="N32" s="567" t="n"/>
    </row>
    <row r="33" ht="15" customHeight="1">
      <c r="N33" s="568" t="n"/>
    </row>
  </sheetData>
  <mergeCells count="5">
    <mergeCell ref="N33:Z33"/>
    <mergeCell ref="N32:Z32"/>
    <mergeCell ref="N3:Z3"/>
    <mergeCell ref="N4:Z4"/>
    <mergeCell ref="N6:Z6"/>
  </mergeCells>
  <pageMargins left="0.7" right="0.7" top="0.75" bottom="0.75" header="0.3" footer="0.3"/>
  <pageSetup orientation="landscape" scale="89" fitToHeight="0"/>
  <headerFooter>
    <oddHeader/>
    <oddFooter>&amp;C&amp;"Arial,Regular"&amp;9 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8"/>
  <sheetViews>
    <sheetView showGridLines="1" tabSelected="1" view="normal" zoomScaleNormal="100" zoomScaleSheetLayoutView="100" workbookViewId="0">
      <selection activeCell="E40" sqref="E40"/>
    </sheetView>
  </sheetViews>
  <sheetFormatPr baseColWidth="8" defaultColWidth="9.140625" defaultRowHeight="13.5" customHeight="1"/>
  <cols>
    <col width="1.7109375" customWidth="1" style="13" min="1" max="2"/>
    <col width="31.42578125" customWidth="1" style="13" min="3" max="3"/>
    <col width="14.28515625" customWidth="1" style="13" min="4" max="4"/>
    <col width="21.7109375" bestFit="1" customWidth="1" style="13" min="5" max="5"/>
    <col width="1.7109375" customWidth="1" style="13" min="6" max="6"/>
    <col width="30.7109375" customWidth="1" style="13" min="7" max="7"/>
    <col width="15.7109375" customWidth="1" style="13" min="8" max="8"/>
    <col width="13.28515625" customWidth="1" style="13" min="9" max="10"/>
    <col width="1.7109375" customWidth="1" style="13" min="11" max="11"/>
    <col width="31.140625" customWidth="1" style="13" min="12" max="12"/>
    <col width="8.85546875" customWidth="1" style="13" min="13" max="13"/>
    <col width="11.5703125" bestFit="1" customWidth="1" style="13" min="14" max="14"/>
    <col width="10" customWidth="1" style="13" min="15" max="15"/>
    <col width="10.7109375" bestFit="1" customWidth="1" style="13" min="16" max="16"/>
    <col width="1.7109375" customWidth="1" style="13" min="17" max="17"/>
    <col width="15.7109375" customWidth="1" style="13" min="18" max="18"/>
    <col width="10.85546875" customWidth="1" style="13" min="19" max="19"/>
    <col width="13.28515625" customWidth="1" style="13" min="20" max="22"/>
    <col width="1.7109375" customWidth="1" style="13" min="23" max="23"/>
    <col width="9.140625" customWidth="1" style="13" min="24" max="24"/>
    <col width="18.28515625" customWidth="1" style="13" min="25" max="25"/>
    <col width="9.140625" customWidth="1" style="13" min="26" max="26"/>
    <col width="13.28515625" customWidth="1" style="13" min="27" max="28"/>
    <col width="9.140625" customWidth="1" style="13" min="29" max="16384"/>
  </cols>
  <sheetData>
    <row r="1"/>
    <row r="2" ht="15" customHeight="1">
      <c r="C2" s="243" t="n"/>
      <c r="E2" s="13" t="n"/>
      <c r="F2" s="243" t="n"/>
      <c r="G2" s="569" t="n"/>
      <c r="H2" s="569" t="n"/>
      <c r="I2" s="569" t="n"/>
      <c r="J2" s="569" t="n"/>
      <c r="K2" s="569" t="n"/>
      <c r="L2" s="243" t="n"/>
      <c r="M2" s="569" t="n"/>
      <c r="N2" s="569" t="n"/>
      <c r="O2" s="569" t="n"/>
      <c r="P2" s="243" t="n"/>
      <c r="Q2" s="243" t="n"/>
      <c r="R2" s="243" t="n"/>
      <c r="S2" s="243" t="n"/>
      <c r="T2" s="243" t="n"/>
      <c r="U2" s="243" t="n"/>
      <c r="V2" s="243" t="n"/>
    </row>
    <row r="3" ht="15.75" customHeight="1" thickBot="1">
      <c r="C3" s="570" t="inlineStr">
        <is>
          <t>Model Dashboard</t>
        </is>
      </c>
      <c r="D3" s="570" t="n"/>
      <c r="E3" s="570" t="n"/>
      <c r="F3" s="220" t="n"/>
      <c r="G3" s="570" t="n"/>
      <c r="H3" s="570" t="n"/>
      <c r="I3" s="570" t="n"/>
      <c r="J3" s="570" t="n"/>
      <c r="K3" s="570" t="n"/>
      <c r="L3" s="220" t="n"/>
      <c r="M3" s="570" t="n"/>
      <c r="N3" s="570" t="n"/>
      <c r="O3" s="570" t="n"/>
      <c r="P3" s="220" t="n"/>
      <c r="Q3" s="220" t="n"/>
      <c r="R3" s="220" t="n"/>
      <c r="S3" s="220" t="n"/>
      <c r="T3" s="220" t="n"/>
      <c r="U3" s="220" t="n"/>
      <c r="V3" s="220" t="n"/>
    </row>
    <row r="4" ht="13.5" customHeight="1" thickTop="1"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</row>
    <row r="5" ht="15.75" customHeight="1">
      <c r="C5" s="179" t="inlineStr">
        <is>
          <t>Assumptions</t>
        </is>
      </c>
      <c r="D5" s="179" t="n"/>
      <c r="E5" s="179" t="n"/>
      <c r="F5" s="179" t="n"/>
      <c r="G5" s="179" t="n"/>
      <c r="H5" s="179" t="n"/>
      <c r="I5" s="179" t="n"/>
      <c r="J5" s="179" t="n"/>
      <c r="K5" s="179" t="n"/>
      <c r="L5" s="179" t="n"/>
      <c r="M5" s="179" t="n"/>
      <c r="N5" s="179" t="n"/>
      <c r="O5" s="179" t="n"/>
      <c r="P5" s="179" t="n"/>
      <c r="Q5" s="179" t="n"/>
      <c r="R5" s="179" t="n"/>
      <c r="S5" s="179" t="n"/>
      <c r="T5" s="179" t="n"/>
      <c r="U5" s="179" t="n"/>
      <c r="V5" s="179" t="n"/>
    </row>
    <row r="6" ht="5.1" customHeight="1"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</row>
    <row r="7" ht="13.5" customHeight="1">
      <c r="C7" s="32" t="inlineStr">
        <is>
          <t>Transaction Summary</t>
        </is>
      </c>
      <c r="D7" s="14" t="n"/>
      <c r="E7" s="14" t="n"/>
      <c r="G7" s="32" t="inlineStr">
        <is>
          <t>Sources &amp; Uses</t>
        </is>
      </c>
      <c r="H7" s="32" t="n"/>
      <c r="I7" s="14" t="n"/>
      <c r="J7" s="14" t="n"/>
      <c r="L7" s="215" t="inlineStr">
        <is>
          <t>Operating Assumptions</t>
        </is>
      </c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Y7" s="215" t="inlineStr">
        <is>
          <t>Returns Summary</t>
        </is>
      </c>
      <c r="Z7" s="30" t="n"/>
      <c r="AA7" s="30" t="n"/>
      <c r="AB7" s="30" t="n"/>
    </row>
    <row r="8" ht="5.1" customHeight="1">
      <c r="C8" s="28" t="n"/>
      <c r="D8" s="28" t="n"/>
      <c r="E8" s="28" t="n"/>
      <c r="G8" s="13" t="n"/>
      <c r="H8" s="13" t="n"/>
      <c r="I8" s="13" t="n"/>
      <c r="J8" s="13" t="n"/>
    </row>
    <row r="9" ht="13.5" customHeight="1" thickBot="1">
      <c r="C9" s="21" t="inlineStr">
        <is>
          <t>Transaction Overview</t>
        </is>
      </c>
      <c r="D9" s="21" t="n"/>
      <c r="E9" s="563" t="n"/>
      <c r="G9" s="21" t="inlineStr">
        <is>
          <t>Sources</t>
        </is>
      </c>
      <c r="H9" s="21" t="n"/>
      <c r="I9" s="22" t="inlineStr">
        <is>
          <t>$</t>
        </is>
      </c>
      <c r="J9" s="22" t="inlineStr">
        <is>
          <t>%</t>
        </is>
      </c>
      <c r="L9" s="21" t="inlineStr">
        <is>
          <t>Broader Model General Assumptions</t>
        </is>
      </c>
      <c r="M9" s="21" t="n"/>
      <c r="N9" s="21" t="n"/>
      <c r="O9" s="21" t="n"/>
      <c r="P9" s="21" t="n"/>
      <c r="R9" s="21" t="inlineStr">
        <is>
          <t>Utility Expenses</t>
        </is>
      </c>
      <c r="S9" s="21" t="n"/>
      <c r="T9" s="21" t="n"/>
      <c r="U9" s="22" t="inlineStr">
        <is>
          <t>Cost / Unit</t>
        </is>
      </c>
      <c r="V9" s="22" t="inlineStr">
        <is>
          <t>Year 1 Cost</t>
        </is>
      </c>
      <c r="Y9" s="263" t="inlineStr">
        <is>
          <t>Return Summary (Gross)</t>
        </is>
      </c>
      <c r="Z9" s="264" t="n"/>
      <c r="AA9" s="264" t="n"/>
      <c r="AB9" s="265" t="n"/>
    </row>
    <row r="10" ht="13.5" customHeight="1">
      <c r="C10" s="13" t="inlineStr">
        <is>
          <t>Investment Name</t>
        </is>
      </c>
      <c r="E10" s="15" t="inlineStr">
        <is>
          <t>[…]</t>
        </is>
      </c>
      <c r="G10" s="13" t="inlineStr">
        <is>
          <t>Total Debt</t>
        </is>
      </c>
      <c r="I10" s="23">
        <f>+D49</f>
        <v/>
      </c>
      <c r="J10" s="24">
        <f>+I10/$I$12</f>
        <v/>
      </c>
      <c r="L10" s="13" t="inlineStr">
        <is>
          <t xml:space="preserve">Vacancy </t>
        </is>
      </c>
      <c r="P10" s="48" t="n">
        <v>0.05</v>
      </c>
      <c r="R10" s="13" t="inlineStr">
        <is>
          <t>Electric</t>
        </is>
      </c>
      <c r="U10" s="29">
        <f>+V10/$E$16</f>
        <v/>
      </c>
      <c r="V10" s="571" t="n"/>
      <c r="Y10" s="266" t="inlineStr">
        <is>
          <t>Scenario 1</t>
        </is>
      </c>
      <c r="Z10" s="267" t="n"/>
      <c r="AA10" s="267" t="n"/>
      <c r="AB10" s="268" t="n"/>
    </row>
    <row r="11" ht="13.5" customHeight="1">
      <c r="C11" s="13" t="inlineStr">
        <is>
          <t>Address</t>
        </is>
      </c>
      <c r="E11" s="15" t="inlineStr">
        <is>
          <t>[…]</t>
        </is>
      </c>
      <c r="G11" s="13" t="inlineStr">
        <is>
          <t>Total Equity</t>
        </is>
      </c>
      <c r="I11" s="23">
        <f>+I12-I10</f>
        <v/>
      </c>
      <c r="J11" s="24">
        <f>+I11/$I$12</f>
        <v/>
      </c>
      <c r="L11" s="13" t="inlineStr">
        <is>
          <t>Rent Increase</t>
        </is>
      </c>
      <c r="P11" s="48" t="n">
        <v>0.03</v>
      </c>
      <c r="R11" s="13" t="inlineStr">
        <is>
          <t>Electric - Vacant</t>
        </is>
      </c>
      <c r="U11" s="29">
        <f>+V11/$E$16</f>
        <v/>
      </c>
      <c r="V11" s="571" t="n"/>
      <c r="Y11" s="260" t="n"/>
      <c r="Z11" s="261" t="n"/>
      <c r="AA11" s="262" t="inlineStr">
        <is>
          <t>Unlevered</t>
        </is>
      </c>
      <c r="AB11" s="262" t="inlineStr">
        <is>
          <t>Levered</t>
        </is>
      </c>
    </row>
    <row r="12" ht="13.5" customHeight="1" thickBot="1">
      <c r="C12" s="13" t="inlineStr">
        <is>
          <t>City</t>
        </is>
      </c>
      <c r="E12" s="15" t="inlineStr">
        <is>
          <t>[…]</t>
        </is>
      </c>
      <c r="G12" s="25" t="inlineStr">
        <is>
          <t>Total Sources</t>
        </is>
      </c>
      <c r="H12" s="25" t="n"/>
      <c r="I12" s="26">
        <f>+I17</f>
        <v/>
      </c>
      <c r="J12" s="27">
        <f>SUM(J10:J11)</f>
        <v/>
      </c>
      <c r="L12" s="13" t="inlineStr">
        <is>
          <t>Utility Expense</t>
        </is>
      </c>
      <c r="P12" s="48" t="n">
        <v>0.03</v>
      </c>
      <c r="R12" s="13" t="inlineStr">
        <is>
          <t>Water &amp; Sewer</t>
        </is>
      </c>
      <c r="U12" s="29">
        <f>+V12/$E$16</f>
        <v/>
      </c>
      <c r="V12" s="571" t="n"/>
      <c r="Y12" s="269" t="inlineStr">
        <is>
          <t>IRR</t>
        </is>
      </c>
      <c r="Z12" s="270" t="n"/>
      <c r="AA12" s="275">
        <f>+'Scenario 1'!$E$122</f>
        <v/>
      </c>
      <c r="AB12" s="275">
        <f>+'Scenario 1'!$E$134</f>
        <v/>
      </c>
    </row>
    <row r="13" ht="13.5" customHeight="1" thickTop="1">
      <c r="C13" s="13" t="inlineStr">
        <is>
          <t>State</t>
        </is>
      </c>
      <c r="E13" s="15" t="inlineStr">
        <is>
          <t>[…]</t>
        </is>
      </c>
      <c r="L13" s="13" t="inlineStr">
        <is>
          <t>Move Outs Per Year</t>
        </is>
      </c>
      <c r="O13" s="54" t="n"/>
      <c r="P13" s="46">
        <f>+O13/E16</f>
        <v/>
      </c>
      <c r="R13" s="13" t="inlineStr">
        <is>
          <t>Gas</t>
        </is>
      </c>
      <c r="U13" s="29">
        <f>+V13/$E$16</f>
        <v/>
      </c>
      <c r="V13" s="571" t="n"/>
      <c r="Y13" s="269" t="inlineStr">
        <is>
          <t>MOIC</t>
        </is>
      </c>
      <c r="Z13" s="270" t="n"/>
      <c r="AA13" s="273">
        <f>+'Scenario 1'!$E$123</f>
        <v/>
      </c>
      <c r="AB13" s="273">
        <f>+'Scenario 1'!$E$135</f>
        <v/>
      </c>
    </row>
    <row r="14" ht="13.5" customHeight="1" thickBot="1">
      <c r="C14" s="13" t="inlineStr">
        <is>
          <t>Zipcode</t>
        </is>
      </c>
      <c r="E14" s="15" t="inlineStr">
        <is>
          <t>[…]</t>
        </is>
      </c>
      <c r="G14" s="21" t="inlineStr">
        <is>
          <t>Uses</t>
        </is>
      </c>
      <c r="H14" s="21" t="n"/>
      <c r="I14" s="22" t="inlineStr">
        <is>
          <t>$</t>
        </is>
      </c>
      <c r="J14" s="22" t="inlineStr">
        <is>
          <t>%</t>
        </is>
      </c>
      <c r="L14" s="13" t="inlineStr">
        <is>
          <t>Other Income</t>
        </is>
      </c>
      <c r="O14" s="54" t="n"/>
      <c r="P14" s="48" t="n">
        <v>0.025</v>
      </c>
      <c r="R14" s="13" t="inlineStr">
        <is>
          <t>Cable</t>
        </is>
      </c>
      <c r="U14" s="29">
        <f>+V14/$E$16</f>
        <v/>
      </c>
      <c r="V14" s="571" t="n"/>
      <c r="Y14" s="271" t="inlineStr">
        <is>
          <t>Profit ($m)</t>
        </is>
      </c>
      <c r="Z14" s="272" t="n"/>
      <c r="AA14" s="274">
        <f>+('Scenario 1'!$J$119+'Scenario 1'!$E$119)/1000000</f>
        <v/>
      </c>
      <c r="AB14" s="274">
        <f>+('Scenario 1'!$J$131+'Scenario 1'!$E$131)/1000000</f>
        <v/>
      </c>
    </row>
    <row r="15" ht="13.5" customHeight="1">
      <c r="C15" s="13" t="inlineStr">
        <is>
          <t>Property Type</t>
        </is>
      </c>
      <c r="E15" s="15" t="inlineStr">
        <is>
          <t>[…]</t>
        </is>
      </c>
      <c r="G15" s="13" t="inlineStr">
        <is>
          <t>Purchase Price</t>
        </is>
      </c>
      <c r="I15" s="17">
        <f>+E32</f>
        <v/>
      </c>
      <c r="J15" s="24">
        <f>+I15/$I$17</f>
        <v/>
      </c>
      <c r="L15" s="13" t="inlineStr">
        <is>
          <t>Inflation Increase</t>
        </is>
      </c>
      <c r="P15" s="48" t="n">
        <v>0.03</v>
      </c>
      <c r="R15" s="13" t="inlineStr">
        <is>
          <t>Trash/Garbage</t>
        </is>
      </c>
      <c r="U15" s="29">
        <f>+V15/$E$16</f>
        <v/>
      </c>
      <c r="V15" s="571" t="n"/>
    </row>
    <row r="16" ht="13.5" customHeight="1">
      <c r="C16" s="13" t="inlineStr">
        <is>
          <t>Units</t>
        </is>
      </c>
      <c r="E16" s="18" t="n">
        <v>72</v>
      </c>
      <c r="G16" s="13" t="inlineStr">
        <is>
          <t>Closing and Financing Costs</t>
        </is>
      </c>
      <c r="I16" s="23">
        <f>+SUM(E34:E40)</f>
        <v/>
      </c>
      <c r="J16" s="24">
        <f>+I16/$I$17</f>
        <v/>
      </c>
      <c r="L16" s="13" t="inlineStr">
        <is>
          <t>Insurance Increase</t>
        </is>
      </c>
      <c r="O16" s="20" t="n"/>
      <c r="P16" s="48" t="n">
        <v>0.2</v>
      </c>
      <c r="Y16" s="263" t="inlineStr">
        <is>
          <t>Return Summary (Gross)</t>
        </is>
      </c>
      <c r="Z16" s="264" t="n"/>
      <c r="AA16" s="264" t="n"/>
      <c r="AB16" s="265" t="n"/>
    </row>
    <row r="17" ht="13.5" customHeight="1" thickBot="1">
      <c r="C17" s="13" t="inlineStr">
        <is>
          <t>Buildings</t>
        </is>
      </c>
      <c r="E17" s="15" t="inlineStr">
        <is>
          <t>[…]</t>
        </is>
      </c>
      <c r="G17" s="25" t="inlineStr">
        <is>
          <t>Total Uses</t>
        </is>
      </c>
      <c r="H17" s="25" t="n"/>
      <c r="I17" s="26">
        <f>SUM(I15:I16)</f>
        <v/>
      </c>
      <c r="J17" s="27">
        <f>SUM(J15:J16)</f>
        <v/>
      </c>
      <c r="Y17" s="266" t="inlineStr">
        <is>
          <t>Scenario 2</t>
        </is>
      </c>
      <c r="Z17" s="267" t="n"/>
      <c r="AA17" s="267" t="n"/>
      <c r="AB17" s="268" t="n"/>
    </row>
    <row r="18" ht="13.5" customHeight="1" thickTop="1">
      <c r="C18" s="13" t="inlineStr">
        <is>
          <t>Year Built</t>
        </is>
      </c>
      <c r="E18" s="15" t="inlineStr">
        <is>
          <t>[…]</t>
        </is>
      </c>
      <c r="Y18" s="260" t="n"/>
      <c r="Z18" s="261" t="n"/>
      <c r="AA18" s="262" t="inlineStr">
        <is>
          <t>Unlevered</t>
        </is>
      </c>
      <c r="AB18" s="262" t="inlineStr">
        <is>
          <t>Levered</t>
        </is>
      </c>
    </row>
    <row r="19" ht="13.5" customHeight="1" thickBot="1">
      <c r="C19" s="13" t="inlineStr">
        <is>
          <t>Initial TCCP End Date</t>
        </is>
      </c>
      <c r="E19" s="15" t="inlineStr">
        <is>
          <t>[…]</t>
        </is>
      </c>
      <c r="G19" s="32" t="inlineStr">
        <is>
          <t>Deal Scenario Summary and Stats</t>
        </is>
      </c>
      <c r="H19" s="32" t="n"/>
      <c r="I19" s="14" t="n"/>
      <c r="J19" s="14" t="n"/>
      <c r="L19" s="21" t="inlineStr">
        <is>
          <t>Admin Expenses</t>
        </is>
      </c>
      <c r="M19" s="21" t="n"/>
      <c r="N19" s="22" t="inlineStr">
        <is>
          <t>Growth Rate</t>
        </is>
      </c>
      <c r="O19" s="22" t="inlineStr">
        <is>
          <t>Cost / Unit</t>
        </is>
      </c>
      <c r="P19" s="22" t="inlineStr">
        <is>
          <t>Yr. 1 Cost</t>
        </is>
      </c>
      <c r="R19" s="21" t="inlineStr">
        <is>
          <t>Operating &amp; Maint.</t>
        </is>
      </c>
      <c r="S19" s="21" t="n"/>
      <c r="T19" s="21" t="n"/>
      <c r="U19" s="22" t="inlineStr">
        <is>
          <t>Cost / Unit</t>
        </is>
      </c>
      <c r="V19" s="22" t="inlineStr">
        <is>
          <t>Year 1 Cost</t>
        </is>
      </c>
      <c r="Y19" s="269" t="inlineStr">
        <is>
          <t>IRR</t>
        </is>
      </c>
      <c r="Z19" s="270" t="n"/>
      <c r="AA19" s="275">
        <f>+'Scenario 2'!$E$122</f>
        <v/>
      </c>
      <c r="AB19" s="275">
        <f>+'Scenario 2'!$E$134</f>
        <v/>
      </c>
    </row>
    <row r="20" ht="13.5" customHeight="1" thickBot="1">
      <c r="C20" s="13" t="inlineStr">
        <is>
          <t>Final Year of LIHTC Restrictions</t>
        </is>
      </c>
      <c r="E20" s="15" t="inlineStr">
        <is>
          <t>[…]</t>
        </is>
      </c>
      <c r="G20" s="21" t="inlineStr">
        <is>
          <t>Unit Occupancy Statistics</t>
        </is>
      </c>
      <c r="H20" s="21" t="n"/>
      <c r="I20" s="22" t="inlineStr">
        <is>
          <t># of Units</t>
        </is>
      </c>
      <c r="J20" s="22" t="inlineStr">
        <is>
          <t>%</t>
        </is>
      </c>
      <c r="L20" s="13" t="inlineStr">
        <is>
          <t>Bad Debt Expense</t>
        </is>
      </c>
      <c r="N20" s="48" t="n">
        <v>0.015</v>
      </c>
      <c r="O20" s="29">
        <f>+P20/E16</f>
        <v/>
      </c>
      <c r="P20" s="571" t="n"/>
      <c r="R20" s="13" t="inlineStr">
        <is>
          <t>In-House R&amp;M (per unit)</t>
        </is>
      </c>
      <c r="U20" s="50" t="n">
        <v>0</v>
      </c>
      <c r="V20" s="29">
        <f>+U20*E16</f>
        <v/>
      </c>
      <c r="Y20" s="269" t="inlineStr">
        <is>
          <t>MOIC</t>
        </is>
      </c>
      <c r="Z20" s="270" t="n"/>
      <c r="AA20" s="273">
        <f>+'Scenario 2'!$E$123</f>
        <v/>
      </c>
      <c r="AB20" s="273">
        <f>+'Scenario 2'!$E$135</f>
        <v/>
      </c>
    </row>
    <row r="21" ht="13.5" customHeight="1">
      <c r="C21" s="13" t="inlineStr">
        <is>
          <t>Total Rentable SF</t>
        </is>
      </c>
      <c r="E21" s="572">
        <f>+'Rent Roll'!N4</f>
        <v/>
      </c>
      <c r="G21" s="13" t="inlineStr">
        <is>
          <t>Occupied Units</t>
        </is>
      </c>
      <c r="I21" s="63">
        <f>'Rent Roll'!C4</f>
        <v/>
      </c>
      <c r="J21" s="62">
        <f>+J23-J22</f>
        <v/>
      </c>
      <c r="L21" s="13" t="inlineStr">
        <is>
          <t>Replacement Reserves (cost per unit)</t>
        </is>
      </c>
      <c r="N21" s="48" t="n">
        <v>0</v>
      </c>
      <c r="O21" s="571" t="n">
        <v>300</v>
      </c>
      <c r="P21" s="29">
        <f>+O21*E16</f>
        <v/>
      </c>
      <c r="R21" s="13" t="inlineStr">
        <is>
          <t>Turnover (assumed cost per move out)</t>
        </is>
      </c>
      <c r="U21" s="50" t="n">
        <v>700</v>
      </c>
      <c r="V21" s="29">
        <f>+U21*O13</f>
        <v/>
      </c>
      <c r="Y21" s="271" t="inlineStr">
        <is>
          <t>Profit ($m)</t>
        </is>
      </c>
      <c r="Z21" s="272" t="n"/>
      <c r="AA21" s="274">
        <f>+('Scenario 2'!$J$119+'Scenario 2'!$E$119)/1000000</f>
        <v/>
      </c>
      <c r="AB21" s="274">
        <f>+('Scenario 2'!$J$131+'Scenario 2'!$E$131)/1000000</f>
        <v/>
      </c>
    </row>
    <row r="22" ht="13.5" customHeight="1">
      <c r="C22" s="13" t="inlineStr">
        <is>
          <t>SF / Unit</t>
        </is>
      </c>
      <c r="E22" s="573">
        <f>+E21/E16</f>
        <v/>
      </c>
      <c r="G22" s="13" t="inlineStr">
        <is>
          <t>Vacant Units</t>
        </is>
      </c>
      <c r="I22" s="63">
        <f>'Rent Roll'!C5</f>
        <v/>
      </c>
      <c r="J22" s="62">
        <f>I22/I23</f>
        <v/>
      </c>
      <c r="L22" s="13" t="inlineStr">
        <is>
          <t>Compliance Fee</t>
        </is>
      </c>
      <c r="N22" s="48" t="n">
        <v>0</v>
      </c>
      <c r="O22" s="29" t="n">
        <v>0</v>
      </c>
      <c r="P22" s="571" t="n">
        <v>0</v>
      </c>
      <c r="R22" s="13" t="inlineStr">
        <is>
          <t>Supplies</t>
        </is>
      </c>
      <c r="U22" s="29">
        <f>+V22/$E$16</f>
        <v/>
      </c>
      <c r="V22" s="29">
        <f>+(V23*P13)+(V24*E16)*V25</f>
        <v/>
      </c>
    </row>
    <row r="23" ht="13.5" customHeight="1">
      <c r="C23" s="13" t="inlineStr">
        <is>
          <t>Total Cost / SF</t>
        </is>
      </c>
      <c r="E23" s="57">
        <f>+I17/E21</f>
        <v/>
      </c>
      <c r="G23" s="33" t="inlineStr">
        <is>
          <t>Total Units</t>
        </is>
      </c>
      <c r="H23" s="33" t="n"/>
      <c r="I23" s="33">
        <f>+E16</f>
        <v/>
      </c>
      <c r="J23" s="61">
        <f>+I23/$I$23</f>
        <v/>
      </c>
      <c r="L23" s="13" t="inlineStr">
        <is>
          <t>COVID Late fee (years 1-2)</t>
        </is>
      </c>
      <c r="P23" s="571" t="n">
        <v>0</v>
      </c>
      <c r="R23" s="47" t="inlineStr">
        <is>
          <t xml:space="preserve">Turnover Supplies / Year </t>
        </is>
      </c>
      <c r="U23" s="29" t="n"/>
      <c r="V23" s="52" t="n">
        <v>3600</v>
      </c>
      <c r="Y23" s="263" t="inlineStr">
        <is>
          <t>Return Summary (Gross)</t>
        </is>
      </c>
      <c r="Z23" s="264" t="n"/>
      <c r="AA23" s="264" t="n"/>
      <c r="AB23" s="265" t="n"/>
    </row>
    <row r="24" ht="13.5" customHeight="1">
      <c r="C24" s="13" t="inlineStr">
        <is>
          <t>Total Cost / Unit</t>
        </is>
      </c>
      <c r="E24" s="57">
        <f>+E22*E23</f>
        <v/>
      </c>
      <c r="R24" s="47" t="inlineStr">
        <is>
          <t>Supplies / Unit / Year</t>
        </is>
      </c>
      <c r="U24" s="29" t="n"/>
      <c r="V24" s="52" t="n">
        <v>150</v>
      </c>
      <c r="Y24" s="266" t="inlineStr">
        <is>
          <t>Scenario 3</t>
        </is>
      </c>
      <c r="Z24" s="267" t="n"/>
      <c r="AA24" s="267" t="n"/>
      <c r="AB24" s="268" t="n"/>
    </row>
    <row r="25" ht="13.5" customHeight="1" thickBot="1">
      <c r="C25" s="13" t="inlineStr">
        <is>
          <t>TTM Occupancy (insert month / year)</t>
        </is>
      </c>
      <c r="E25" s="15" t="inlineStr">
        <is>
          <t>[…]</t>
        </is>
      </c>
      <c r="G25" s="21">
        <f>'Rent Roll'!$J$3</f>
        <v/>
      </c>
      <c r="H25" s="21" t="n"/>
      <c r="I25" s="22" t="inlineStr">
        <is>
          <t># of Units</t>
        </is>
      </c>
      <c r="J25" s="22" t="inlineStr">
        <is>
          <t>%</t>
        </is>
      </c>
      <c r="L25" s="21" t="inlineStr">
        <is>
          <t>Employee Work Schedule Assumptions</t>
        </is>
      </c>
      <c r="M25" s="21" t="n"/>
      <c r="N25" s="22" t="n"/>
      <c r="O25" s="22" t="n"/>
      <c r="P25" s="22" t="n"/>
      <c r="R25" s="47" t="inlineStr">
        <is>
          <t>Supplies Overage Multiplier</t>
        </is>
      </c>
      <c r="U25" s="29" t="n"/>
      <c r="V25" s="574" t="n">
        <v>1.2</v>
      </c>
      <c r="Y25" s="260" t="n"/>
      <c r="Z25" s="261" t="n"/>
      <c r="AA25" s="262" t="inlineStr">
        <is>
          <t>Unlevered</t>
        </is>
      </c>
      <c r="AB25" s="262" t="inlineStr">
        <is>
          <t>Levered</t>
        </is>
      </c>
    </row>
    <row r="26" ht="13.5" customHeight="1">
      <c r="C26" s="13" t="inlineStr">
        <is>
          <t>TTM NOI (insert month / year)</t>
        </is>
      </c>
      <c r="E26" s="15" t="inlineStr">
        <is>
          <t>[…]</t>
        </is>
      </c>
      <c r="G26" s="35">
        <f>'Rent Roll'!J4</f>
        <v/>
      </c>
      <c r="H26" s="35" t="n"/>
      <c r="I26" s="35">
        <f>'Rent Roll'!K4</f>
        <v/>
      </c>
      <c r="J26" s="62">
        <f>+I26/$I$31</f>
        <v/>
      </c>
      <c r="L26" s="13" t="inlineStr">
        <is>
          <t>Hours per Week</t>
        </is>
      </c>
      <c r="P26" s="575" t="n">
        <v>40</v>
      </c>
      <c r="R26" s="13" t="inlineStr">
        <is>
          <t>Appliance/Electrical</t>
        </is>
      </c>
      <c r="U26" s="50" t="n">
        <v>175</v>
      </c>
      <c r="V26" s="29">
        <f>+(E16/6)*U26</f>
        <v/>
      </c>
      <c r="Y26" s="269" t="inlineStr">
        <is>
          <t>IRR</t>
        </is>
      </c>
      <c r="Z26" s="270" t="n"/>
      <c r="AA26" s="275">
        <f>+'Scenario 3'!$E$122</f>
        <v/>
      </c>
      <c r="AB26" s="275">
        <f>+'Scenario 3'!$E$134</f>
        <v/>
      </c>
    </row>
    <row r="27" ht="13.5" customHeight="1">
      <c r="E27" s="18" t="n"/>
      <c r="G27" s="35">
        <f>'Rent Roll'!J5</f>
        <v/>
      </c>
      <c r="H27" s="35" t="n"/>
      <c r="I27" s="35">
        <f>'Rent Roll'!K5</f>
        <v/>
      </c>
      <c r="J27" s="62">
        <f>+I27/$I$31</f>
        <v/>
      </c>
      <c r="L27" s="13" t="inlineStr">
        <is>
          <t>Weeks per Year</t>
        </is>
      </c>
      <c r="P27" s="576" t="n">
        <v>52</v>
      </c>
      <c r="R27" s="13" t="inlineStr">
        <is>
          <t>HVAC &amp; Plumbing</t>
        </is>
      </c>
      <c r="U27" s="29">
        <f>+V27/$E$16</f>
        <v/>
      </c>
      <c r="V27" s="50" t="n">
        <v>0</v>
      </c>
      <c r="Y27" s="269" t="inlineStr">
        <is>
          <t>MOIC</t>
        </is>
      </c>
      <c r="Z27" s="270" t="n"/>
      <c r="AA27" s="273">
        <f>+'Scenario 3'!$E$123</f>
        <v/>
      </c>
      <c r="AB27" s="273">
        <f>+'Scenario 3'!$E$135</f>
        <v/>
      </c>
    </row>
    <row r="28" ht="13.5" customHeight="1" thickBot="1">
      <c r="C28" s="21" t="inlineStr">
        <is>
          <t>Transaction Assumptions and Statistics</t>
        </is>
      </c>
      <c r="D28" s="21" t="n"/>
      <c r="E28" s="22" t="inlineStr">
        <is>
          <t>Total Cost</t>
        </is>
      </c>
      <c r="G28" s="35">
        <f>'Rent Roll'!J6</f>
        <v/>
      </c>
      <c r="H28" s="35" t="n"/>
      <c r="I28" s="35">
        <f>'Rent Roll'!K6</f>
        <v/>
      </c>
      <c r="J28" s="62">
        <f>+I28/$I$31</f>
        <v/>
      </c>
      <c r="R28" s="13" t="inlineStr">
        <is>
          <t>Rent Concessions</t>
        </is>
      </c>
      <c r="U28" s="50" t="n">
        <v>0</v>
      </c>
      <c r="V28" s="29">
        <f>+U28*$E$16</f>
        <v/>
      </c>
      <c r="Y28" s="271" t="inlineStr">
        <is>
          <t>Profit ($m)</t>
        </is>
      </c>
      <c r="Z28" s="272" t="n"/>
      <c r="AA28" s="274">
        <f>+('Scenario 3'!$J$119+'Scenario 3'!$E$119)/1000000</f>
        <v/>
      </c>
      <c r="AB28" s="274">
        <f>+('Scenario 3'!$J$131+'Scenario 3'!$E$131)/1000000</f>
        <v/>
      </c>
    </row>
    <row r="29" ht="13.5" customHeight="1">
      <c r="C29" s="13" t="inlineStr">
        <is>
          <t>Asking Price</t>
        </is>
      </c>
      <c r="E29" s="50" t="n">
        <v>4300000</v>
      </c>
      <c r="G29" s="35">
        <f>'Rent Roll'!J7</f>
        <v/>
      </c>
      <c r="H29" s="35" t="n"/>
      <c r="I29" s="35">
        <f>'Rent Roll'!K7</f>
        <v/>
      </c>
      <c r="J29" s="62">
        <f>+I29/$I$31</f>
        <v/>
      </c>
    </row>
    <row r="30" ht="13.5" customHeight="1" thickBot="1">
      <c r="C30" s="43" t="inlineStr">
        <is>
          <t>Asking Cap Rate (Year 0)</t>
        </is>
      </c>
      <c r="E30" s="216">
        <f>+'Scenario 0'!E89/Dashboard!E29</f>
        <v/>
      </c>
      <c r="G30" s="35">
        <f>'Rent Roll'!J8</f>
        <v/>
      </c>
      <c r="H30" s="35" t="n"/>
      <c r="I30" s="35">
        <f>'Rent Roll'!K8</f>
        <v/>
      </c>
      <c r="J30" s="62">
        <f>+I30/$I$31</f>
        <v/>
      </c>
      <c r="L30" s="21" t="inlineStr">
        <is>
          <t>Employee Work Schedule Expenses</t>
        </is>
      </c>
      <c r="M30" s="22" t="inlineStr">
        <is>
          <t>Include?</t>
        </is>
      </c>
      <c r="N30" s="22" t="inlineStr">
        <is>
          <t>Hourly</t>
        </is>
      </c>
      <c r="O30" s="22" t="inlineStr">
        <is>
          <t>Monthly</t>
        </is>
      </c>
      <c r="P30" s="22" t="inlineStr">
        <is>
          <t>Yearly</t>
        </is>
      </c>
      <c r="R30" s="21" t="inlineStr">
        <is>
          <t>Contract Expenses</t>
        </is>
      </c>
      <c r="S30" s="21" t="n"/>
      <c r="T30" s="21" t="n"/>
      <c r="U30" s="21" t="n"/>
      <c r="V30" s="22" t="inlineStr">
        <is>
          <t>Total $</t>
        </is>
      </c>
    </row>
    <row r="31" ht="13.5" customHeight="1">
      <c r="C31" s="43" t="inlineStr">
        <is>
          <t>Cost Per Unit (Asking Price)</t>
        </is>
      </c>
      <c r="E31" s="58">
        <f>+E29/E16</f>
        <v/>
      </c>
      <c r="G31" s="33" t="inlineStr">
        <is>
          <t>Total Units</t>
        </is>
      </c>
      <c r="H31" s="33" t="n"/>
      <c r="I31" s="64">
        <f>SUM(I26:I30)</f>
        <v/>
      </c>
      <c r="J31" s="61">
        <f>SUM(J26:J30)</f>
        <v/>
      </c>
      <c r="L31" s="13" t="inlineStr">
        <is>
          <t>Regional Manager Salary</t>
        </is>
      </c>
      <c r="M31" s="51" t="inlineStr">
        <is>
          <t>Yes</t>
        </is>
      </c>
      <c r="N31" s="542">
        <f>+P31/P26/P27</f>
        <v/>
      </c>
      <c r="O31" s="50" t="n">
        <v>1200</v>
      </c>
      <c r="P31" s="29">
        <f>++IF(M31="Yes",O31*12,0)</f>
        <v/>
      </c>
      <c r="R31" s="13" t="inlineStr">
        <is>
          <t>Landscaping/Grounds Contract</t>
        </is>
      </c>
      <c r="T31" s="19" t="n"/>
      <c r="U31" s="19" t="n"/>
      <c r="V31" s="50" t="n"/>
    </row>
    <row r="32" ht="13.5" customHeight="1">
      <c r="C32" s="13" t="inlineStr">
        <is>
          <t>Purchase Price</t>
        </is>
      </c>
      <c r="E32" s="93">
        <f>E29</f>
        <v/>
      </c>
      <c r="G32" s="28" t="n"/>
      <c r="H32" s="28" t="n"/>
      <c r="I32" s="561" t="n"/>
      <c r="J32" s="562" t="n"/>
      <c r="L32" s="13" t="inlineStr">
        <is>
          <t>Property Manager Salary</t>
        </is>
      </c>
      <c r="M32" s="51" t="inlineStr">
        <is>
          <t>Yes</t>
        </is>
      </c>
      <c r="N32" s="50" t="n">
        <v>27</v>
      </c>
      <c r="O32" s="29">
        <f>+P32/12</f>
        <v/>
      </c>
      <c r="P32" s="29">
        <f>+IF(M32="Yes",N32*$P$26*$P$27,0)</f>
        <v/>
      </c>
      <c r="R32" s="13" t="inlineStr">
        <is>
          <t>Fire &amp; Safety System</t>
        </is>
      </c>
      <c r="V32" s="50" t="n"/>
    </row>
    <row r="33" ht="13.5" customHeight="1" thickBot="1">
      <c r="C33" s="43" t="inlineStr">
        <is>
          <t>Cost Per Unit (Purchase Price)</t>
        </is>
      </c>
      <c r="E33" s="59">
        <f>+E32/$E$16</f>
        <v/>
      </c>
      <c r="G33" s="21">
        <f>'Rent Roll'!$F$3</f>
        <v/>
      </c>
      <c r="H33" s="21" t="n"/>
      <c r="I33" s="22" t="inlineStr">
        <is>
          <t># of Units</t>
        </is>
      </c>
      <c r="J33" s="22" t="inlineStr">
        <is>
          <t>%</t>
        </is>
      </c>
      <c r="L33" s="13" t="inlineStr">
        <is>
          <t>Assistant Property Manager Salary</t>
        </is>
      </c>
      <c r="M33" s="51" t="inlineStr">
        <is>
          <t>No</t>
        </is>
      </c>
      <c r="N33" s="50" t="n">
        <v>20</v>
      </c>
      <c r="O33" s="29">
        <f>+P33/12</f>
        <v/>
      </c>
      <c r="P33" s="29">
        <f>+IF(M33="Yes",N33*$P$26*$P$27,0)</f>
        <v/>
      </c>
      <c r="R33" s="13" t="inlineStr">
        <is>
          <t>Security</t>
        </is>
      </c>
      <c r="V33" s="50" t="n"/>
    </row>
    <row r="34" ht="13.5" customHeight="1">
      <c r="C34" s="13" t="inlineStr">
        <is>
          <t>Closing Costs</t>
        </is>
      </c>
      <c r="D34" s="48" t="n">
        <v>0.02</v>
      </c>
      <c r="E34" s="17">
        <f>+$D$34*$E$32</f>
        <v/>
      </c>
      <c r="G34" s="35">
        <f>'Rent Roll'!F4</f>
        <v/>
      </c>
      <c r="H34" s="35" t="n"/>
      <c r="I34" s="35">
        <f>'Rent Roll'!G4</f>
        <v/>
      </c>
      <c r="J34" s="62">
        <f>+I34/$I$31</f>
        <v/>
      </c>
      <c r="L34" s="13" t="inlineStr">
        <is>
          <t>Commissions / Bonuses</t>
        </is>
      </c>
      <c r="M34" s="51" t="inlineStr">
        <is>
          <t>No</t>
        </is>
      </c>
      <c r="N34" s="50" t="n">
        <v>0</v>
      </c>
      <c r="O34" s="29">
        <f>+P34/12</f>
        <v/>
      </c>
      <c r="P34" s="29">
        <f>+IF(M34="Yes",N34*$P$26*$P$27,0)</f>
        <v/>
      </c>
      <c r="R34" s="13" t="inlineStr">
        <is>
          <t>Pest Control</t>
        </is>
      </c>
      <c r="V34" s="50" t="n"/>
    </row>
    <row r="35" ht="13.5" customHeight="1">
      <c r="C35" s="13" t="inlineStr">
        <is>
          <t>Broker Fees</t>
        </is>
      </c>
      <c r="D35" s="48" t="n">
        <v>0</v>
      </c>
      <c r="E35" s="29">
        <f>+E32*D35</f>
        <v/>
      </c>
      <c r="G35" s="35">
        <f>'Rent Roll'!F5</f>
        <v/>
      </c>
      <c r="H35" s="35" t="n"/>
      <c r="I35" s="35">
        <f>'Rent Roll'!G5</f>
        <v/>
      </c>
      <c r="J35" s="62">
        <f>+I35/$I$31</f>
        <v/>
      </c>
      <c r="L35" s="13" t="inlineStr">
        <is>
          <t>Maintenance Salary</t>
        </is>
      </c>
      <c r="M35" s="51" t="inlineStr">
        <is>
          <t>Yes</t>
        </is>
      </c>
      <c r="N35" s="50" t="n">
        <v>27</v>
      </c>
      <c r="O35" s="29">
        <f>+P35/12</f>
        <v/>
      </c>
      <c r="P35" s="29">
        <f>+IF(M35="Yes",N35*$P$26*$P$27,0)</f>
        <v/>
      </c>
      <c r="R35" s="13" t="inlineStr">
        <is>
          <t>Misc. Contracts</t>
        </is>
      </c>
      <c r="V35" s="50" t="n"/>
    </row>
    <row r="36" ht="13.5" customHeight="1">
      <c r="C36" s="13" t="inlineStr">
        <is>
          <t>Rehabilitation Costs</t>
        </is>
      </c>
      <c r="D36" s="577" t="n">
        <v>1000</v>
      </c>
      <c r="E36" s="29">
        <f>+D36*E16</f>
        <v/>
      </c>
      <c r="G36" s="35">
        <f>'Rent Roll'!F6</f>
        <v/>
      </c>
      <c r="H36" s="35" t="n"/>
      <c r="I36" s="35">
        <f>'Rent Roll'!G6</f>
        <v/>
      </c>
      <c r="J36" s="62">
        <f>+I36/$I$31</f>
        <v/>
      </c>
      <c r="L36" s="13" t="inlineStr">
        <is>
          <t>Maintenance Assistant Salary</t>
        </is>
      </c>
      <c r="M36" s="51" t="inlineStr">
        <is>
          <t>No</t>
        </is>
      </c>
      <c r="N36" s="50" t="n">
        <v>0</v>
      </c>
      <c r="O36" s="29">
        <f>+P36/12</f>
        <v/>
      </c>
      <c r="P36" s="29">
        <f>+IF(M36="Yes",N36*$P$26*$P$27,0)</f>
        <v/>
      </c>
      <c r="R36" s="13" t="inlineStr">
        <is>
          <t>Elevator Costs</t>
        </is>
      </c>
      <c r="V36" s="50" t="n"/>
    </row>
    <row r="37" ht="13.5" customHeight="1">
      <c r="C37" s="13" t="inlineStr">
        <is>
          <t>Legal Fees</t>
        </is>
      </c>
      <c r="E37" s="50" t="n">
        <v>35000</v>
      </c>
      <c r="G37" s="35">
        <f>'Rent Roll'!F7</f>
        <v/>
      </c>
      <c r="H37" s="35" t="n"/>
      <c r="I37" s="35">
        <f>'Rent Roll'!G7</f>
        <v/>
      </c>
      <c r="J37" s="62">
        <f>+I37/$I$31</f>
        <v/>
      </c>
      <c r="L37" s="13" t="inlineStr">
        <is>
          <t>Labor Increase %</t>
        </is>
      </c>
      <c r="N37" s="48" t="n">
        <v>0.03</v>
      </c>
      <c r="R37" s="13" t="inlineStr">
        <is>
          <t>Snow</t>
        </is>
      </c>
      <c r="V37" s="50" t="n"/>
    </row>
    <row r="38" ht="13.5" customHeight="1">
      <c r="C38" s="13" t="inlineStr">
        <is>
          <t>Developer Fees</t>
        </is>
      </c>
      <c r="E38" s="50" t="n">
        <v>100000</v>
      </c>
      <c r="G38" s="35">
        <f>'Rent Roll'!F8</f>
        <v/>
      </c>
      <c r="H38" s="35" t="n"/>
      <c r="I38" s="35">
        <f>'Rent Roll'!G8</f>
        <v/>
      </c>
      <c r="J38" s="62">
        <f>+I38/$I$31</f>
        <v/>
      </c>
      <c r="R38" s="13" t="inlineStr">
        <is>
          <t>Misc. Operating &amp; Maint.</t>
        </is>
      </c>
      <c r="V38" s="50" t="n"/>
    </row>
    <row r="39" ht="13.5" customHeight="1">
      <c r="C39" s="13" t="inlineStr">
        <is>
          <t>Due Diligence Fees</t>
        </is>
      </c>
      <c r="E39" s="50" t="n">
        <v>25000</v>
      </c>
      <c r="G39" s="35">
        <f>'Rent Roll'!F9</f>
        <v/>
      </c>
      <c r="H39" s="35" t="n"/>
      <c r="I39" s="35">
        <f>'Rent Roll'!G9</f>
        <v/>
      </c>
      <c r="J39" s="62">
        <f>+I39/$I$31</f>
        <v/>
      </c>
    </row>
    <row r="40" ht="13.5" customHeight="1" thickBot="1">
      <c r="C40" s="13" t="inlineStr">
        <is>
          <t>Taxes / Title Insurance</t>
        </is>
      </c>
      <c r="E40" s="50" t="n">
        <v>0</v>
      </c>
      <c r="G40" s="33" t="inlineStr">
        <is>
          <t>Total Units</t>
        </is>
      </c>
      <c r="H40" s="33" t="n"/>
      <c r="I40" s="64">
        <f>SUM(I34:I39)</f>
        <v/>
      </c>
      <c r="J40" s="61">
        <f>SUM(J34:J39)</f>
        <v/>
      </c>
      <c r="L40" s="21" t="inlineStr">
        <is>
          <t>Admin Expenses</t>
        </is>
      </c>
      <c r="M40" s="21" t="n"/>
      <c r="N40" s="21" t="n"/>
      <c r="O40" s="22" t="inlineStr">
        <is>
          <t>Cost / Unit</t>
        </is>
      </c>
      <c r="P40" s="22" t="inlineStr">
        <is>
          <t>Yr. 1 Cost</t>
        </is>
      </c>
      <c r="R40" s="21" t="inlineStr">
        <is>
          <t>Real Estate Taxes and Insurance</t>
        </is>
      </c>
      <c r="S40" s="21" t="n"/>
      <c r="T40" s="21" t="n"/>
      <c r="U40" s="21" t="n"/>
      <c r="V40" s="22" t="inlineStr">
        <is>
          <t>Total $</t>
        </is>
      </c>
    </row>
    <row r="41" ht="13.5" customHeight="1">
      <c r="G41" s="28" t="n"/>
      <c r="H41" s="28" t="n"/>
      <c r="I41" s="561" t="n"/>
      <c r="J41" s="562" t="n"/>
      <c r="L41" s="13" t="inlineStr">
        <is>
          <t>Management Fee (% of Net Rental Income)</t>
        </is>
      </c>
      <c r="O41" s="29" t="n"/>
      <c r="P41" s="48" t="n">
        <v>0.05</v>
      </c>
      <c r="R41" s="13" t="inlineStr">
        <is>
          <t xml:space="preserve">Market Value </t>
        </is>
      </c>
      <c r="U41" s="48" t="n"/>
      <c r="V41" s="29">
        <f>+E32*U41</f>
        <v/>
      </c>
    </row>
    <row r="42" ht="13.5" customHeight="1" thickBot="1">
      <c r="C42" s="21" t="inlineStr">
        <is>
          <t>GP / LP Initial Equity Investment</t>
        </is>
      </c>
      <c r="D42" s="21" t="n"/>
      <c r="E42" s="21" t="n"/>
      <c r="G42" s="21" t="inlineStr">
        <is>
          <t>Additional Unit Statistics</t>
        </is>
      </c>
      <c r="H42" s="21" t="n"/>
      <c r="I42" s="22" t="n"/>
      <c r="J42" s="22" t="n"/>
      <c r="L42" s="13" t="inlineStr">
        <is>
          <t>Legal Expense</t>
        </is>
      </c>
      <c r="O42" s="29">
        <f>+P42/$E$16</f>
        <v/>
      </c>
      <c r="P42" s="571" t="n">
        <v>6000</v>
      </c>
      <c r="R42" s="13" t="inlineStr">
        <is>
          <t>Less: Taxable Value</t>
        </is>
      </c>
      <c r="U42" s="48" t="n"/>
      <c r="V42" s="29">
        <f>+V41*U42</f>
        <v/>
      </c>
    </row>
    <row r="43" ht="13.5" customHeight="1">
      <c r="C43" s="13" t="inlineStr">
        <is>
          <t>GP Equity Investment</t>
        </is>
      </c>
      <c r="D43" s="48" t="n">
        <v>0.1</v>
      </c>
      <c r="E43" s="29">
        <f>+(I17-I10)*D43</f>
        <v/>
      </c>
      <c r="G43" s="13" t="inlineStr">
        <is>
          <t>Average Gross Rent</t>
        </is>
      </c>
      <c r="J43" s="29">
        <f>'Rent Roll'!O4</f>
        <v/>
      </c>
      <c r="L43" s="13" t="inlineStr">
        <is>
          <t>Office Expense (Per Unit)</t>
        </is>
      </c>
      <c r="O43" s="571" t="n">
        <v>150</v>
      </c>
      <c r="P43" s="29">
        <f>+O43*$E$16</f>
        <v/>
      </c>
      <c r="R43" s="13" t="inlineStr">
        <is>
          <t>RE Taxes</t>
        </is>
      </c>
      <c r="T43" s="44" t="inlineStr">
        <is>
          <t>Prop. Tax Rate (Milage) -&gt;</t>
        </is>
      </c>
      <c r="U43" s="48" t="n"/>
      <c r="V43" s="29">
        <f>+V42*U43/10</f>
        <v/>
      </c>
    </row>
    <row r="44" ht="13.5" customHeight="1">
      <c r="C44" s="13" t="inlineStr">
        <is>
          <t>LP Equity Investment</t>
        </is>
      </c>
      <c r="D44" s="178">
        <f>1-D43</f>
        <v/>
      </c>
      <c r="E44" s="29">
        <f>+(I17-I10)*D44</f>
        <v/>
      </c>
      <c r="G44" s="13" t="inlineStr">
        <is>
          <t>Average Effective Rent</t>
        </is>
      </c>
      <c r="J44" s="29">
        <f>'Rent Roll'!P4</f>
        <v/>
      </c>
      <c r="L44" s="13" t="inlineStr">
        <is>
          <t>Travel Cost</t>
        </is>
      </c>
      <c r="O44" s="29">
        <f>+P44/$E$16</f>
        <v/>
      </c>
      <c r="P44" s="571" t="n">
        <v>6000</v>
      </c>
      <c r="R44" s="13" t="inlineStr">
        <is>
          <t>Stormwater Fees</t>
        </is>
      </c>
      <c r="T44" s="44" t="n"/>
      <c r="U44" s="44" t="n"/>
      <c r="V44" s="19" t="n"/>
    </row>
    <row r="45" ht="13.5" customHeight="1">
      <c r="G45" s="47" t="inlineStr">
        <is>
          <t>% of Gross Rent</t>
        </is>
      </c>
      <c r="H45" s="47" t="n"/>
      <c r="J45" s="105">
        <f>+J44/J43</f>
        <v/>
      </c>
      <c r="L45" s="13" t="inlineStr">
        <is>
          <t>Audit Expense</t>
        </is>
      </c>
      <c r="O45" s="29">
        <f>+P45/$E$16</f>
        <v/>
      </c>
      <c r="P45" s="571" t="n">
        <v>6500</v>
      </c>
      <c r="R45" s="13" t="inlineStr">
        <is>
          <t>Less Discounts</t>
        </is>
      </c>
      <c r="U45" s="48" t="n"/>
      <c r="V45" s="29">
        <f>+V43*U45</f>
        <v/>
      </c>
    </row>
    <row r="46" ht="13.5" customHeight="1" thickBot="1">
      <c r="C46" s="21" t="inlineStr">
        <is>
          <t>Financing Assumptions</t>
        </is>
      </c>
      <c r="D46" s="21" t="n"/>
      <c r="E46" s="21" t="n"/>
      <c r="L46" s="13" t="inlineStr">
        <is>
          <t>Advertising</t>
        </is>
      </c>
      <c r="O46" s="29">
        <f>+P46/$E$16</f>
        <v/>
      </c>
      <c r="P46" s="571" t="n">
        <v>0</v>
      </c>
      <c r="R46" s="33" t="inlineStr">
        <is>
          <t>Total RE Taxes</t>
        </is>
      </c>
      <c r="S46" s="38" t="n"/>
      <c r="T46" s="38" t="n"/>
      <c r="U46" s="213">
        <f>+U43</f>
        <v/>
      </c>
      <c r="V46" s="214">
        <f>+V43+V44-V45</f>
        <v/>
      </c>
    </row>
    <row r="47" ht="13.5" customHeight="1">
      <c r="C47" s="13" t="inlineStr">
        <is>
          <t>Lender</t>
        </is>
      </c>
      <c r="D47" s="28" t="n"/>
      <c r="E47" s="15" t="inlineStr">
        <is>
          <t>TBD</t>
        </is>
      </c>
      <c r="G47" s="32" t="inlineStr">
        <is>
          <t>Timeline and Exit Assumptions</t>
        </is>
      </c>
      <c r="H47" s="32" t="n"/>
      <c r="I47" s="14" t="n"/>
      <c r="J47" s="14" t="n"/>
      <c r="L47" s="13" t="inlineStr">
        <is>
          <t>Training Charge</t>
        </is>
      </c>
      <c r="O47" s="29">
        <f>+P47/$E$16</f>
        <v/>
      </c>
      <c r="P47" s="571" t="n">
        <v>0</v>
      </c>
    </row>
    <row r="48" ht="13.5" customHeight="1" thickBot="1">
      <c r="C48" s="13" t="inlineStr">
        <is>
          <t>Loan to Value (w/ out addt'l costs)</t>
        </is>
      </c>
      <c r="E48" s="24">
        <f>+D49/I17</f>
        <v/>
      </c>
      <c r="G48" s="21" t="inlineStr">
        <is>
          <t>Timeline Assumptions</t>
        </is>
      </c>
      <c r="H48" s="21" t="n"/>
      <c r="I48" s="21" t="n"/>
      <c r="J48" s="21" t="n"/>
      <c r="L48" s="13" t="inlineStr">
        <is>
          <t>Bank Charges</t>
        </is>
      </c>
      <c r="O48" s="29">
        <f>+P48/$E$16</f>
        <v/>
      </c>
      <c r="P48" s="571" t="n">
        <v>0</v>
      </c>
      <c r="R48" s="13" t="inlineStr">
        <is>
          <t>Property &amp; Liability Insurance</t>
        </is>
      </c>
      <c r="T48" s="180" t="n"/>
      <c r="U48" s="50" t="n">
        <v>450</v>
      </c>
      <c r="V48" s="29">
        <f>+U48*E16</f>
        <v/>
      </c>
    </row>
    <row r="49" ht="13.5" customHeight="1">
      <c r="C49" s="13" t="inlineStr">
        <is>
          <t>Loan to Value (w/ addt'l costs)</t>
        </is>
      </c>
      <c r="D49" s="55">
        <f>+E49*E32</f>
        <v/>
      </c>
      <c r="E49" s="48" t="n">
        <v>0.65</v>
      </c>
      <c r="G49" s="13" t="inlineStr">
        <is>
          <t>Entry Date</t>
        </is>
      </c>
      <c r="J49" s="185" t="n">
        <v>44408</v>
      </c>
      <c r="L49" s="13" t="inlineStr">
        <is>
          <t>Bookkeeping</t>
        </is>
      </c>
      <c r="O49" s="29">
        <f>+P49/$E$16</f>
        <v/>
      </c>
      <c r="P49" s="571" t="n">
        <v>2000</v>
      </c>
      <c r="R49" s="13" t="inlineStr">
        <is>
          <t>Workmens Comp</t>
        </is>
      </c>
      <c r="T49" s="17" t="n"/>
      <c r="U49" s="48" t="n">
        <v>0.02</v>
      </c>
      <c r="V49" s="29">
        <f>+SUM($P$32:$P$33,$P$35)*U49</f>
        <v/>
      </c>
    </row>
    <row r="50" ht="13.5" customHeight="1">
      <c r="C50" s="13" t="inlineStr">
        <is>
          <t>Interest Rate</t>
        </is>
      </c>
      <c r="D50" s="55" t="n"/>
      <c r="E50" s="184" t="n">
        <v>0.065</v>
      </c>
      <c r="G50" s="13" t="inlineStr">
        <is>
          <t>Investment Period</t>
        </is>
      </c>
      <c r="J50" s="578" t="n">
        <v>60</v>
      </c>
      <c r="L50" s="13" t="inlineStr">
        <is>
          <t>Payroll Service</t>
        </is>
      </c>
      <c r="O50" s="29">
        <f>+P50/$E$16</f>
        <v/>
      </c>
      <c r="P50" s="571" t="n">
        <v>0</v>
      </c>
      <c r="R50" s="13" t="inlineStr">
        <is>
          <t>Health Insurance &amp; Other Benefits</t>
        </is>
      </c>
      <c r="T50" s="579" t="n"/>
      <c r="U50" s="48" t="n">
        <v>0.03</v>
      </c>
      <c r="V50" s="29">
        <f>+SUM($P$32:$P$33,$P$35)*U50</f>
        <v/>
      </c>
    </row>
    <row r="51" ht="13.5" customHeight="1">
      <c r="C51" s="13" t="inlineStr">
        <is>
          <t>Loan Constant</t>
        </is>
      </c>
      <c r="D51" s="55" t="n"/>
      <c r="E51" s="119">
        <f>E50/(1-(1/((1+(E50/12))^(30*12))))</f>
        <v/>
      </c>
      <c r="G51" s="13" t="inlineStr">
        <is>
          <t>Exit Date</t>
        </is>
      </c>
      <c r="J51" s="16">
        <f>+EOMONTH(J49,J50)</f>
        <v/>
      </c>
      <c r="L51" s="13" t="inlineStr">
        <is>
          <t>Manager Unit</t>
        </is>
      </c>
      <c r="O51" s="29">
        <f>+P51/$E$16</f>
        <v/>
      </c>
      <c r="P51" s="571" t="n">
        <v>0</v>
      </c>
      <c r="R51" s="13" t="inlineStr">
        <is>
          <t xml:space="preserve">Payroll Tax </t>
        </is>
      </c>
      <c r="T51" s="580" t="n"/>
      <c r="U51" s="48" t="n">
        <v>0.1</v>
      </c>
      <c r="V51" s="29">
        <f>+SUM($P$32:$P$33,$P$35)*U51</f>
        <v/>
      </c>
    </row>
    <row r="52" ht="13.5" customHeight="1">
      <c r="C52" s="28" t="inlineStr">
        <is>
          <t>Fully Amort / Yr</t>
        </is>
      </c>
      <c r="D52" s="118" t="n"/>
      <c r="E52" s="86">
        <f>+E51*I10</f>
        <v/>
      </c>
      <c r="L52" s="13" t="inlineStr">
        <is>
          <t>Misc. Admin Expenses</t>
        </is>
      </c>
      <c r="O52" s="29">
        <f>+P52/$E$16</f>
        <v/>
      </c>
      <c r="P52" s="571" t="n">
        <v>0</v>
      </c>
      <c r="R52" s="13" t="inlineStr">
        <is>
          <t>Misc Taxes, Licenses,  Etc.</t>
        </is>
      </c>
      <c r="T52" s="23" t="n"/>
      <c r="V52" s="50" t="n"/>
    </row>
    <row r="53" ht="13.5" customHeight="1" thickBot="1">
      <c r="C53" s="13" t="inlineStr">
        <is>
          <t>Interest Only Loan Pmt</t>
        </is>
      </c>
      <c r="D53" s="55" t="n"/>
      <c r="E53" s="57">
        <f>+$I$10*$E$50</f>
        <v/>
      </c>
      <c r="G53" s="21" t="inlineStr">
        <is>
          <t>Exit Assumptions</t>
        </is>
      </c>
      <c r="H53" s="21" t="n"/>
      <c r="I53" s="21" t="n"/>
      <c r="J53" s="21" t="n"/>
      <c r="O53" s="29" t="n"/>
      <c r="T53" s="23" t="n"/>
    </row>
    <row r="54" ht="13.5" customHeight="1">
      <c r="C54" s="28" t="inlineStr">
        <is>
          <t>Principal Portion</t>
        </is>
      </c>
      <c r="D54" s="85" t="n"/>
      <c r="E54" s="86">
        <f>+E52-E53</f>
        <v/>
      </c>
      <c r="G54" s="13" t="inlineStr">
        <is>
          <t>Cap Rate at Exit</t>
        </is>
      </c>
      <c r="J54" s="48" t="n">
        <v>0.06</v>
      </c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 ht="13.5" customHeight="1">
      <c r="C55" s="13" t="inlineStr">
        <is>
          <t>Loan Term</t>
        </is>
      </c>
      <c r="D55" s="85" t="n"/>
      <c r="E55" s="581" t="n">
        <v>30</v>
      </c>
      <c r="G55" s="13" t="inlineStr">
        <is>
          <t>Broker Commission</t>
        </is>
      </c>
      <c r="J55" s="48" t="n">
        <v>0.015</v>
      </c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 ht="13.5" customHeight="1">
      <c r="C56" s="13" t="inlineStr">
        <is>
          <t>Interest Only Period</t>
        </is>
      </c>
      <c r="D56" s="85" t="n"/>
      <c r="E56" s="581" t="n">
        <v>8</v>
      </c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 ht="13.5" customHeight="1" thickBot="1">
      <c r="C57" s="13" t="inlineStr">
        <is>
          <t>DSCR Check</t>
        </is>
      </c>
      <c r="D57" s="241" t="inlineStr">
        <is>
          <t>&gt;1.25x? --&gt;</t>
        </is>
      </c>
      <c r="E57" s="242">
        <f>+'Scenario 0'!$F$81/Dashboard!E52</f>
        <v/>
      </c>
      <c r="G57" s="21" t="inlineStr">
        <is>
          <t>GP / LP Split</t>
        </is>
      </c>
      <c r="H57" s="21" t="n"/>
      <c r="I57" s="21" t="n"/>
      <c r="J57" s="2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 ht="12.75" customHeight="1">
      <c r="G58" s="13" t="inlineStr">
        <is>
          <t>GP Proceeds</t>
        </is>
      </c>
      <c r="J58" s="48" t="n">
        <v>0.25</v>
      </c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</row>
    <row r="59" ht="13.5" customHeight="1">
      <c r="G59" s="13" t="inlineStr">
        <is>
          <t>LP Proceeds</t>
        </is>
      </c>
      <c r="J59" s="216">
        <f>1-J58</f>
        <v/>
      </c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3.5" customHeight="1"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3.5" customHeight="1"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3.5" customHeight="1">
      <c r="G62" s="31" t="n"/>
      <c r="H62" s="31" t="n"/>
      <c r="I62" s="31" t="n"/>
      <c r="J62" s="31" t="n"/>
    </row>
    <row r="63" ht="13.5" customHeight="1">
      <c r="G63" s="31" t="n"/>
      <c r="H63" s="31" t="n"/>
      <c r="I63" s="31" t="n"/>
      <c r="J63" s="31" t="n"/>
    </row>
    <row r="64" ht="13.5" customHeight="1">
      <c r="G64" s="31" t="n"/>
      <c r="H64" s="31" t="n"/>
      <c r="I64" s="31" t="n"/>
      <c r="J64" s="31" t="n"/>
    </row>
    <row r="65" ht="13.5" customHeight="1">
      <c r="G65" s="31" t="n"/>
      <c r="H65" s="31" t="n"/>
      <c r="I65" s="31" t="n"/>
      <c r="J65" s="31" t="n"/>
    </row>
    <row r="66" ht="13.5" customHeight="1">
      <c r="G66" s="31" t="n"/>
      <c r="H66" s="31" t="n"/>
      <c r="I66" s="31" t="n"/>
      <c r="J66" s="31" t="n"/>
    </row>
    <row r="67" ht="13.5" customHeight="1">
      <c r="G67" s="31" t="n"/>
      <c r="H67" s="31" t="n"/>
      <c r="I67" s="31" t="n"/>
      <c r="J67" s="31" t="n"/>
    </row>
    <row r="68" ht="13.5" customHeight="1">
      <c r="G68" s="31" t="n"/>
      <c r="H68" s="31" t="n"/>
      <c r="I68" s="31" t="n"/>
      <c r="J68" s="31" t="n"/>
    </row>
  </sheetData>
  <conditionalFormatting sqref="E57">
    <cfRule type="cellIs" priority="1" operator="lessThan" dxfId="2">
      <formula>1.24</formula>
    </cfRule>
  </conditionalFormatting>
  <pageMargins left="0.7" right="0.7" top="0.75" bottom="0.75" header="0.3" footer="0.3"/>
  <pageSetup orientation="landscape" scale="17"/>
</worksheet>
</file>

<file path=xl/worksheets/sheet3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A1:A1"/>
  <sheetViews>
    <sheetView showGridLines="1" view="normal" zoomScale="60" zoomScaleNormal="100"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6"/>
  <sheetViews>
    <sheetView showGridLines="1" view="normal" zoomScale="80" zoomScaleNormal="100" zoomScaleSheetLayoutView="80" workbookViewId="0">
      <selection activeCell="X22" sqref="X22"/>
    </sheetView>
  </sheetViews>
  <sheetFormatPr baseColWidth="8" defaultColWidth="9.140625" defaultRowHeight="13.5" customHeight="1" outlineLevelRow="2"/>
  <cols>
    <col width="11.85546875" customWidth="1" style="13" min="1" max="1"/>
    <col width="1.7109375" customWidth="1" style="13" min="2" max="2"/>
    <col width="36" customWidth="1" style="13" min="3" max="3"/>
    <col width="13.5703125" bestFit="1" customWidth="1" style="13" min="4" max="5"/>
    <col width="13.5703125" customWidth="1" style="13" min="6" max="6"/>
    <col width="13" bestFit="1" customWidth="1" style="13" min="7" max="8"/>
    <col width="13" customWidth="1" style="13" min="9" max="10"/>
    <col hidden="1" outlineLevel="1" width="13" customWidth="1" style="13" min="11" max="15"/>
    <col collapsed="1" width="5.7109375" customWidth="1" style="13" min="16" max="16"/>
    <col width="9.140625" customWidth="1" style="13" min="17" max="16384"/>
  </cols>
  <sheetData>
    <row r="1" ht="15" customHeight="1">
      <c r="C1" s="570" t="inlineStr">
        <is>
          <t>Underwriting Model Scenario 0</t>
        </is>
      </c>
      <c r="D1" s="570" t="n"/>
      <c r="E1" s="570" t="n"/>
      <c r="F1" s="569" t="n"/>
      <c r="G1" s="570" t="n"/>
      <c r="H1" s="570" t="n"/>
      <c r="I1" s="570" t="n"/>
      <c r="J1" s="569" t="n"/>
      <c r="K1" s="569" t="n"/>
      <c r="L1" s="569" t="n"/>
      <c r="M1" s="569" t="n"/>
      <c r="N1" s="569" t="n"/>
      <c r="O1" s="570" t="n"/>
      <c r="P1" s="570" t="n"/>
    </row>
    <row r="2" ht="15.75" customHeight="1" thickBot="1">
      <c r="C2" s="582" t="n"/>
      <c r="D2" s="582" t="n"/>
      <c r="E2" s="582" t="n"/>
      <c r="F2" s="570" t="n"/>
      <c r="G2" s="582" t="n"/>
      <c r="H2" s="582" t="n"/>
      <c r="I2" s="582" t="n"/>
      <c r="J2" s="570" t="n"/>
      <c r="K2" s="570" t="n"/>
      <c r="L2" s="570" t="n"/>
      <c r="M2" s="570" t="n"/>
      <c r="N2" s="570" t="n"/>
      <c r="O2" s="582" t="n"/>
      <c r="P2" s="582" t="n"/>
    </row>
    <row r="3" ht="13.5" customHeight="1" thickTop="1">
      <c r="C3" s="13" t="n"/>
      <c r="D3" s="221" t="inlineStr">
        <is>
          <t>Year</t>
        </is>
      </c>
      <c r="E3" s="221" t="n">
        <v>2024</v>
      </c>
      <c r="F3" s="221">
        <f>+E3+1</f>
        <v/>
      </c>
      <c r="G3" s="221">
        <f>+F3+1</f>
        <v/>
      </c>
      <c r="H3" s="221">
        <f>+G3+1</f>
        <v/>
      </c>
      <c r="I3" s="221">
        <f>+H3+1</f>
        <v/>
      </c>
      <c r="J3" s="221">
        <f>+I3+1</f>
        <v/>
      </c>
      <c r="K3" s="221">
        <f>+J3+1</f>
        <v/>
      </c>
      <c r="L3" s="221">
        <f>+K3+1</f>
        <v/>
      </c>
      <c r="M3" s="221">
        <f>+L3+1</f>
        <v/>
      </c>
      <c r="N3" s="221">
        <f>+M3+1</f>
        <v/>
      </c>
      <c r="O3" s="221">
        <f>+N3+1</f>
        <v/>
      </c>
      <c r="P3" s="104" t="n"/>
    </row>
    <row r="4" ht="17.45" customHeight="1">
      <c r="C4" s="209" t="inlineStr">
        <is>
          <t>Scenario 0 (No Change to Asset)</t>
        </is>
      </c>
      <c r="D4" s="210" t="n"/>
      <c r="E4" s="37" t="n"/>
      <c r="F4" s="583" t="n"/>
      <c r="G4" s="583" t="n"/>
      <c r="H4" s="583" t="n"/>
      <c r="I4" s="583" t="n"/>
      <c r="J4" s="583" t="n"/>
      <c r="K4" s="583" t="n"/>
      <c r="L4" s="583" t="n"/>
      <c r="M4" s="583" t="n"/>
      <c r="N4" s="583" t="n"/>
      <c r="O4" s="583" t="n"/>
      <c r="P4" s="13" t="n"/>
    </row>
    <row r="5" ht="5.1" customHeight="1"/>
    <row r="6" ht="13.5" customHeight="1">
      <c r="C6" s="211" t="inlineStr">
        <is>
          <t>Income Statement</t>
        </is>
      </c>
      <c r="D6" s="36" t="n"/>
      <c r="E6" s="584" t="inlineStr">
        <is>
          <t>T12</t>
        </is>
      </c>
      <c r="F6" s="584" t="n">
        <v>1</v>
      </c>
      <c r="G6" s="584">
        <f>+F6+1</f>
        <v/>
      </c>
      <c r="H6" s="584">
        <f>+G6+1</f>
        <v/>
      </c>
      <c r="I6" s="584">
        <f>+H6+1</f>
        <v/>
      </c>
      <c r="J6" s="584">
        <f>+I6+1</f>
        <v/>
      </c>
      <c r="K6" s="584">
        <f>+J6+1</f>
        <v/>
      </c>
      <c r="L6" s="584">
        <f>+K6+1</f>
        <v/>
      </c>
      <c r="M6" s="584">
        <f>+L6+1</f>
        <v/>
      </c>
      <c r="N6" s="584">
        <f>+M6+1</f>
        <v/>
      </c>
      <c r="O6" s="584">
        <f>+N6+1</f>
        <v/>
      </c>
    </row>
    <row r="7" ht="13.5" customHeight="1">
      <c r="A7" s="13" t="inlineStr">
        <is>
          <t>GPI</t>
        </is>
      </c>
      <c r="C7" s="13" t="inlineStr">
        <is>
          <t>Gross Potential Income</t>
        </is>
      </c>
      <c r="E7" s="222">
        <f>1561954</f>
        <v/>
      </c>
      <c r="F7" s="40">
        <f>'Unit Mix'!N26</f>
        <v/>
      </c>
      <c r="G7" s="40">
        <f>'Unit Mix'!N49</f>
        <v/>
      </c>
      <c r="H7" s="40">
        <f>'Unit Mix'!N72</f>
        <v/>
      </c>
      <c r="I7" s="40">
        <f>'Unit Mix'!N95</f>
        <v/>
      </c>
      <c r="J7" s="40">
        <f>+'Unit Mix'!N118</f>
        <v/>
      </c>
      <c r="K7" s="40">
        <f>+'Unit Mix'!N141</f>
        <v/>
      </c>
      <c r="L7" s="40">
        <f>+'Unit Mix'!N164</f>
        <v/>
      </c>
      <c r="M7" s="40">
        <f>+'Unit Mix'!N187</f>
        <v/>
      </c>
      <c r="N7" s="40">
        <f>+'Unit Mix'!N210</f>
        <v/>
      </c>
      <c r="O7" s="40">
        <f>'Unit Mix'!N233</f>
        <v/>
      </c>
    </row>
    <row r="8" ht="13.5" customHeight="1">
      <c r="A8" s="13" t="inlineStr">
        <is>
          <t>VC</t>
        </is>
      </c>
      <c r="C8" s="13" t="inlineStr">
        <is>
          <t>Vacancy Factor</t>
        </is>
      </c>
      <c r="D8" s="42">
        <f>+Dashboard!$P$10</f>
        <v/>
      </c>
      <c r="E8" s="585" t="n">
        <v>48058</v>
      </c>
      <c r="F8" s="579">
        <f>+F7*$D$8</f>
        <v/>
      </c>
      <c r="G8" s="579">
        <f>+G7*$D$8</f>
        <v/>
      </c>
      <c r="H8" s="579">
        <f>+H7*$D$8</f>
        <v/>
      </c>
      <c r="I8" s="579">
        <f>+I7*$D$8</f>
        <v/>
      </c>
      <c r="J8" s="579">
        <f>+J7*$D$8</f>
        <v/>
      </c>
      <c r="K8" s="579">
        <f>+K7*$D$8</f>
        <v/>
      </c>
      <c r="L8" s="579">
        <f>+L7*$D$8</f>
        <v/>
      </c>
      <c r="M8" s="579">
        <f>+M7*$D$8</f>
        <v/>
      </c>
      <c r="N8" s="579">
        <f>+N7*$D$8</f>
        <v/>
      </c>
      <c r="O8" s="579">
        <f>+O7*$D$8</f>
        <v/>
      </c>
    </row>
    <row r="9" ht="13.5" customHeight="1">
      <c r="C9" s="33" t="inlineStr">
        <is>
          <t>Net Rental Income</t>
        </is>
      </c>
      <c r="D9" s="33" t="n"/>
      <c r="E9" s="224">
        <f>+E7-E8</f>
        <v/>
      </c>
      <c r="F9" s="34">
        <f>+F7-F8</f>
        <v/>
      </c>
      <c r="G9" s="34">
        <f>+G7-G8</f>
        <v/>
      </c>
      <c r="H9" s="34">
        <f>+H7-H8</f>
        <v/>
      </c>
      <c r="I9" s="34">
        <f>+I7-I8</f>
        <v/>
      </c>
      <c r="J9" s="34">
        <f>+J7-J8</f>
        <v/>
      </c>
      <c r="K9" s="34">
        <f>+K7-K8</f>
        <v/>
      </c>
      <c r="L9" s="34">
        <f>+L7-L8</f>
        <v/>
      </c>
      <c r="M9" s="34">
        <f>+M7-M8</f>
        <v/>
      </c>
      <c r="N9" s="34">
        <f>+N7-N8</f>
        <v/>
      </c>
      <c r="O9" s="34">
        <f>+O7-O8</f>
        <v/>
      </c>
    </row>
    <row r="10" ht="5.1" customHeight="1">
      <c r="C10" s="28" t="n"/>
      <c r="D10" s="28" t="n"/>
      <c r="E10" s="225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</row>
    <row r="11" ht="13.5" customHeight="1">
      <c r="A11" s="13" t="inlineStr">
        <is>
          <t>OI</t>
        </is>
      </c>
      <c r="C11" s="13" t="inlineStr">
        <is>
          <t>Laundry and Other Income</t>
        </is>
      </c>
      <c r="D11" s="42">
        <f>+Dashboard!$P$14</f>
        <v/>
      </c>
      <c r="E11" s="222" t="n">
        <v>33716</v>
      </c>
      <c r="F11" s="103">
        <f>+Dashboard!$O$14</f>
        <v/>
      </c>
      <c r="G11" s="112">
        <f>+F11*(1+$D11)</f>
        <v/>
      </c>
      <c r="H11" s="112">
        <f>+G11*(1+$D11)</f>
        <v/>
      </c>
      <c r="I11" s="112">
        <f>+H11*(1+$D11)</f>
        <v/>
      </c>
      <c r="J11" s="112">
        <f>+I11*(1+$D11)</f>
        <v/>
      </c>
      <c r="K11" s="112">
        <f>+J11*(1+$D11)</f>
        <v/>
      </c>
      <c r="L11" s="112">
        <f>+K11*(1+$D11)</f>
        <v/>
      </c>
      <c r="M11" s="112">
        <f>+L11*(1+$D11)</f>
        <v/>
      </c>
      <c r="N11" s="112">
        <f>+M11*(1+$D11)</f>
        <v/>
      </c>
      <c r="O11" s="112">
        <f>+N11*(1+$D11)</f>
        <v/>
      </c>
    </row>
    <row r="12" ht="13.5" customHeight="1">
      <c r="C12" s="33" t="inlineStr">
        <is>
          <t>Total Gross Income</t>
        </is>
      </c>
      <c r="D12" s="34" t="n"/>
      <c r="E12" s="224">
        <f>+SUM(E9:E11)</f>
        <v/>
      </c>
      <c r="F12" s="34">
        <f>+SUM(F9:F11)</f>
        <v/>
      </c>
      <c r="G12" s="34">
        <f>+SUM(G9:G11)</f>
        <v/>
      </c>
      <c r="H12" s="34">
        <f>+SUM(H9:H11)</f>
        <v/>
      </c>
      <c r="I12" s="34">
        <f>+SUM(I9:I11)</f>
        <v/>
      </c>
      <c r="J12" s="34">
        <f>+SUM(J9:J11)</f>
        <v/>
      </c>
      <c r="K12" s="34">
        <f>+SUM(K9:K11)</f>
        <v/>
      </c>
      <c r="L12" s="34">
        <f>+SUM(L9:L11)</f>
        <v/>
      </c>
      <c r="M12" s="34">
        <f>+SUM(M9:M11)</f>
        <v/>
      </c>
      <c r="N12" s="34">
        <f>+SUM(N9:N11)</f>
        <v/>
      </c>
      <c r="O12" s="34">
        <f>+SUM(O9:O11)</f>
        <v/>
      </c>
    </row>
    <row r="13" ht="13.5" customHeight="1">
      <c r="C13" s="104" t="inlineStr">
        <is>
          <t>Gross Income Growth</t>
        </is>
      </c>
      <c r="D13" s="66" t="n"/>
      <c r="E13" s="259" t="inlineStr">
        <is>
          <t>--</t>
        </is>
      </c>
      <c r="F13" s="105">
        <f>+F12/E12-1</f>
        <v/>
      </c>
      <c r="G13" s="105">
        <f>+G12/F12-1</f>
        <v/>
      </c>
      <c r="H13" s="105">
        <f>+H12/G12-1</f>
        <v/>
      </c>
      <c r="I13" s="105">
        <f>+I12/H12-1</f>
        <v/>
      </c>
      <c r="J13" s="105">
        <f>+J12/I12-1</f>
        <v/>
      </c>
      <c r="K13" s="105">
        <f>+K12/J12-1</f>
        <v/>
      </c>
      <c r="L13" s="105">
        <f>+L12/K12-1</f>
        <v/>
      </c>
      <c r="M13" s="105">
        <f>+M12/L12-1</f>
        <v/>
      </c>
      <c r="N13" s="105">
        <f>+N12/M12-1</f>
        <v/>
      </c>
      <c r="O13" s="105">
        <f>+O12/N12-1</f>
        <v/>
      </c>
    </row>
    <row r="14" ht="5.1" customHeight="1">
      <c r="E14" s="226" t="n"/>
    </row>
    <row r="15" ht="13.5" customHeight="1">
      <c r="C15" s="28" t="inlineStr">
        <is>
          <t>Opertating Expenses</t>
        </is>
      </c>
      <c r="E15" s="226" t="n"/>
    </row>
    <row r="16" outlineLevel="1" ht="5.1" customHeight="1">
      <c r="C16" s="28" t="n"/>
      <c r="E16" s="226" t="n"/>
    </row>
    <row r="17" outlineLevel="1" ht="13.5" customHeight="1">
      <c r="A17" s="132" t="inlineStr">
        <is>
          <t>BAD</t>
        </is>
      </c>
      <c r="C17" s="206" t="inlineStr">
        <is>
          <t>Bad Debt</t>
        </is>
      </c>
      <c r="D17" s="205">
        <f>+Dashboard!$N$20</f>
        <v/>
      </c>
      <c r="E17" s="227" t="n"/>
      <c r="F17" s="200">
        <f>+Dashboard!P20</f>
        <v/>
      </c>
      <c r="G17" s="201">
        <f>+F17*(1+$D17)</f>
        <v/>
      </c>
      <c r="H17" s="201">
        <f>+G17*(1+$D17)</f>
        <v/>
      </c>
      <c r="I17" s="201">
        <f>+H17*(1+$D17)</f>
        <v/>
      </c>
      <c r="J17" s="201">
        <f>+I17*(1+$D17)</f>
        <v/>
      </c>
      <c r="K17" s="201">
        <f>+J17*(1+$D17)</f>
        <v/>
      </c>
      <c r="L17" s="201">
        <f>+K17*(1+$D17)</f>
        <v/>
      </c>
      <c r="M17" s="201">
        <f>+L17*(1+$D17)</f>
        <v/>
      </c>
      <c r="N17" s="201">
        <f>+M17*(1+$D17)</f>
        <v/>
      </c>
      <c r="O17" s="201">
        <f>+N17*(1+$D17)</f>
        <v/>
      </c>
    </row>
    <row r="18" ht="13.5" customHeight="1">
      <c r="C18" s="13" t="inlineStr">
        <is>
          <t>Bad Debt</t>
        </is>
      </c>
      <c r="D18" s="42" t="n"/>
      <c r="E18" s="228">
        <f>+SUM(E17)</f>
        <v/>
      </c>
      <c r="F18" s="29">
        <f>+SUM(F17)</f>
        <v/>
      </c>
      <c r="G18" s="29">
        <f>+SUM(G17)</f>
        <v/>
      </c>
      <c r="H18" s="29">
        <f>+SUM(H17)</f>
        <v/>
      </c>
      <c r="I18" s="29">
        <f>+SUM(I17)</f>
        <v/>
      </c>
      <c r="J18" s="29">
        <f>+SUM(J17)</f>
        <v/>
      </c>
      <c r="K18" s="29">
        <f>+SUM(K17)</f>
        <v/>
      </c>
      <c r="L18" s="29">
        <f>+SUM(L17)</f>
        <v/>
      </c>
      <c r="M18" s="29">
        <f>+SUM(M17)</f>
        <v/>
      </c>
      <c r="N18" s="29">
        <f>+SUM(N17)</f>
        <v/>
      </c>
      <c r="O18" s="29">
        <f>+SUM(O17)</f>
        <v/>
      </c>
    </row>
    <row r="19" outlineLevel="1" ht="13.5" customHeight="1">
      <c r="D19" s="42" t="n"/>
      <c r="E19" s="222" t="n"/>
      <c r="F19" s="40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</row>
    <row r="20" outlineLevel="1" ht="13.5" customHeight="1">
      <c r="A20" s="132" t="inlineStr">
        <is>
          <t>RES</t>
        </is>
      </c>
      <c r="C20" s="206" t="inlineStr">
        <is>
          <t>Replacement Reserves</t>
        </is>
      </c>
      <c r="D20" s="205">
        <f>+Dashboard!$N$21</f>
        <v/>
      </c>
      <c r="E20" s="227">
        <f>+F20</f>
        <v/>
      </c>
      <c r="F20" s="200">
        <f>+Dashboard!P21</f>
        <v/>
      </c>
      <c r="G20" s="201">
        <f>+F20*(1+$D20)</f>
        <v/>
      </c>
      <c r="H20" s="201">
        <f>+G20*(1+$D20)</f>
        <v/>
      </c>
      <c r="I20" s="201">
        <f>+H20*(1+$D20)</f>
        <v/>
      </c>
      <c r="J20" s="201">
        <f>+I20*(1+$D20)</f>
        <v/>
      </c>
      <c r="K20" s="201">
        <f>+J20*(1+$D20)</f>
        <v/>
      </c>
      <c r="L20" s="201">
        <f>+K20*(1+$D20)</f>
        <v/>
      </c>
      <c r="M20" s="201">
        <f>+L20*(1+$D20)</f>
        <v/>
      </c>
      <c r="N20" s="201">
        <f>+M20*(1+$D20)</f>
        <v/>
      </c>
      <c r="O20" s="201">
        <f>+N20*(1+$D20)</f>
        <v/>
      </c>
    </row>
    <row r="21" outlineLevel="1" ht="13.5" customHeight="1">
      <c r="A21" s="132" t="inlineStr">
        <is>
          <t>COM</t>
        </is>
      </c>
      <c r="C21" s="207" t="inlineStr">
        <is>
          <t>Compliance Fee</t>
        </is>
      </c>
      <c r="D21" s="205">
        <f>+Dashboard!$N$22</f>
        <v/>
      </c>
      <c r="E21" s="586" t="n">
        <v>0</v>
      </c>
      <c r="F21" s="587">
        <f>+Dashboard!P22</f>
        <v/>
      </c>
      <c r="G21" s="588">
        <f>+F21*(1+$D21)</f>
        <v/>
      </c>
      <c r="H21" s="588">
        <f>+G21*(1+$D21)</f>
        <v/>
      </c>
      <c r="I21" s="588">
        <f>+H21*(1+$D21)</f>
        <v/>
      </c>
      <c r="J21" s="588">
        <f>+I21*(1+$D21)</f>
        <v/>
      </c>
      <c r="K21" s="588">
        <f>+J21*(1+$D21)</f>
        <v/>
      </c>
      <c r="L21" s="588">
        <f>+K21*(1+$D21)</f>
        <v/>
      </c>
      <c r="M21" s="588">
        <f>+L21*(1+$D21)</f>
        <v/>
      </c>
      <c r="N21" s="588">
        <f>+M21*(1+$D21)</f>
        <v/>
      </c>
      <c r="O21" s="588">
        <f>+N21*(1+$D21)</f>
        <v/>
      </c>
    </row>
    <row r="22" ht="13.5" customHeight="1">
      <c r="C22" s="13" t="inlineStr">
        <is>
          <t>Total Replacement Reserves</t>
        </is>
      </c>
      <c r="E22" s="589">
        <f>SUM(E20:E21)</f>
        <v/>
      </c>
      <c r="F22" s="590">
        <f>SUM(F20:F21)</f>
        <v/>
      </c>
      <c r="G22" s="590">
        <f>SUM(G20:G21)</f>
        <v/>
      </c>
      <c r="H22" s="590">
        <f>SUM(H20:H21)</f>
        <v/>
      </c>
      <c r="I22" s="590">
        <f>SUM(I20:I21)</f>
        <v/>
      </c>
      <c r="J22" s="590">
        <f>SUM(J20:J21)</f>
        <v/>
      </c>
      <c r="K22" s="590">
        <f>SUM(K20:K21)</f>
        <v/>
      </c>
      <c r="L22" s="590">
        <f>SUM(L20:L21)</f>
        <v/>
      </c>
      <c r="M22" s="590">
        <f>SUM(M20:M21)</f>
        <v/>
      </c>
      <c r="N22" s="590">
        <f>SUM(N20:N21)</f>
        <v/>
      </c>
      <c r="O22" s="590">
        <f>SUM(O20:O21)</f>
        <v/>
      </c>
    </row>
    <row r="23" outlineLevel="1" ht="13.5" customHeight="1">
      <c r="E23" s="589" t="n"/>
      <c r="F23" s="590" t="n"/>
      <c r="G23" s="590" t="n"/>
      <c r="H23" s="590" t="n"/>
      <c r="I23" s="590" t="n"/>
      <c r="J23" s="590" t="n"/>
      <c r="K23" s="590" t="n"/>
      <c r="L23" s="590" t="n"/>
      <c r="M23" s="590" t="n"/>
      <c r="N23" s="590" t="n"/>
      <c r="O23" s="590" t="n"/>
    </row>
    <row r="24" outlineLevel="1" ht="13.5" customHeight="1">
      <c r="A24" s="132" t="inlineStr">
        <is>
          <t>REG</t>
        </is>
      </c>
      <c r="C24" s="206" t="inlineStr">
        <is>
          <t>Regional Manager Salary</t>
        </is>
      </c>
      <c r="D24" s="199">
        <f>+Dashboard!$N$37</f>
        <v/>
      </c>
      <c r="E24" s="227" t="n"/>
      <c r="F24" s="200">
        <f>+Dashboard!P31</f>
        <v/>
      </c>
      <c r="G24" s="201">
        <f>+F24*(1+$D24)</f>
        <v/>
      </c>
      <c r="H24" s="201">
        <f>+G24*(1+$D24)</f>
        <v/>
      </c>
      <c r="I24" s="201">
        <f>+H24*(1+$D24)</f>
        <v/>
      </c>
      <c r="J24" s="201">
        <f>+I24*(1+$D24)</f>
        <v/>
      </c>
      <c r="K24" s="201">
        <f>+J24*(1+$D24)</f>
        <v/>
      </c>
      <c r="L24" s="201">
        <f>+K24*(1+$D24)</f>
        <v/>
      </c>
      <c r="M24" s="201">
        <f>+L24*(1+$D24)</f>
        <v/>
      </c>
      <c r="N24" s="201">
        <f>+M24*(1+$D24)</f>
        <v/>
      </c>
      <c r="O24" s="201">
        <f>+N24*(1+$D24)</f>
        <v/>
      </c>
    </row>
    <row r="25" outlineLevel="1" ht="13.5" customHeight="1">
      <c r="A25" s="132" t="inlineStr">
        <is>
          <t>MAN</t>
        </is>
      </c>
      <c r="C25" s="206" t="inlineStr">
        <is>
          <t>Property Manager Salary</t>
        </is>
      </c>
      <c r="D25" s="199">
        <f>+Dashboard!$N$37</f>
        <v/>
      </c>
      <c r="E25" s="227" t="n"/>
      <c r="F25" s="200">
        <f>+Dashboard!P32</f>
        <v/>
      </c>
      <c r="G25" s="201">
        <f>+F25*(1+$D25)</f>
        <v/>
      </c>
      <c r="H25" s="201">
        <f>+G25*(1+$D25)</f>
        <v/>
      </c>
      <c r="I25" s="201">
        <f>+H25*(1+$D25)</f>
        <v/>
      </c>
      <c r="J25" s="201">
        <f>+I25*(1+$D25)</f>
        <v/>
      </c>
      <c r="K25" s="201">
        <f>+J25*(1+$D25)</f>
        <v/>
      </c>
      <c r="L25" s="201">
        <f>+K25*(1+$D25)</f>
        <v/>
      </c>
      <c r="M25" s="201">
        <f>+L25*(1+$D25)</f>
        <v/>
      </c>
      <c r="N25" s="201">
        <f>+M25*(1+$D25)</f>
        <v/>
      </c>
      <c r="O25" s="201">
        <f>+N25*(1+$D25)</f>
        <v/>
      </c>
    </row>
    <row r="26" outlineLevel="1" ht="13.5" customHeight="1">
      <c r="A26" s="132" t="inlineStr">
        <is>
          <t>ASS</t>
        </is>
      </c>
      <c r="C26" s="207" t="inlineStr">
        <is>
          <t>Assistant Manager (over 160 units)</t>
        </is>
      </c>
      <c r="D26" s="199">
        <f>+Dashboard!$N$37</f>
        <v/>
      </c>
      <c r="E26" s="586" t="n"/>
      <c r="F26" s="587">
        <f>+Dashboard!P33</f>
        <v/>
      </c>
      <c r="G26" s="588">
        <f>+F26*(1+$D26)</f>
        <v/>
      </c>
      <c r="H26" s="588">
        <f>+G26*(1+$D26)</f>
        <v/>
      </c>
      <c r="I26" s="588">
        <f>+H26*(1+$D26)</f>
        <v/>
      </c>
      <c r="J26" s="588">
        <f>+I26*(1+$D26)</f>
        <v/>
      </c>
      <c r="K26" s="588">
        <f>+J26*(1+$D26)</f>
        <v/>
      </c>
      <c r="L26" s="588">
        <f>+K26*(1+$D26)</f>
        <v/>
      </c>
      <c r="M26" s="588">
        <f>+L26*(1+$D26)</f>
        <v/>
      </c>
      <c r="N26" s="588">
        <f>+M26*(1+$D26)</f>
        <v/>
      </c>
      <c r="O26" s="588">
        <f>+N26*(1+$D26)</f>
        <v/>
      </c>
    </row>
    <row r="27" outlineLevel="1" ht="13.5" customHeight="1">
      <c r="A27" s="132" t="inlineStr">
        <is>
          <t>PAY</t>
        </is>
      </c>
      <c r="C27" s="207" t="inlineStr">
        <is>
          <t>Commissions/Bonuses</t>
        </is>
      </c>
      <c r="D27" s="199">
        <f>+Dashboard!$N$37</f>
        <v/>
      </c>
      <c r="E27" s="586" t="n"/>
      <c r="F27" s="587">
        <f>+Dashboard!P34</f>
        <v/>
      </c>
      <c r="G27" s="588">
        <f>+F27*(1+$D27)</f>
        <v/>
      </c>
      <c r="H27" s="588">
        <f>+G27*(1+$D27)</f>
        <v/>
      </c>
      <c r="I27" s="588">
        <f>+H27*(1+$D27)</f>
        <v/>
      </c>
      <c r="J27" s="588">
        <f>+I27*(1+$D27)</f>
        <v/>
      </c>
      <c r="K27" s="588">
        <f>+J27*(1+$D27)</f>
        <v/>
      </c>
      <c r="L27" s="588">
        <f>+K27*(1+$D27)</f>
        <v/>
      </c>
      <c r="M27" s="588">
        <f>+L27*(1+$D27)</f>
        <v/>
      </c>
      <c r="N27" s="588">
        <f>+M27*(1+$D27)</f>
        <v/>
      </c>
      <c r="O27" s="588">
        <f>+N27*(1+$D27)</f>
        <v/>
      </c>
    </row>
    <row r="28" outlineLevel="1" ht="13.5" customHeight="1">
      <c r="A28" s="132" t="inlineStr">
        <is>
          <t>MAIT</t>
        </is>
      </c>
      <c r="C28" s="207" t="inlineStr">
        <is>
          <t>Maintenance Salary</t>
        </is>
      </c>
      <c r="D28" s="199">
        <f>+Dashboard!$N$37</f>
        <v/>
      </c>
      <c r="E28" s="586" t="n"/>
      <c r="F28" s="587">
        <f>+Dashboard!P35+Dashboard!P36</f>
        <v/>
      </c>
      <c r="G28" s="588">
        <f>+F28*(1+$D28)</f>
        <v/>
      </c>
      <c r="H28" s="588">
        <f>+G28*(1+$D28)</f>
        <v/>
      </c>
      <c r="I28" s="588">
        <f>+H28*(1+$D28)</f>
        <v/>
      </c>
      <c r="J28" s="588">
        <f>+I28*(1+$D28)</f>
        <v/>
      </c>
      <c r="K28" s="588">
        <f>+J28*(1+$D28)</f>
        <v/>
      </c>
      <c r="L28" s="588">
        <f>+K28*(1+$D28)</f>
        <v/>
      </c>
      <c r="M28" s="588">
        <f>+L28*(1+$D28)</f>
        <v/>
      </c>
      <c r="N28" s="588">
        <f>+M28*(1+$D28)</f>
        <v/>
      </c>
      <c r="O28" s="588">
        <f>+N28*(1+$D28)</f>
        <v/>
      </c>
    </row>
    <row r="29" ht="13.5" customHeight="1">
      <c r="C29" s="13" t="inlineStr">
        <is>
          <t>Payroll</t>
        </is>
      </c>
      <c r="E29" s="589">
        <f>SUM(E24:E28)</f>
        <v/>
      </c>
      <c r="F29" s="590">
        <f>SUM(F24:F28)</f>
        <v/>
      </c>
      <c r="G29" s="590">
        <f>SUM(G24:G28)</f>
        <v/>
      </c>
      <c r="H29" s="590">
        <f>SUM(H24:H28)</f>
        <v/>
      </c>
      <c r="I29" s="590">
        <f>SUM(I24:I28)</f>
        <v/>
      </c>
      <c r="J29" s="590">
        <f>SUM(J24:J28)</f>
        <v/>
      </c>
      <c r="K29" s="590">
        <f>SUM(K24:K28)</f>
        <v/>
      </c>
      <c r="L29" s="590">
        <f>SUM(L24:L28)</f>
        <v/>
      </c>
      <c r="M29" s="590">
        <f>SUM(M24:M28)</f>
        <v/>
      </c>
      <c r="N29" s="590">
        <f>SUM(N24:N28)</f>
        <v/>
      </c>
      <c r="O29" s="590">
        <f>SUM(O24:O28)</f>
        <v/>
      </c>
    </row>
    <row r="30" outlineLevel="1" ht="13.5" customHeight="1">
      <c r="E30" s="589" t="n"/>
      <c r="F30" s="590" t="n"/>
      <c r="G30" s="590" t="n"/>
      <c r="H30" s="590" t="n"/>
      <c r="I30" s="590" t="n"/>
      <c r="J30" s="590" t="n"/>
      <c r="K30" s="590" t="n"/>
      <c r="L30" s="590" t="n"/>
      <c r="M30" s="590" t="n"/>
      <c r="N30" s="590" t="n"/>
      <c r="O30" s="590" t="n"/>
    </row>
    <row r="31" outlineLevel="1" ht="13.5" customHeight="1">
      <c r="A31" s="132" t="inlineStr">
        <is>
          <t>MGMT</t>
        </is>
      </c>
      <c r="C31" s="208" t="inlineStr">
        <is>
          <t>Management Fee</t>
        </is>
      </c>
      <c r="D31" s="199">
        <f>+Dashboard!$P$41</f>
        <v/>
      </c>
      <c r="E31" s="227" t="n"/>
      <c r="F31" s="200">
        <f>+F9*$D$31</f>
        <v/>
      </c>
      <c r="G31" s="201">
        <f>+G9*$D$31</f>
        <v/>
      </c>
      <c r="H31" s="201">
        <f>+H9*$D$31</f>
        <v/>
      </c>
      <c r="I31" s="201">
        <f>+I9*$D$31</f>
        <v/>
      </c>
      <c r="J31" s="201">
        <f>+J9*$D$31</f>
        <v/>
      </c>
      <c r="K31" s="201">
        <f>+K9*$D$31</f>
        <v/>
      </c>
      <c r="L31" s="201">
        <f>+L9*$D$31</f>
        <v/>
      </c>
      <c r="M31" s="201">
        <f>+M9*$D$31</f>
        <v/>
      </c>
      <c r="N31" s="201">
        <f>+N9*$D$31</f>
        <v/>
      </c>
      <c r="O31" s="201">
        <f>+O9*$D$31</f>
        <v/>
      </c>
    </row>
    <row r="32" outlineLevel="1" ht="13.5" customHeight="1">
      <c r="A32" s="132" t="inlineStr">
        <is>
          <t>LEGAL</t>
        </is>
      </c>
      <c r="C32" s="208" t="inlineStr">
        <is>
          <t>Legal Expense</t>
        </is>
      </c>
      <c r="D32" s="199">
        <f>+Dashboard!$P$15</f>
        <v/>
      </c>
      <c r="E32" s="586" t="n"/>
      <c r="F32" s="591">
        <f>Dashboard!P42</f>
        <v/>
      </c>
      <c r="G32" s="588">
        <f>+F32*(1+$D32)</f>
        <v/>
      </c>
      <c r="H32" s="588">
        <f>+G32*(1+$D32)</f>
        <v/>
      </c>
      <c r="I32" s="588">
        <f>+H32*(1+$D32)</f>
        <v/>
      </c>
      <c r="J32" s="588">
        <f>+I32*(1+$D32)</f>
        <v/>
      </c>
      <c r="K32" s="588">
        <f>+J32*(1+$D32)</f>
        <v/>
      </c>
      <c r="L32" s="588">
        <f>+K32*(1+$D32)</f>
        <v/>
      </c>
      <c r="M32" s="588">
        <f>+L32*(1+$D32)</f>
        <v/>
      </c>
      <c r="N32" s="588">
        <f>+M32*(1+$D32)</f>
        <v/>
      </c>
      <c r="O32" s="588">
        <f>+N32*(1+$D32)</f>
        <v/>
      </c>
    </row>
    <row r="33" outlineLevel="1" ht="13.5" customHeight="1">
      <c r="A33" s="132" t="inlineStr">
        <is>
          <t>OFF</t>
        </is>
      </c>
      <c r="C33" s="208" t="inlineStr">
        <is>
          <t>Office Expense</t>
        </is>
      </c>
      <c r="D33" s="199">
        <f>+Dashboard!$P$15</f>
        <v/>
      </c>
      <c r="E33" s="586" t="n"/>
      <c r="F33" s="591">
        <f>Dashboard!P43</f>
        <v/>
      </c>
      <c r="G33" s="588">
        <f>+F33*(1+$D33)</f>
        <v/>
      </c>
      <c r="H33" s="588">
        <f>+G33*(1+$D33)</f>
        <v/>
      </c>
      <c r="I33" s="588">
        <f>+H33*(1+$D33)</f>
        <v/>
      </c>
      <c r="J33" s="588">
        <f>+I33*(1+$D33)</f>
        <v/>
      </c>
      <c r="K33" s="588">
        <f>+J33*(1+$D33)</f>
        <v/>
      </c>
      <c r="L33" s="588">
        <f>+K33*(1+$D33)</f>
        <v/>
      </c>
      <c r="M33" s="588">
        <f>+L33*(1+$D33)</f>
        <v/>
      </c>
      <c r="N33" s="588">
        <f>+M33*(1+$D33)</f>
        <v/>
      </c>
      <c r="O33" s="588">
        <f>+N33*(1+$D33)</f>
        <v/>
      </c>
    </row>
    <row r="34" outlineLevel="1" ht="13.5" customHeight="1">
      <c r="A34" s="132" t="inlineStr">
        <is>
          <t>TRAVEL</t>
        </is>
      </c>
      <c r="C34" s="208" t="inlineStr">
        <is>
          <t>Travel Cost</t>
        </is>
      </c>
      <c r="D34" s="199">
        <f>+Dashboard!$P$15</f>
        <v/>
      </c>
      <c r="E34" s="586" t="n"/>
      <c r="F34" s="591">
        <f>Dashboard!P44</f>
        <v/>
      </c>
      <c r="G34" s="588">
        <f>+F34*(1+$D34)</f>
        <v/>
      </c>
      <c r="H34" s="588">
        <f>+G34*(1+$D34)</f>
        <v/>
      </c>
      <c r="I34" s="588">
        <f>+H34*(1+$D34)</f>
        <v/>
      </c>
      <c r="J34" s="588">
        <f>+I34*(1+$D34)</f>
        <v/>
      </c>
      <c r="K34" s="588">
        <f>+J34*(1+$D34)</f>
        <v/>
      </c>
      <c r="L34" s="588">
        <f>+K34*(1+$D34)</f>
        <v/>
      </c>
      <c r="M34" s="588">
        <f>+L34*(1+$D34)</f>
        <v/>
      </c>
      <c r="N34" s="588">
        <f>+M34*(1+$D34)</f>
        <v/>
      </c>
      <c r="O34" s="588">
        <f>+N34*(1+$D34)</f>
        <v/>
      </c>
    </row>
    <row r="35" outlineLevel="1" ht="13.5" customHeight="1">
      <c r="A35" s="132" t="inlineStr">
        <is>
          <t>AUD</t>
        </is>
      </c>
      <c r="C35" s="208" t="inlineStr">
        <is>
          <t>Audit Expense</t>
        </is>
      </c>
      <c r="D35" s="199">
        <f>+Dashboard!$P$15</f>
        <v/>
      </c>
      <c r="E35" s="586" t="n"/>
      <c r="F35" s="591">
        <f>Dashboard!P45</f>
        <v/>
      </c>
      <c r="G35" s="588">
        <f>+F35*(1+$D35)</f>
        <v/>
      </c>
      <c r="H35" s="588">
        <f>+G35*(1+$D35)</f>
        <v/>
      </c>
      <c r="I35" s="588">
        <f>+H35*(1+$D35)</f>
        <v/>
      </c>
      <c r="J35" s="588">
        <f>+I35*(1+$D35)</f>
        <v/>
      </c>
      <c r="K35" s="588">
        <f>+J35*(1+$D35)</f>
        <v/>
      </c>
      <c r="L35" s="588">
        <f>+K35*(1+$D35)</f>
        <v/>
      </c>
      <c r="M35" s="588">
        <f>+L35*(1+$D35)</f>
        <v/>
      </c>
      <c r="N35" s="588">
        <f>+M35*(1+$D35)</f>
        <v/>
      </c>
      <c r="O35" s="588">
        <f>+N35*(1+$D35)</f>
        <v/>
      </c>
    </row>
    <row r="36" outlineLevel="1" ht="13.5" customHeight="1">
      <c r="A36" s="132" t="inlineStr">
        <is>
          <t>ADV</t>
        </is>
      </c>
      <c r="C36" s="208" t="inlineStr">
        <is>
          <t>Advertising</t>
        </is>
      </c>
      <c r="D36" s="199">
        <f>+Dashboard!$P$15</f>
        <v/>
      </c>
      <c r="E36" s="586" t="n"/>
      <c r="F36" s="591">
        <f>Dashboard!P46</f>
        <v/>
      </c>
      <c r="G36" s="588">
        <f>+F36*(1+$D36)</f>
        <v/>
      </c>
      <c r="H36" s="588">
        <f>+G36*(1+$D36)</f>
        <v/>
      </c>
      <c r="I36" s="588">
        <f>+H36*(1+$D36)</f>
        <v/>
      </c>
      <c r="J36" s="588">
        <f>+I36*(1+$D36)</f>
        <v/>
      </c>
      <c r="K36" s="588">
        <f>+J36*(1+$D36)</f>
        <v/>
      </c>
      <c r="L36" s="588">
        <f>+K36*(1+$D36)</f>
        <v/>
      </c>
      <c r="M36" s="588">
        <f>+L36*(1+$D36)</f>
        <v/>
      </c>
      <c r="N36" s="588">
        <f>+M36*(1+$D36)</f>
        <v/>
      </c>
      <c r="O36" s="588">
        <f>+N36*(1+$D36)</f>
        <v/>
      </c>
    </row>
    <row r="37" outlineLevel="1" ht="13.5" customHeight="1">
      <c r="A37" s="132" t="inlineStr">
        <is>
          <t>TRAIN</t>
        </is>
      </c>
      <c r="C37" s="208" t="inlineStr">
        <is>
          <t>Training Charge</t>
        </is>
      </c>
      <c r="D37" s="199">
        <f>+Dashboard!$P$15</f>
        <v/>
      </c>
      <c r="E37" s="586" t="n"/>
      <c r="F37" s="591">
        <f>Dashboard!P47</f>
        <v/>
      </c>
      <c r="G37" s="588">
        <f>+F37*(1+$D37)</f>
        <v/>
      </c>
      <c r="H37" s="588">
        <f>+G37*(1+$D37)</f>
        <v/>
      </c>
      <c r="I37" s="588">
        <f>+H37*(1+$D37)</f>
        <v/>
      </c>
      <c r="J37" s="588">
        <f>+I37*(1+$D37)</f>
        <v/>
      </c>
      <c r="K37" s="588">
        <f>+J37*(1+$D37)</f>
        <v/>
      </c>
      <c r="L37" s="588">
        <f>+K37*(1+$D37)</f>
        <v/>
      </c>
      <c r="M37" s="588">
        <f>+L37*(1+$D37)</f>
        <v/>
      </c>
      <c r="N37" s="588">
        <f>+M37*(1+$D37)</f>
        <v/>
      </c>
      <c r="O37" s="588">
        <f>+N37*(1+$D37)</f>
        <v/>
      </c>
    </row>
    <row r="38" outlineLevel="1" ht="13.5" customHeight="1">
      <c r="A38" s="132" t="inlineStr">
        <is>
          <t>BANK</t>
        </is>
      </c>
      <c r="C38" s="208" t="inlineStr">
        <is>
          <t>Bank Charges</t>
        </is>
      </c>
      <c r="D38" s="199">
        <f>+Dashboard!$P$15</f>
        <v/>
      </c>
      <c r="E38" s="586" t="n"/>
      <c r="F38" s="591">
        <f>Dashboard!P48</f>
        <v/>
      </c>
      <c r="G38" s="588">
        <f>+F38*(1+$D38)</f>
        <v/>
      </c>
      <c r="H38" s="588">
        <f>+G38*(1+$D38)</f>
        <v/>
      </c>
      <c r="I38" s="588">
        <f>+H38*(1+$D38)</f>
        <v/>
      </c>
      <c r="J38" s="588">
        <f>+I38*(1+$D38)</f>
        <v/>
      </c>
      <c r="K38" s="588">
        <f>+J38*(1+$D38)</f>
        <v/>
      </c>
      <c r="L38" s="588">
        <f>+K38*(1+$D38)</f>
        <v/>
      </c>
      <c r="M38" s="588">
        <f>+L38*(1+$D38)</f>
        <v/>
      </c>
      <c r="N38" s="588">
        <f>+M38*(1+$D38)</f>
        <v/>
      </c>
      <c r="O38" s="588">
        <f>+N38*(1+$D38)</f>
        <v/>
      </c>
    </row>
    <row r="39" outlineLevel="1" ht="13.5" customHeight="1">
      <c r="A39" s="132" t="inlineStr">
        <is>
          <t>BOOK</t>
        </is>
      </c>
      <c r="C39" s="208" t="inlineStr">
        <is>
          <t>Bookkeeping</t>
        </is>
      </c>
      <c r="D39" s="199">
        <f>+Dashboard!$P$15</f>
        <v/>
      </c>
      <c r="E39" s="586" t="n"/>
      <c r="F39" s="591">
        <f>Dashboard!P49</f>
        <v/>
      </c>
      <c r="G39" s="588">
        <f>+F39*(1+$D39)</f>
        <v/>
      </c>
      <c r="H39" s="588">
        <f>+G39*(1+$D39)</f>
        <v/>
      </c>
      <c r="I39" s="588">
        <f>+H39*(1+$D39)</f>
        <v/>
      </c>
      <c r="J39" s="588">
        <f>+I39*(1+$D39)</f>
        <v/>
      </c>
      <c r="K39" s="588">
        <f>+J39*(1+$D39)</f>
        <v/>
      </c>
      <c r="L39" s="588">
        <f>+K39*(1+$D39)</f>
        <v/>
      </c>
      <c r="M39" s="588">
        <f>+L39*(1+$D39)</f>
        <v/>
      </c>
      <c r="N39" s="588">
        <f>+M39*(1+$D39)</f>
        <v/>
      </c>
      <c r="O39" s="588">
        <f>+N39*(1+$D39)</f>
        <v/>
      </c>
    </row>
    <row r="40" outlineLevel="1" ht="13.5" customHeight="1">
      <c r="A40" s="132" t="inlineStr">
        <is>
          <t>PAYSERV</t>
        </is>
      </c>
      <c r="C40" s="208" t="inlineStr">
        <is>
          <t>Payroll Service</t>
        </is>
      </c>
      <c r="D40" s="199">
        <f>+Dashboard!$P$15</f>
        <v/>
      </c>
      <c r="E40" s="586" t="n"/>
      <c r="F40" s="591">
        <f>Dashboard!P50</f>
        <v/>
      </c>
      <c r="G40" s="588">
        <f>+F40*(1+$D40)</f>
        <v/>
      </c>
      <c r="H40" s="588">
        <f>+G40*(1+$D40)</f>
        <v/>
      </c>
      <c r="I40" s="588">
        <f>+H40*(1+$D40)</f>
        <v/>
      </c>
      <c r="J40" s="588">
        <f>+I40*(1+$D40)</f>
        <v/>
      </c>
      <c r="K40" s="588">
        <f>+J40*(1+$D40)</f>
        <v/>
      </c>
      <c r="L40" s="588">
        <f>+K40*(1+$D40)</f>
        <v/>
      </c>
      <c r="M40" s="588">
        <f>+L40*(1+$D40)</f>
        <v/>
      </c>
      <c r="N40" s="588">
        <f>+M40*(1+$D40)</f>
        <v/>
      </c>
      <c r="O40" s="588">
        <f>+N40*(1+$D40)</f>
        <v/>
      </c>
    </row>
    <row r="41" outlineLevel="1" ht="13.5" customHeight="1">
      <c r="A41" s="132" t="inlineStr">
        <is>
          <t>UNIT</t>
        </is>
      </c>
      <c r="C41" s="208" t="inlineStr">
        <is>
          <t>Manager Unit</t>
        </is>
      </c>
      <c r="D41" s="199">
        <f>+Dashboard!$P$15</f>
        <v/>
      </c>
      <c r="E41" s="586" t="n"/>
      <c r="F41" s="591">
        <f>Dashboard!P51</f>
        <v/>
      </c>
      <c r="G41" s="588">
        <f>+F41*(1+$D41)</f>
        <v/>
      </c>
      <c r="H41" s="588">
        <f>+G41*(1+$D41)</f>
        <v/>
      </c>
      <c r="I41" s="588">
        <f>+H41*(1+$D41)</f>
        <v/>
      </c>
      <c r="J41" s="588">
        <f>+I41*(1+$D41)</f>
        <v/>
      </c>
      <c r="K41" s="588">
        <f>+J41*(1+$D41)</f>
        <v/>
      </c>
      <c r="L41" s="588">
        <f>+K41*(1+$D41)</f>
        <v/>
      </c>
      <c r="M41" s="588">
        <f>+L41*(1+$D41)</f>
        <v/>
      </c>
      <c r="N41" s="588">
        <f>+M41*(1+$D41)</f>
        <v/>
      </c>
      <c r="O41" s="588">
        <f>+N41*(1+$D41)</f>
        <v/>
      </c>
    </row>
    <row r="42" outlineLevel="1" ht="13.5" customHeight="1">
      <c r="A42" s="132" t="inlineStr">
        <is>
          <t>MISCAD</t>
        </is>
      </c>
      <c r="C42" s="208" t="inlineStr">
        <is>
          <t>Misc. Admin Expenses</t>
        </is>
      </c>
      <c r="D42" s="199">
        <f>+Dashboard!$P$15</f>
        <v/>
      </c>
      <c r="E42" s="586" t="n">
        <v>0</v>
      </c>
      <c r="F42" s="591">
        <f>Dashboard!P52</f>
        <v/>
      </c>
      <c r="G42" s="588">
        <f>+F42*(1+$D42)</f>
        <v/>
      </c>
      <c r="H42" s="588">
        <f>+G42*(1+$D42)</f>
        <v/>
      </c>
      <c r="I42" s="588">
        <f>+H42*(1+$D42)</f>
        <v/>
      </c>
      <c r="J42" s="588">
        <f>+I42*(1+$D42)</f>
        <v/>
      </c>
      <c r="K42" s="588">
        <f>+J42*(1+$D42)</f>
        <v/>
      </c>
      <c r="L42" s="588">
        <f>+K42*(1+$D42)</f>
        <v/>
      </c>
      <c r="M42" s="588">
        <f>+L42*(1+$D42)</f>
        <v/>
      </c>
      <c r="N42" s="588">
        <f>+M42*(1+$D42)</f>
        <v/>
      </c>
      <c r="O42" s="588">
        <f>+N42*(1+$D42)</f>
        <v/>
      </c>
    </row>
    <row r="43" ht="13.5" customHeight="1">
      <c r="C43" s="13" t="inlineStr">
        <is>
          <t>Admin Expenses</t>
        </is>
      </c>
      <c r="E43" s="589">
        <f>SUM(E31:E42)</f>
        <v/>
      </c>
      <c r="F43" s="590">
        <f>SUM(F31:F42)</f>
        <v/>
      </c>
      <c r="G43" s="590">
        <f>SUM(G31:G42)</f>
        <v/>
      </c>
      <c r="H43" s="590">
        <f>SUM(H31:H42)</f>
        <v/>
      </c>
      <c r="I43" s="590">
        <f>SUM(I31:I42)</f>
        <v/>
      </c>
      <c r="J43" s="590">
        <f>SUM(J31:J42)</f>
        <v/>
      </c>
      <c r="K43" s="590">
        <f>SUM(K31:K42)</f>
        <v/>
      </c>
      <c r="L43" s="590">
        <f>SUM(L31:L42)</f>
        <v/>
      </c>
      <c r="M43" s="590">
        <f>SUM(M31:M42)</f>
        <v/>
      </c>
      <c r="N43" s="590">
        <f>SUM(N31:N42)</f>
        <v/>
      </c>
      <c r="O43" s="590">
        <f>SUM(O31:O42)</f>
        <v/>
      </c>
    </row>
    <row r="44" outlineLevel="1" ht="13.5" customHeight="1">
      <c r="E44" s="592" t="n"/>
      <c r="F44" s="593" t="n"/>
      <c r="G44" s="593" t="n"/>
      <c r="H44" s="593" t="n"/>
      <c r="I44" s="593" t="n"/>
      <c r="J44" s="593" t="n"/>
      <c r="K44" s="593" t="n"/>
      <c r="L44" s="593" t="n"/>
      <c r="M44" s="593" t="n"/>
      <c r="N44" s="593" t="n"/>
      <c r="O44" s="593" t="n"/>
    </row>
    <row r="45" outlineLevel="1" ht="13.5" customHeight="1">
      <c r="A45" s="132" t="inlineStr">
        <is>
          <t>ELEC</t>
        </is>
      </c>
      <c r="C45" s="206" t="inlineStr">
        <is>
          <t>Electric</t>
        </is>
      </c>
      <c r="D45" s="199">
        <f>+Dashboard!$P$15</f>
        <v/>
      </c>
      <c r="E45" s="227" t="n"/>
      <c r="F45" s="200">
        <f>+Dashboard!V10</f>
        <v/>
      </c>
      <c r="G45" s="588">
        <f>+F45*(1+$D45)</f>
        <v/>
      </c>
      <c r="H45" s="588">
        <f>+G45*(1+$D45)</f>
        <v/>
      </c>
      <c r="I45" s="588">
        <f>+H45*(1+$D45)</f>
        <v/>
      </c>
      <c r="J45" s="588">
        <f>+I45*(1+$D45)</f>
        <v/>
      </c>
      <c r="K45" s="588">
        <f>+J45*(1+$D45)</f>
        <v/>
      </c>
      <c r="L45" s="588">
        <f>+K45*(1+$D45)</f>
        <v/>
      </c>
      <c r="M45" s="588">
        <f>+L45*(1+$D45)</f>
        <v/>
      </c>
      <c r="N45" s="588">
        <f>+M45*(1+$D45)</f>
        <v/>
      </c>
      <c r="O45" s="588">
        <f>+N45*(1+$D45)</f>
        <v/>
      </c>
    </row>
    <row r="46" outlineLevel="1" ht="13.5" customHeight="1">
      <c r="A46" s="132" t="inlineStr">
        <is>
          <t>VAC</t>
        </is>
      </c>
      <c r="C46" s="207" t="inlineStr">
        <is>
          <t>Electric - Vacant</t>
        </is>
      </c>
      <c r="D46" s="199">
        <f>+Dashboard!$P$15</f>
        <v/>
      </c>
      <c r="E46" s="586" t="n"/>
      <c r="F46" s="591">
        <f>+Dashboard!V11</f>
        <v/>
      </c>
      <c r="G46" s="588">
        <f>+F46*(1+$D46)</f>
        <v/>
      </c>
      <c r="H46" s="588">
        <f>+G46*(1+$D46)</f>
        <v/>
      </c>
      <c r="I46" s="588">
        <f>+H46*(1+$D46)</f>
        <v/>
      </c>
      <c r="J46" s="588">
        <f>+I46*(1+$D46)</f>
        <v/>
      </c>
      <c r="K46" s="588">
        <f>+J46*(1+$D46)</f>
        <v/>
      </c>
      <c r="L46" s="588">
        <f>+K46*(1+$D46)</f>
        <v/>
      </c>
      <c r="M46" s="588">
        <f>+L46*(1+$D46)</f>
        <v/>
      </c>
      <c r="N46" s="588">
        <f>+M46*(1+$D46)</f>
        <v/>
      </c>
      <c r="O46" s="588">
        <f>+N46*(1+$D46)</f>
        <v/>
      </c>
    </row>
    <row r="47" outlineLevel="1" ht="13.5" customHeight="1">
      <c r="A47" s="132" t="inlineStr">
        <is>
          <t>WS</t>
        </is>
      </c>
      <c r="C47" s="207" t="inlineStr">
        <is>
          <t>Water &amp; Sewer</t>
        </is>
      </c>
      <c r="D47" s="199">
        <f>+Dashboard!$P$15</f>
        <v/>
      </c>
      <c r="E47" s="586" t="n"/>
      <c r="F47" s="591">
        <f>+Dashboard!V12</f>
        <v/>
      </c>
      <c r="G47" s="588">
        <f>+F47*(1+$D47)</f>
        <v/>
      </c>
      <c r="H47" s="588">
        <f>+G47*(1+$D47)</f>
        <v/>
      </c>
      <c r="I47" s="588">
        <f>+H47*(1+$D47)</f>
        <v/>
      </c>
      <c r="J47" s="588">
        <f>+I47*(1+$D47)</f>
        <v/>
      </c>
      <c r="K47" s="588">
        <f>+J47*(1+$D47)</f>
        <v/>
      </c>
      <c r="L47" s="588">
        <f>+K47*(1+$D47)</f>
        <v/>
      </c>
      <c r="M47" s="588">
        <f>+L47*(1+$D47)</f>
        <v/>
      </c>
      <c r="N47" s="588">
        <f>+M47*(1+$D47)</f>
        <v/>
      </c>
      <c r="O47" s="588">
        <f>+N47*(1+$D47)</f>
        <v/>
      </c>
    </row>
    <row r="48" outlineLevel="1" ht="13.5" customHeight="1">
      <c r="A48" s="132" t="inlineStr">
        <is>
          <t>GAS</t>
        </is>
      </c>
      <c r="C48" s="207" t="inlineStr">
        <is>
          <t>Gas</t>
        </is>
      </c>
      <c r="D48" s="199">
        <f>+Dashboard!$P$15</f>
        <v/>
      </c>
      <c r="E48" s="586" t="n"/>
      <c r="F48" s="591">
        <f>+Dashboard!V13</f>
        <v/>
      </c>
      <c r="G48" s="588">
        <f>+F48*(1+$D48)</f>
        <v/>
      </c>
      <c r="H48" s="588">
        <f>+G48*(1+$D48)</f>
        <v/>
      </c>
      <c r="I48" s="588">
        <f>+H48*(1+$D48)</f>
        <v/>
      </c>
      <c r="J48" s="588">
        <f>+I48*(1+$D48)</f>
        <v/>
      </c>
      <c r="K48" s="588">
        <f>+J48*(1+$D48)</f>
        <v/>
      </c>
      <c r="L48" s="588">
        <f>+K48*(1+$D48)</f>
        <v/>
      </c>
      <c r="M48" s="588">
        <f>+L48*(1+$D48)</f>
        <v/>
      </c>
      <c r="N48" s="588">
        <f>+M48*(1+$D48)</f>
        <v/>
      </c>
      <c r="O48" s="588">
        <f>+N48*(1+$D48)</f>
        <v/>
      </c>
    </row>
    <row r="49" outlineLevel="1" ht="13.5" customHeight="1">
      <c r="A49" s="132" t="inlineStr">
        <is>
          <t>CABLE</t>
        </is>
      </c>
      <c r="C49" s="207" t="inlineStr">
        <is>
          <t>Cable</t>
        </is>
      </c>
      <c r="D49" s="199">
        <f>+Dashboard!$P$15</f>
        <v/>
      </c>
      <c r="E49" s="586" t="n"/>
      <c r="F49" s="591">
        <f>+Dashboard!V14</f>
        <v/>
      </c>
      <c r="G49" s="588">
        <f>+F49*(1+$D49)</f>
        <v/>
      </c>
      <c r="H49" s="588">
        <f>+G49*(1+$D49)</f>
        <v/>
      </c>
      <c r="I49" s="588">
        <f>+H49*(1+$D49)</f>
        <v/>
      </c>
      <c r="J49" s="588">
        <f>+I49*(1+$D49)</f>
        <v/>
      </c>
      <c r="K49" s="588">
        <f>+J49*(1+$D49)</f>
        <v/>
      </c>
      <c r="L49" s="588">
        <f>+K49*(1+$D49)</f>
        <v/>
      </c>
      <c r="M49" s="588">
        <f>+L49*(1+$D49)</f>
        <v/>
      </c>
      <c r="N49" s="588">
        <f>+M49*(1+$D49)</f>
        <v/>
      </c>
      <c r="O49" s="588">
        <f>+N49*(1+$D49)</f>
        <v/>
      </c>
    </row>
    <row r="50" outlineLevel="1" ht="13.5" customHeight="1">
      <c r="A50" s="132" t="inlineStr">
        <is>
          <t>TRASH</t>
        </is>
      </c>
      <c r="C50" s="207" t="inlineStr">
        <is>
          <t>Trash/Garbage</t>
        </is>
      </c>
      <c r="D50" s="199">
        <f>+Dashboard!$P$15</f>
        <v/>
      </c>
      <c r="E50" s="586" t="n"/>
      <c r="F50" s="591">
        <f>+Dashboard!V15</f>
        <v/>
      </c>
      <c r="G50" s="588">
        <f>+F50*(1+$D50)</f>
        <v/>
      </c>
      <c r="H50" s="588">
        <f>+G50*(1+$D50)</f>
        <v/>
      </c>
      <c r="I50" s="588">
        <f>+H50*(1+$D50)</f>
        <v/>
      </c>
      <c r="J50" s="588">
        <f>+I50*(1+$D50)</f>
        <v/>
      </c>
      <c r="K50" s="588">
        <f>+J50*(1+$D50)</f>
        <v/>
      </c>
      <c r="L50" s="588">
        <f>+K50*(1+$D50)</f>
        <v/>
      </c>
      <c r="M50" s="588">
        <f>+L50*(1+$D50)</f>
        <v/>
      </c>
      <c r="N50" s="588">
        <f>+M50*(1+$D50)</f>
        <v/>
      </c>
      <c r="O50" s="588">
        <f>+N50*(1+$D50)</f>
        <v/>
      </c>
    </row>
    <row r="51" ht="13.5" customHeight="1">
      <c r="C51" s="13" t="inlineStr">
        <is>
          <t>Utility Expenses</t>
        </is>
      </c>
      <c r="E51" s="589">
        <f>SUM(E45:E50)</f>
        <v/>
      </c>
      <c r="F51" s="590">
        <f>SUM(F45:F50)</f>
        <v/>
      </c>
      <c r="G51" s="590">
        <f>SUM(G45:G50)</f>
        <v/>
      </c>
      <c r="H51" s="590">
        <f>SUM(H45:H50)</f>
        <v/>
      </c>
      <c r="I51" s="590">
        <f>SUM(I45:I50)</f>
        <v/>
      </c>
      <c r="J51" s="590">
        <f>SUM(J45:J50)</f>
        <v/>
      </c>
      <c r="K51" s="590">
        <f>SUM(K45:K50)</f>
        <v/>
      </c>
      <c r="L51" s="590">
        <f>SUM(L45:L50)</f>
        <v/>
      </c>
      <c r="M51" s="590">
        <f>SUM(M45:M50)</f>
        <v/>
      </c>
      <c r="N51" s="590">
        <f>SUM(N45:N50)</f>
        <v/>
      </c>
      <c r="O51" s="590">
        <f>SUM(O45:O50)</f>
        <v/>
      </c>
    </row>
    <row r="52" outlineLevel="1" ht="13.5" customHeight="1">
      <c r="E52" s="592" t="n"/>
      <c r="F52" s="593" t="n"/>
      <c r="G52" s="593" t="n"/>
      <c r="H52" s="593" t="n"/>
      <c r="I52" s="593" t="n"/>
      <c r="J52" s="593" t="n"/>
      <c r="K52" s="593" t="n"/>
      <c r="L52" s="593" t="n"/>
      <c r="M52" s="593" t="n"/>
      <c r="N52" s="593" t="n"/>
      <c r="O52" s="593" t="n"/>
    </row>
    <row r="53" outlineLevel="1" ht="13.5" customHeight="1">
      <c r="A53" s="132" t="inlineStr">
        <is>
          <t>RM</t>
        </is>
      </c>
      <c r="C53" s="206" t="inlineStr">
        <is>
          <t>In-House R&amp;M</t>
        </is>
      </c>
      <c r="D53" s="199">
        <f>+Dashboard!$P$15</f>
        <v/>
      </c>
      <c r="E53" s="227" t="n"/>
      <c r="F53" s="200">
        <f>+Dashboard!V20</f>
        <v/>
      </c>
      <c r="G53" s="588">
        <f>+F53*(1+$D53)</f>
        <v/>
      </c>
      <c r="H53" s="588">
        <f>+G53*(1+$D53)</f>
        <v/>
      </c>
      <c r="I53" s="588">
        <f>+H53*(1+$D53)</f>
        <v/>
      </c>
      <c r="J53" s="588">
        <f>+I53*(1+$D53)</f>
        <v/>
      </c>
      <c r="K53" s="588">
        <f>+J53*(1+$D53)</f>
        <v/>
      </c>
      <c r="L53" s="588">
        <f>+K53*(1+$D53)</f>
        <v/>
      </c>
      <c r="M53" s="588">
        <f>+L53*(1+$D53)</f>
        <v/>
      </c>
      <c r="N53" s="588">
        <f>+M53*(1+$D53)</f>
        <v/>
      </c>
      <c r="O53" s="588">
        <f>+N53*(1+$D53)</f>
        <v/>
      </c>
    </row>
    <row r="54" outlineLevel="1" ht="13.5" customHeight="1">
      <c r="A54" s="132" t="inlineStr">
        <is>
          <t>TURN</t>
        </is>
      </c>
      <c r="C54" s="207" t="inlineStr">
        <is>
          <t>Turnover</t>
        </is>
      </c>
      <c r="D54" s="199">
        <f>+Dashboard!$P$15</f>
        <v/>
      </c>
      <c r="E54" s="586" t="n"/>
      <c r="F54" s="591">
        <f>+Dashboard!V21</f>
        <v/>
      </c>
      <c r="G54" s="588">
        <f>+F54*(1+$D54)</f>
        <v/>
      </c>
      <c r="H54" s="588">
        <f>+G54*(1+$D54)</f>
        <v/>
      </c>
      <c r="I54" s="588">
        <f>+H54*(1+$D54)</f>
        <v/>
      </c>
      <c r="J54" s="588">
        <f>+I54*(1+$D54)</f>
        <v/>
      </c>
      <c r="K54" s="588">
        <f>+J54*(1+$D54)</f>
        <v/>
      </c>
      <c r="L54" s="588">
        <f>+K54*(1+$D54)</f>
        <v/>
      </c>
      <c r="M54" s="588">
        <f>+L54*(1+$D54)</f>
        <v/>
      </c>
      <c r="N54" s="588">
        <f>+M54*(1+$D54)</f>
        <v/>
      </c>
      <c r="O54" s="588">
        <f>+N54*(1+$D54)</f>
        <v/>
      </c>
    </row>
    <row r="55" outlineLevel="1" ht="13.5" customHeight="1">
      <c r="A55" s="132" t="inlineStr">
        <is>
          <t>SUPP</t>
        </is>
      </c>
      <c r="C55" s="207" t="inlineStr">
        <is>
          <t>Supplies</t>
        </is>
      </c>
      <c r="D55" s="199">
        <f>+Dashboard!$P$15</f>
        <v/>
      </c>
      <c r="E55" s="586" t="n"/>
      <c r="F55" s="591">
        <f>+Dashboard!V22</f>
        <v/>
      </c>
      <c r="G55" s="588">
        <f>+F55*(1+$D55)</f>
        <v/>
      </c>
      <c r="H55" s="588">
        <f>+G55*(1+$D55)</f>
        <v/>
      </c>
      <c r="I55" s="588">
        <f>+H55*(1+$D55)</f>
        <v/>
      </c>
      <c r="J55" s="588">
        <f>+I55*(1+$D55)</f>
        <v/>
      </c>
      <c r="K55" s="588">
        <f>+J55*(1+$D55)</f>
        <v/>
      </c>
      <c r="L55" s="588">
        <f>+K55*(1+$D55)</f>
        <v/>
      </c>
      <c r="M55" s="588">
        <f>+L55*(1+$D55)</f>
        <v/>
      </c>
      <c r="N55" s="588">
        <f>+M55*(1+$D55)</f>
        <v/>
      </c>
      <c r="O55" s="588">
        <f>+N55*(1+$D55)</f>
        <v/>
      </c>
    </row>
    <row r="56" outlineLevel="1" ht="13.5" customHeight="1">
      <c r="A56" s="132" t="inlineStr">
        <is>
          <t>APP</t>
        </is>
      </c>
      <c r="C56" s="207" t="inlineStr">
        <is>
          <t>Appliance/Electrical</t>
        </is>
      </c>
      <c r="D56" s="199">
        <f>+Dashboard!$P$15</f>
        <v/>
      </c>
      <c r="E56" s="586" t="n"/>
      <c r="F56" s="591">
        <f>+Dashboard!V26</f>
        <v/>
      </c>
      <c r="G56" s="588">
        <f>+F56*(1+$D56)</f>
        <v/>
      </c>
      <c r="H56" s="588">
        <f>+G56*(1+$D56)</f>
        <v/>
      </c>
      <c r="I56" s="588">
        <f>+H56*(1+$D56)</f>
        <v/>
      </c>
      <c r="J56" s="588">
        <f>+I56*(1+$D56)</f>
        <v/>
      </c>
      <c r="K56" s="588">
        <f>+J56*(1+$D56)</f>
        <v/>
      </c>
      <c r="L56" s="588">
        <f>+K56*(1+$D56)</f>
        <v/>
      </c>
      <c r="M56" s="588">
        <f>+L56*(1+$D56)</f>
        <v/>
      </c>
      <c r="N56" s="588">
        <f>+M56*(1+$D56)</f>
        <v/>
      </c>
      <c r="O56" s="588">
        <f>+N56*(1+$D56)</f>
        <v/>
      </c>
    </row>
    <row r="57" outlineLevel="1" ht="13.5" customHeight="1">
      <c r="A57" s="132" t="inlineStr">
        <is>
          <t>HP</t>
        </is>
      </c>
      <c r="C57" s="207" t="inlineStr">
        <is>
          <t>HVAC &amp; Plumbing</t>
        </is>
      </c>
      <c r="D57" s="199">
        <f>+Dashboard!$P$15</f>
        <v/>
      </c>
      <c r="E57" s="586" t="n">
        <v>0</v>
      </c>
      <c r="F57" s="591">
        <f>+Dashboard!V27</f>
        <v/>
      </c>
      <c r="G57" s="588">
        <f>+F57*(1+$D57)</f>
        <v/>
      </c>
      <c r="H57" s="588">
        <f>+G57*(1+$D57)</f>
        <v/>
      </c>
      <c r="I57" s="588">
        <f>+H57*(1+$D57)</f>
        <v/>
      </c>
      <c r="J57" s="588">
        <f>+I57*(1+$D57)</f>
        <v/>
      </c>
      <c r="K57" s="588">
        <f>+J57*(1+$D57)</f>
        <v/>
      </c>
      <c r="L57" s="588">
        <f>+K57*(1+$D57)</f>
        <v/>
      </c>
      <c r="M57" s="588">
        <f>+L57*(1+$D57)</f>
        <v/>
      </c>
      <c r="N57" s="588">
        <f>+M57*(1+$D57)</f>
        <v/>
      </c>
      <c r="O57" s="588">
        <f>+N57*(1+$D57)</f>
        <v/>
      </c>
    </row>
    <row r="58" outlineLevel="1" ht="13.5" customHeight="1">
      <c r="A58" s="13" t="inlineStr">
        <is>
          <t>CONC</t>
        </is>
      </c>
      <c r="C58" s="207" t="inlineStr">
        <is>
          <t>Rent Concessions</t>
        </is>
      </c>
      <c r="D58" s="199">
        <f>+Dashboard!$P$15</f>
        <v/>
      </c>
      <c r="E58" s="586" t="n">
        <v>0</v>
      </c>
      <c r="F58" s="591">
        <f>+Dashboard!V28</f>
        <v/>
      </c>
      <c r="G58" s="588">
        <f>+F58*(1+$D58)</f>
        <v/>
      </c>
      <c r="H58" s="588">
        <f>+G58*(1+$D58)</f>
        <v/>
      </c>
      <c r="I58" s="588">
        <f>+H58*(1+$D58)</f>
        <v/>
      </c>
      <c r="J58" s="588">
        <f>+I58*(1+$D58)</f>
        <v/>
      </c>
      <c r="K58" s="588">
        <f>+J58*(1+$D58)</f>
        <v/>
      </c>
      <c r="L58" s="588">
        <f>+K58*(1+$D58)</f>
        <v/>
      </c>
      <c r="M58" s="588">
        <f>+L58*(1+$D58)</f>
        <v/>
      </c>
      <c r="N58" s="588">
        <f>+M58*(1+$D58)</f>
        <v/>
      </c>
      <c r="O58" s="588">
        <f>+N58*(1+$D58)</f>
        <v/>
      </c>
    </row>
    <row r="59" ht="13.5" customHeight="1">
      <c r="C59" s="13" t="inlineStr">
        <is>
          <t>Operating and Maint.</t>
        </is>
      </c>
      <c r="E59" s="589">
        <f>SUM(E53:E58)</f>
        <v/>
      </c>
      <c r="F59" s="590">
        <f>SUM(F53:F58)</f>
        <v/>
      </c>
      <c r="G59" s="590">
        <f>SUM(G53:G58)</f>
        <v/>
      </c>
      <c r="H59" s="590">
        <f>SUM(H53:H58)</f>
        <v/>
      </c>
      <c r="I59" s="590">
        <f>SUM(I53:I58)</f>
        <v/>
      </c>
      <c r="J59" s="590">
        <f>SUM(J53:J58)</f>
        <v/>
      </c>
      <c r="K59" s="590">
        <f>SUM(K53:K58)</f>
        <v/>
      </c>
      <c r="L59" s="590">
        <f>SUM(L53:L58)</f>
        <v/>
      </c>
      <c r="M59" s="590">
        <f>SUM(M53:M58)</f>
        <v/>
      </c>
      <c r="N59" s="590">
        <f>SUM(N53:N58)</f>
        <v/>
      </c>
      <c r="O59" s="590">
        <f>SUM(O53:O58)</f>
        <v/>
      </c>
    </row>
    <row r="60" outlineLevel="1" ht="13.5" customHeight="1">
      <c r="E60" s="592" t="n"/>
      <c r="F60" s="593" t="n"/>
      <c r="G60" s="593" t="n"/>
      <c r="H60" s="593" t="n"/>
      <c r="I60" s="593" t="n"/>
      <c r="J60" s="593" t="n"/>
      <c r="K60" s="593" t="n"/>
      <c r="L60" s="593" t="n"/>
      <c r="M60" s="593" t="n"/>
      <c r="N60" s="593" t="n"/>
      <c r="O60" s="593" t="n"/>
    </row>
    <row r="61" outlineLevel="1" ht="13.5" customHeight="1">
      <c r="A61" s="132" t="inlineStr">
        <is>
          <t>LAND</t>
        </is>
      </c>
      <c r="C61" s="206" t="inlineStr">
        <is>
          <t>Landscaping/Grounds Contract</t>
        </is>
      </c>
      <c r="D61" s="199">
        <f>+Dashboard!$P$15</f>
        <v/>
      </c>
      <c r="E61" s="227" t="n"/>
      <c r="F61" s="200">
        <f>+Dashboard!V31</f>
        <v/>
      </c>
      <c r="G61" s="201">
        <f>+F61*(1+$D61)</f>
        <v/>
      </c>
      <c r="H61" s="201">
        <f>+G61*(1+$D61)</f>
        <v/>
      </c>
      <c r="I61" s="201">
        <f>+H61*(1+$D61)</f>
        <v/>
      </c>
      <c r="J61" s="201">
        <f>+I61*(1+$D61)</f>
        <v/>
      </c>
      <c r="K61" s="201">
        <f>+J61*(1+$D61)</f>
        <v/>
      </c>
      <c r="L61" s="201">
        <f>+K61*(1+$D61)</f>
        <v/>
      </c>
      <c r="M61" s="201">
        <f>+L61*(1+$D61)</f>
        <v/>
      </c>
      <c r="N61" s="201">
        <f>+M61*(1+$D61)</f>
        <v/>
      </c>
      <c r="O61" s="201">
        <f>+N61*(1+$D61)</f>
        <v/>
      </c>
    </row>
    <row r="62" outlineLevel="1" ht="13.5" customHeight="1">
      <c r="A62" s="132" t="inlineStr">
        <is>
          <t>FIRE</t>
        </is>
      </c>
      <c r="C62" s="207" t="inlineStr">
        <is>
          <t>Fire &amp; Safety System</t>
        </is>
      </c>
      <c r="D62" s="199">
        <f>+Dashboard!$P$15</f>
        <v/>
      </c>
      <c r="E62" s="586" t="n"/>
      <c r="F62" s="591">
        <f>+Dashboard!V32</f>
        <v/>
      </c>
      <c r="G62" s="588">
        <f>+F62*(1+$D62)</f>
        <v/>
      </c>
      <c r="H62" s="588">
        <f>+G62*(1+$D62)</f>
        <v/>
      </c>
      <c r="I62" s="588">
        <f>+H62*(1+$D62)</f>
        <v/>
      </c>
      <c r="J62" s="588">
        <f>+I62*(1+$D62)</f>
        <v/>
      </c>
      <c r="K62" s="588">
        <f>+J62*(1+$D62)</f>
        <v/>
      </c>
      <c r="L62" s="588">
        <f>+K62*(1+$D62)</f>
        <v/>
      </c>
      <c r="M62" s="588">
        <f>+L62*(1+$D62)</f>
        <v/>
      </c>
      <c r="N62" s="588">
        <f>+M62*(1+$D62)</f>
        <v/>
      </c>
      <c r="O62" s="588">
        <f>+N62*(1+$D62)</f>
        <v/>
      </c>
    </row>
    <row r="63" outlineLevel="1" ht="13.5" customHeight="1">
      <c r="A63" s="132" t="inlineStr">
        <is>
          <t>SEC</t>
        </is>
      </c>
      <c r="C63" s="207" t="inlineStr">
        <is>
          <t>Security</t>
        </is>
      </c>
      <c r="D63" s="199">
        <f>+Dashboard!$P$15</f>
        <v/>
      </c>
      <c r="E63" s="586" t="n"/>
      <c r="F63" s="591">
        <f>+Dashboard!V33</f>
        <v/>
      </c>
      <c r="G63" s="588">
        <f>+F63*(1+$D63)</f>
        <v/>
      </c>
      <c r="H63" s="588">
        <f>+G63*(1+$D63)</f>
        <v/>
      </c>
      <c r="I63" s="588">
        <f>+H63*(1+$D63)</f>
        <v/>
      </c>
      <c r="J63" s="588">
        <f>+I63*(1+$D63)</f>
        <v/>
      </c>
      <c r="K63" s="588">
        <f>+J63*(1+$D63)</f>
        <v/>
      </c>
      <c r="L63" s="588">
        <f>+K63*(1+$D63)</f>
        <v/>
      </c>
      <c r="M63" s="588">
        <f>+L63*(1+$D63)</f>
        <v/>
      </c>
      <c r="N63" s="588">
        <f>+M63*(1+$D63)</f>
        <v/>
      </c>
      <c r="O63" s="588">
        <f>+N63*(1+$D63)</f>
        <v/>
      </c>
    </row>
    <row r="64" outlineLevel="1" ht="13.5" customHeight="1">
      <c r="A64" s="132" t="inlineStr">
        <is>
          <t>PEST</t>
        </is>
      </c>
      <c r="C64" s="207" t="inlineStr">
        <is>
          <t>Pest Control</t>
        </is>
      </c>
      <c r="D64" s="199">
        <f>+Dashboard!$P$15</f>
        <v/>
      </c>
      <c r="E64" s="586" t="n"/>
      <c r="F64" s="591">
        <f>+Dashboard!V34</f>
        <v/>
      </c>
      <c r="G64" s="588">
        <f>+F64*(1+$D64)</f>
        <v/>
      </c>
      <c r="H64" s="588">
        <f>+G64*(1+$D64)</f>
        <v/>
      </c>
      <c r="I64" s="588">
        <f>+H64*(1+$D64)</f>
        <v/>
      </c>
      <c r="J64" s="588">
        <f>+I64*(1+$D64)</f>
        <v/>
      </c>
      <c r="K64" s="588">
        <f>+J64*(1+$D64)</f>
        <v/>
      </c>
      <c r="L64" s="588">
        <f>+K64*(1+$D64)</f>
        <v/>
      </c>
      <c r="M64" s="588">
        <f>+L64*(1+$D64)</f>
        <v/>
      </c>
      <c r="N64" s="588">
        <f>+M64*(1+$D64)</f>
        <v/>
      </c>
      <c r="O64" s="588">
        <f>+N64*(1+$D64)</f>
        <v/>
      </c>
    </row>
    <row r="65" outlineLevel="1" ht="13.5" customHeight="1">
      <c r="A65" s="132" t="inlineStr">
        <is>
          <t>CON</t>
        </is>
      </c>
      <c r="C65" s="207" t="inlineStr">
        <is>
          <t>Misc. Contracts</t>
        </is>
      </c>
      <c r="D65" s="199">
        <f>+Dashboard!$P$15</f>
        <v/>
      </c>
      <c r="E65" s="586" t="n"/>
      <c r="F65" s="591">
        <f>+Dashboard!V35</f>
        <v/>
      </c>
      <c r="G65" s="588">
        <f>+F65*(1+$D65)</f>
        <v/>
      </c>
      <c r="H65" s="588">
        <f>+G65*(1+$D65)</f>
        <v/>
      </c>
      <c r="I65" s="588">
        <f>+H65*(1+$D65)</f>
        <v/>
      </c>
      <c r="J65" s="588">
        <f>+I65*(1+$D65)</f>
        <v/>
      </c>
      <c r="K65" s="588">
        <f>+J65*(1+$D65)</f>
        <v/>
      </c>
      <c r="L65" s="588">
        <f>+K65*(1+$D65)</f>
        <v/>
      </c>
      <c r="M65" s="588">
        <f>+L65*(1+$D65)</f>
        <v/>
      </c>
      <c r="N65" s="588">
        <f>+M65*(1+$D65)</f>
        <v/>
      </c>
      <c r="O65" s="588">
        <f>+N65*(1+$D65)</f>
        <v/>
      </c>
    </row>
    <row r="66" outlineLevel="1" ht="13.5" customHeight="1">
      <c r="A66" s="132" t="inlineStr">
        <is>
          <t>ELEV</t>
        </is>
      </c>
      <c r="C66" s="207" t="inlineStr">
        <is>
          <t>Elevator Costs</t>
        </is>
      </c>
      <c r="D66" s="199">
        <f>+Dashboard!$P$15</f>
        <v/>
      </c>
      <c r="E66" s="586" t="n"/>
      <c r="F66" s="591">
        <f>+Dashboard!V36</f>
        <v/>
      </c>
      <c r="G66" s="588">
        <f>+F66*(1+$D66)</f>
        <v/>
      </c>
      <c r="H66" s="588">
        <f>+G66*(1+$D66)</f>
        <v/>
      </c>
      <c r="I66" s="588">
        <f>+H66*(1+$D66)</f>
        <v/>
      </c>
      <c r="J66" s="588">
        <f>+I66*(1+$D66)</f>
        <v/>
      </c>
      <c r="K66" s="588">
        <f>+J66*(1+$D66)</f>
        <v/>
      </c>
      <c r="L66" s="588">
        <f>+K66*(1+$D66)</f>
        <v/>
      </c>
      <c r="M66" s="588">
        <f>+L66*(1+$D66)</f>
        <v/>
      </c>
      <c r="N66" s="588">
        <f>+M66*(1+$D66)</f>
        <v/>
      </c>
      <c r="O66" s="588">
        <f>+N66*(1+$D66)</f>
        <v/>
      </c>
    </row>
    <row r="67" outlineLevel="1" ht="13.5" customHeight="1">
      <c r="A67" s="132" t="inlineStr">
        <is>
          <t>SNOW</t>
        </is>
      </c>
      <c r="C67" s="207" t="inlineStr">
        <is>
          <t>Snow</t>
        </is>
      </c>
      <c r="D67" s="199">
        <f>+Dashboard!$P$15</f>
        <v/>
      </c>
      <c r="E67" s="586" t="n"/>
      <c r="F67" s="591">
        <f>+Dashboard!V37</f>
        <v/>
      </c>
      <c r="G67" s="588">
        <f>+F67*(1+$D67)</f>
        <v/>
      </c>
      <c r="H67" s="588">
        <f>+G67*(1+$D67)</f>
        <v/>
      </c>
      <c r="I67" s="588">
        <f>+H67*(1+$D67)</f>
        <v/>
      </c>
      <c r="J67" s="588">
        <f>+I67*(1+$D67)</f>
        <v/>
      </c>
      <c r="K67" s="588">
        <f>+J67*(1+$D67)</f>
        <v/>
      </c>
      <c r="L67" s="588">
        <f>+K67*(1+$D67)</f>
        <v/>
      </c>
      <c r="M67" s="588">
        <f>+L67*(1+$D67)</f>
        <v/>
      </c>
      <c r="N67" s="588">
        <f>+M67*(1+$D67)</f>
        <v/>
      </c>
      <c r="O67" s="588">
        <f>+N67*(1+$D67)</f>
        <v/>
      </c>
    </row>
    <row r="68" outlineLevel="1" ht="13.5" customHeight="1">
      <c r="A68" s="132" t="inlineStr">
        <is>
          <t>MISCOP</t>
        </is>
      </c>
      <c r="C68" s="207" t="inlineStr">
        <is>
          <t>Misc. Operating &amp; Maint.</t>
        </is>
      </c>
      <c r="D68" s="199">
        <f>+Dashboard!$P$15</f>
        <v/>
      </c>
      <c r="E68" s="586" t="n"/>
      <c r="F68" s="591">
        <f>+Dashboard!V38</f>
        <v/>
      </c>
      <c r="G68" s="588">
        <f>+F68*(1+$D68)</f>
        <v/>
      </c>
      <c r="H68" s="588">
        <f>+G68*(1+$D68)</f>
        <v/>
      </c>
      <c r="I68" s="588">
        <f>+H68*(1+$D68)</f>
        <v/>
      </c>
      <c r="J68" s="588">
        <f>+I68*(1+$D68)</f>
        <v/>
      </c>
      <c r="K68" s="588">
        <f>+J68*(1+$D68)</f>
        <v/>
      </c>
      <c r="L68" s="588">
        <f>+K68*(1+$D68)</f>
        <v/>
      </c>
      <c r="M68" s="588">
        <f>+L68*(1+$D68)</f>
        <v/>
      </c>
      <c r="N68" s="588">
        <f>+M68*(1+$D68)</f>
        <v/>
      </c>
      <c r="O68" s="588">
        <f>+N68*(1+$D68)</f>
        <v/>
      </c>
    </row>
    <row r="69" ht="13.5" customHeight="1">
      <c r="C69" s="13" t="inlineStr">
        <is>
          <t>Contract Expenses</t>
        </is>
      </c>
      <c r="E69" s="589">
        <f>SUM(E61:E68)</f>
        <v/>
      </c>
      <c r="F69" s="590">
        <f>SUM(F61:F68)</f>
        <v/>
      </c>
      <c r="G69" s="590">
        <f>SUM(G61:G68)</f>
        <v/>
      </c>
      <c r="H69" s="590">
        <f>SUM(H61:H68)</f>
        <v/>
      </c>
      <c r="I69" s="590">
        <f>SUM(I61:I68)</f>
        <v/>
      </c>
      <c r="J69" s="590">
        <f>SUM(J61:J68)</f>
        <v/>
      </c>
      <c r="K69" s="590">
        <f>SUM(K61:K68)</f>
        <v/>
      </c>
      <c r="L69" s="590">
        <f>SUM(L61:L68)</f>
        <v/>
      </c>
      <c r="M69" s="590">
        <f>SUM(M61:M68)</f>
        <v/>
      </c>
      <c r="N69" s="590">
        <f>SUM(N61:N68)</f>
        <v/>
      </c>
      <c r="O69" s="590">
        <f>SUM(O61:O68)</f>
        <v/>
      </c>
    </row>
    <row r="70" outlineLevel="1" ht="13.5" customHeight="1">
      <c r="E70" s="592" t="n"/>
      <c r="F70" s="593" t="n"/>
      <c r="G70" s="593" t="n"/>
      <c r="H70" s="593" t="n"/>
      <c r="I70" s="593" t="n"/>
      <c r="J70" s="593" t="n"/>
      <c r="K70" s="593" t="n"/>
      <c r="L70" s="593" t="n"/>
      <c r="M70" s="593" t="n"/>
      <c r="N70" s="593" t="n"/>
      <c r="O70" s="593" t="n"/>
    </row>
    <row r="71" outlineLevel="1" ht="13.5" customHeight="1">
      <c r="A71" s="132" t="inlineStr">
        <is>
          <t>RETAX</t>
        </is>
      </c>
      <c r="C71" s="207" t="inlineStr">
        <is>
          <t>Real Estate Taxes</t>
        </is>
      </c>
      <c r="D71" s="199">
        <f>+Dashboard!$P$15</f>
        <v/>
      </c>
      <c r="E71" s="227" t="n"/>
      <c r="F71" s="200">
        <f>+Dashboard!V46</f>
        <v/>
      </c>
      <c r="G71" s="201">
        <f>+F71*(1+$D71)</f>
        <v/>
      </c>
      <c r="H71" s="201">
        <f>+G71*(1+$D71)</f>
        <v/>
      </c>
      <c r="I71" s="201">
        <f>+H71*(1+$D71)</f>
        <v/>
      </c>
      <c r="J71" s="201">
        <f>+I71*(1+$D71)</f>
        <v/>
      </c>
      <c r="K71" s="201">
        <f>+J71*(1+$D71)</f>
        <v/>
      </c>
      <c r="L71" s="201">
        <f>+K71*(1+$D71)</f>
        <v/>
      </c>
      <c r="M71" s="201">
        <f>+L71*(1+$D71)</f>
        <v/>
      </c>
      <c r="N71" s="201">
        <f>+M71*(1+$D71)</f>
        <v/>
      </c>
      <c r="O71" s="201">
        <f>+N71*(1+$D71)</f>
        <v/>
      </c>
    </row>
    <row r="72" outlineLevel="1" ht="13.5" customHeight="1">
      <c r="A72" s="132" t="inlineStr">
        <is>
          <t>INS</t>
        </is>
      </c>
      <c r="C72" s="207" t="inlineStr">
        <is>
          <t>Property &amp; Liability Insurance</t>
        </is>
      </c>
      <c r="D72" s="199">
        <f>+Dashboard!$P$15</f>
        <v/>
      </c>
      <c r="E72" s="586" t="n"/>
      <c r="F72" s="591">
        <f>+Dashboard!V48</f>
        <v/>
      </c>
      <c r="G72" s="588">
        <f>+F72*(1+$D72)</f>
        <v/>
      </c>
      <c r="H72" s="588">
        <f>+G72*(1+$D72)</f>
        <v/>
      </c>
      <c r="I72" s="588">
        <f>+H72*(1+$D72)</f>
        <v/>
      </c>
      <c r="J72" s="588">
        <f>+I72*(1+$D72)</f>
        <v/>
      </c>
      <c r="K72" s="588">
        <f>+J72*(1+$D72)</f>
        <v/>
      </c>
      <c r="L72" s="588">
        <f>+K72*(1+$D72)</f>
        <v/>
      </c>
      <c r="M72" s="588">
        <f>+L72*(1+$D72)</f>
        <v/>
      </c>
      <c r="N72" s="588">
        <f>+M72*(1+$D72)</f>
        <v/>
      </c>
      <c r="O72" s="588">
        <f>+N72*(1+$D72)</f>
        <v/>
      </c>
    </row>
    <row r="73" outlineLevel="1" ht="13.5" customHeight="1">
      <c r="A73" s="132" t="inlineStr">
        <is>
          <t>WORKCOMP</t>
        </is>
      </c>
      <c r="C73" s="207" t="inlineStr">
        <is>
          <t>Workmens Comp</t>
        </is>
      </c>
      <c r="D73" s="199">
        <f>+Dashboard!$P$15</f>
        <v/>
      </c>
      <c r="E73" s="586" t="n"/>
      <c r="F73" s="591">
        <f>+Dashboard!V49</f>
        <v/>
      </c>
      <c r="G73" s="588">
        <f>+F73*(1+$D73)</f>
        <v/>
      </c>
      <c r="H73" s="588">
        <f>+G73*(1+$D73)</f>
        <v/>
      </c>
      <c r="I73" s="588">
        <f>+H73*(1+$D73)</f>
        <v/>
      </c>
      <c r="J73" s="588">
        <f>+I73*(1+$D73)</f>
        <v/>
      </c>
      <c r="K73" s="588">
        <f>+J73*(1+$D73)</f>
        <v/>
      </c>
      <c r="L73" s="588">
        <f>+K73*(1+$D73)</f>
        <v/>
      </c>
      <c r="M73" s="588">
        <f>+L73*(1+$D73)</f>
        <v/>
      </c>
      <c r="N73" s="588">
        <f>+M73*(1+$D73)</f>
        <v/>
      </c>
      <c r="O73" s="588">
        <f>+N73*(1+$D73)</f>
        <v/>
      </c>
    </row>
    <row r="74" outlineLevel="1" ht="13.5" customHeight="1">
      <c r="A74" s="132" t="inlineStr">
        <is>
          <t>HEALTH</t>
        </is>
      </c>
      <c r="C74" s="207" t="inlineStr">
        <is>
          <t>Health Insurance &amp; Other Benefits</t>
        </is>
      </c>
      <c r="D74" s="199">
        <f>+Dashboard!$P$15</f>
        <v/>
      </c>
      <c r="E74" s="586" t="n"/>
      <c r="F74" s="591">
        <f>+Dashboard!V50</f>
        <v/>
      </c>
      <c r="G74" s="588">
        <f>+F74*(1+$D74)</f>
        <v/>
      </c>
      <c r="H74" s="588">
        <f>+G74*(1+$D74)</f>
        <v/>
      </c>
      <c r="I74" s="588">
        <f>+H74*(1+$D74)</f>
        <v/>
      </c>
      <c r="J74" s="588">
        <f>+I74*(1+$D74)</f>
        <v/>
      </c>
      <c r="K74" s="588">
        <f>+J74*(1+$D74)</f>
        <v/>
      </c>
      <c r="L74" s="588">
        <f>+K74*(1+$D74)</f>
        <v/>
      </c>
      <c r="M74" s="588">
        <f>+L74*(1+$D74)</f>
        <v/>
      </c>
      <c r="N74" s="588">
        <f>+M74*(1+$D74)</f>
        <v/>
      </c>
      <c r="O74" s="588">
        <f>+N74*(1+$D74)</f>
        <v/>
      </c>
    </row>
    <row r="75" outlineLevel="1" ht="13.5" customHeight="1">
      <c r="A75" s="132" t="inlineStr">
        <is>
          <t>PTAX</t>
        </is>
      </c>
      <c r="C75" s="207" t="inlineStr">
        <is>
          <t xml:space="preserve">Payroll Tax </t>
        </is>
      </c>
      <c r="D75" s="199">
        <f>+Dashboard!$P$15</f>
        <v/>
      </c>
      <c r="E75" s="586" t="n"/>
      <c r="F75" s="591">
        <f>+Dashboard!V51</f>
        <v/>
      </c>
      <c r="G75" s="588">
        <f>+F75*(1+$D75)</f>
        <v/>
      </c>
      <c r="H75" s="588">
        <f>+G75*(1+$D75)</f>
        <v/>
      </c>
      <c r="I75" s="588">
        <f>+H75*(1+$D75)</f>
        <v/>
      </c>
      <c r="J75" s="588">
        <f>+I75*(1+$D75)</f>
        <v/>
      </c>
      <c r="K75" s="588">
        <f>+J75*(1+$D75)</f>
        <v/>
      </c>
      <c r="L75" s="588">
        <f>+K75*(1+$D75)</f>
        <v/>
      </c>
      <c r="M75" s="588">
        <f>+L75*(1+$D75)</f>
        <v/>
      </c>
      <c r="N75" s="588">
        <f>+M75*(1+$D75)</f>
        <v/>
      </c>
      <c r="O75" s="588">
        <f>+N75*(1+$D75)</f>
        <v/>
      </c>
    </row>
    <row r="76" outlineLevel="1" ht="13.5" customHeight="1">
      <c r="A76" s="132" t="inlineStr">
        <is>
          <t>MISCTAX</t>
        </is>
      </c>
      <c r="C76" s="207" t="inlineStr">
        <is>
          <t>Misc Taxes, Licenses,  Etc.</t>
        </is>
      </c>
      <c r="D76" s="199">
        <f>+Dashboard!$P$15</f>
        <v/>
      </c>
      <c r="E76" s="586" t="n"/>
      <c r="F76" s="591">
        <f>+Dashboard!V52</f>
        <v/>
      </c>
      <c r="G76" s="588">
        <f>+F76*(1+$D76)</f>
        <v/>
      </c>
      <c r="H76" s="588">
        <f>+G76*(1+$D76)</f>
        <v/>
      </c>
      <c r="I76" s="588">
        <f>+H76*(1+$D76)</f>
        <v/>
      </c>
      <c r="J76" s="588">
        <f>+I76*(1+$D76)</f>
        <v/>
      </c>
      <c r="K76" s="588">
        <f>+J76*(1+$D76)</f>
        <v/>
      </c>
      <c r="L76" s="588">
        <f>+K76*(1+$D76)</f>
        <v/>
      </c>
      <c r="M76" s="588">
        <f>+L76*(1+$D76)</f>
        <v/>
      </c>
      <c r="N76" s="588">
        <f>+M76*(1+$D76)</f>
        <v/>
      </c>
      <c r="O76" s="588">
        <f>+N76*(1+$D76)</f>
        <v/>
      </c>
    </row>
    <row r="77" ht="13.5" customHeight="1">
      <c r="C77" s="13" t="inlineStr">
        <is>
          <t>Total Taxes and Insurance Expenses</t>
        </is>
      </c>
      <c r="E77" s="589">
        <f>SUM(E71:E76)</f>
        <v/>
      </c>
      <c r="F77" s="590">
        <f>SUM(F71:F76)</f>
        <v/>
      </c>
      <c r="G77" s="590">
        <f>SUM(G71:G76)</f>
        <v/>
      </c>
      <c r="H77" s="590">
        <f>SUM(H71:H76)</f>
        <v/>
      </c>
      <c r="I77" s="590">
        <f>SUM(I71:I76)</f>
        <v/>
      </c>
      <c r="J77" s="590">
        <f>SUM(J71:J76)</f>
        <v/>
      </c>
      <c r="K77" s="590">
        <f>SUM(K71:K76)</f>
        <v/>
      </c>
      <c r="L77" s="590">
        <f>SUM(L71:L76)</f>
        <v/>
      </c>
      <c r="M77" s="590">
        <f>SUM(M71:M76)</f>
        <v/>
      </c>
      <c r="N77" s="590">
        <f>SUM(N71:N76)</f>
        <v/>
      </c>
      <c r="O77" s="590">
        <f>SUM(O71:O76)</f>
        <v/>
      </c>
    </row>
    <row r="78" ht="5.1" customHeight="1">
      <c r="E78" s="589" t="n"/>
      <c r="F78" s="590" t="n"/>
      <c r="G78" s="590" t="n"/>
      <c r="H78" s="590" t="n"/>
      <c r="I78" s="590" t="n"/>
      <c r="J78" s="590" t="n"/>
      <c r="K78" s="590" t="n"/>
      <c r="L78" s="590" t="n"/>
      <c r="M78" s="590" t="n"/>
      <c r="N78" s="590" t="n"/>
      <c r="O78" s="590" t="n"/>
    </row>
    <row r="79" ht="13.5" customHeight="1">
      <c r="C79" s="33" t="inlineStr">
        <is>
          <t>Total Operating Expenses</t>
        </is>
      </c>
      <c r="D79" s="34" t="n"/>
      <c r="E79" s="224">
        <f>+SUM(E18,E22,E29,E43,E51,E59,E69,E77,)</f>
        <v/>
      </c>
      <c r="F79" s="34">
        <f>+SUM(F18,F22,F29,F43,F51,F59,F69,F77,)</f>
        <v/>
      </c>
      <c r="G79" s="34">
        <f>+SUM(G18,G22,G29,G43,G51,G59,G69,G77,)</f>
        <v/>
      </c>
      <c r="H79" s="34">
        <f>+SUM(H18,H22,H29,H43,H51,H59,H69,H77,)</f>
        <v/>
      </c>
      <c r="I79" s="34">
        <f>+SUM(I18,I22,I29,I43,I51,I59,I69,I77,)</f>
        <v/>
      </c>
      <c r="J79" s="34">
        <f>+SUM(J18,J22,J29,J43,J51,J59,J69,J77,)</f>
        <v/>
      </c>
      <c r="K79" s="34">
        <f>+SUM(K18,K22,K29,K43,K51,K59,K69,K77,)</f>
        <v/>
      </c>
      <c r="L79" s="34">
        <f>+SUM(L18,L22,L29,L43,L51,L59,L69,L77,)</f>
        <v/>
      </c>
      <c r="M79" s="34">
        <f>+SUM(M18,M22,M29,M43,M51,M59,M69,M77,)</f>
        <v/>
      </c>
      <c r="N79" s="34">
        <f>+SUM(N18,N22,N29,N43,N51,N59,N69,N77,)</f>
        <v/>
      </c>
      <c r="O79" s="34">
        <f>+SUM(O18,O22,O29,O43,O51,O59,O69,O77,)</f>
        <v/>
      </c>
    </row>
    <row r="80" ht="5.1" customHeight="1">
      <c r="E80" s="232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</row>
    <row r="81" ht="13.5" customHeight="1">
      <c r="C81" s="33" t="inlineStr">
        <is>
          <t xml:space="preserve">Net Operating Income </t>
        </is>
      </c>
      <c r="D81" s="34" t="n"/>
      <c r="E81" s="224">
        <f>+E12-E79</f>
        <v/>
      </c>
      <c r="F81" s="34">
        <f>+F12-F79</f>
        <v/>
      </c>
      <c r="G81" s="34">
        <f>+G12-G79</f>
        <v/>
      </c>
      <c r="H81" s="34">
        <f>+H12-H79</f>
        <v/>
      </c>
      <c r="I81" s="34">
        <f>+I12-I79</f>
        <v/>
      </c>
      <c r="J81" s="34">
        <f>+J12-J79</f>
        <v/>
      </c>
      <c r="K81" s="34">
        <f>+K12-K79</f>
        <v/>
      </c>
      <c r="L81" s="34">
        <f>+L12-L79</f>
        <v/>
      </c>
      <c r="M81" s="34">
        <f>+M12-M79</f>
        <v/>
      </c>
      <c r="N81" s="34">
        <f>+N12-N79</f>
        <v/>
      </c>
      <c r="O81" s="34">
        <f>+O12-O79</f>
        <v/>
      </c>
    </row>
    <row r="82" ht="13.5" customHeight="1">
      <c r="C82" s="104" t="inlineStr">
        <is>
          <t>NOI Margin</t>
        </is>
      </c>
      <c r="D82" s="66" t="n"/>
      <c r="E82" s="233">
        <f>+IFERROR(E81/E12,"--")</f>
        <v/>
      </c>
      <c r="F82" s="105">
        <f>+F81/F12</f>
        <v/>
      </c>
      <c r="G82" s="105">
        <f>+G81/G12</f>
        <v/>
      </c>
      <c r="H82" s="105">
        <f>+H81/H12</f>
        <v/>
      </c>
      <c r="I82" s="105">
        <f>+I81/I12</f>
        <v/>
      </c>
      <c r="J82" s="105">
        <f>+J81/J12</f>
        <v/>
      </c>
      <c r="K82" s="105">
        <f>+K81/K12</f>
        <v/>
      </c>
      <c r="L82" s="105">
        <f>+L81/L12</f>
        <v/>
      </c>
      <c r="M82" s="105">
        <f>+M81/M12</f>
        <v/>
      </c>
      <c r="N82" s="105">
        <f>+N81/N12</f>
        <v/>
      </c>
      <c r="O82" s="105">
        <f>+O81/O12</f>
        <v/>
      </c>
    </row>
    <row r="83" ht="5.1" customHeight="1">
      <c r="C83" s="28" t="n"/>
      <c r="D83" s="66" t="n"/>
      <c r="E83" s="225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</row>
    <row r="84" hidden="1" outlineLevel="1" ht="13.5" customHeight="1">
      <c r="C84" s="28" t="inlineStr">
        <is>
          <t>Capital Expenditures</t>
        </is>
      </c>
      <c r="D84" s="66" t="n"/>
      <c r="E84" s="225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</row>
    <row r="85" hidden="1" outlineLevel="1" ht="13.5" customHeight="1">
      <c r="C85" s="13" t="inlineStr">
        <is>
          <t>Other CapEx</t>
        </is>
      </c>
      <c r="E85" s="594" t="n"/>
      <c r="F85" s="595" t="n"/>
      <c r="G85" s="595" t="n"/>
      <c r="H85" s="595" t="n"/>
      <c r="I85" s="595" t="n"/>
      <c r="J85" s="595" t="n"/>
      <c r="K85" s="595" t="n"/>
      <c r="L85" s="595" t="n"/>
      <c r="M85" s="595" t="n"/>
      <c r="N85" s="595" t="n"/>
      <c r="O85" s="595" t="n"/>
    </row>
    <row r="86" hidden="1" outlineLevel="1" ht="13.5" customHeight="1">
      <c r="C86" s="13" t="inlineStr">
        <is>
          <t>Capital Reserve</t>
        </is>
      </c>
      <c r="E86" s="594" t="n"/>
      <c r="F86" s="595" t="n"/>
      <c r="G86" s="595" t="n"/>
      <c r="H86" s="595" t="n"/>
      <c r="I86" s="595" t="n"/>
      <c r="J86" s="595" t="n"/>
      <c r="K86" s="595" t="n"/>
      <c r="L86" s="595" t="n"/>
      <c r="M86" s="595" t="n"/>
      <c r="N86" s="595" t="n"/>
      <c r="O86" s="595" t="n"/>
    </row>
    <row r="87" hidden="1" outlineLevel="1" ht="13.5" customHeight="1">
      <c r="C87" s="33" t="inlineStr">
        <is>
          <t>Total Capital Expenditures</t>
        </is>
      </c>
      <c r="D87" s="34" t="n"/>
      <c r="E87" s="224">
        <f>+SUM(E85:E86)</f>
        <v/>
      </c>
      <c r="F87" s="34">
        <f>+SUM(F85:F86)</f>
        <v/>
      </c>
      <c r="G87" s="34">
        <f>+SUM(G85:G86)</f>
        <v/>
      </c>
      <c r="H87" s="34">
        <f>+SUM(H85:H86)</f>
        <v/>
      </c>
      <c r="I87" s="34">
        <f>+SUM(I85:I86)</f>
        <v/>
      </c>
      <c r="J87" s="34">
        <f>+SUM(J85:J86)</f>
        <v/>
      </c>
      <c r="K87" s="34">
        <f>+SUM(K85:K86)</f>
        <v/>
      </c>
      <c r="L87" s="34">
        <f>+SUM(L85:L86)</f>
        <v/>
      </c>
      <c r="M87" s="34">
        <f>+SUM(M85:M86)</f>
        <v/>
      </c>
      <c r="N87" s="34">
        <f>+SUM(N85:N86)</f>
        <v/>
      </c>
      <c r="O87" s="34">
        <f>+SUM(O85:O86)</f>
        <v/>
      </c>
    </row>
    <row r="88" collapsed="1" ht="5.1" customHeight="1">
      <c r="C88" s="28" t="n"/>
      <c r="D88" s="66" t="n"/>
      <c r="E88" s="225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</row>
    <row r="89" ht="13.5" customHeight="1" thickBot="1">
      <c r="C89" s="89" t="inlineStr">
        <is>
          <t>Cash Flow from Operations (Adj. NOI)</t>
        </is>
      </c>
      <c r="D89" s="89" t="n"/>
      <c r="E89" s="235">
        <f>+E81-E87</f>
        <v/>
      </c>
      <c r="F89" s="90">
        <f>+F81-F87</f>
        <v/>
      </c>
      <c r="G89" s="90">
        <f>+G81-G87</f>
        <v/>
      </c>
      <c r="H89" s="90">
        <f>+H81-H87</f>
        <v/>
      </c>
      <c r="I89" s="90">
        <f>+I81-I87</f>
        <v/>
      </c>
      <c r="J89" s="90">
        <f>+J81-J87</f>
        <v/>
      </c>
      <c r="K89" s="90">
        <f>+K81-K87</f>
        <v/>
      </c>
      <c r="L89" s="90">
        <f>+L81-L87</f>
        <v/>
      </c>
      <c r="M89" s="90">
        <f>+M81-M87</f>
        <v/>
      </c>
      <c r="N89" s="90">
        <f>+N81-N87</f>
        <v/>
      </c>
      <c r="O89" s="90">
        <f>+O81-O87</f>
        <v/>
      </c>
    </row>
    <row r="90" ht="5.1" customHeight="1" thickTop="1">
      <c r="C90" s="28" t="n"/>
      <c r="D90" s="28" t="n"/>
      <c r="E90" s="236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9" t="n"/>
      <c r="O90" s="99" t="n"/>
    </row>
    <row r="91" ht="13.5" customHeight="1">
      <c r="C91" s="13" t="inlineStr">
        <is>
          <t>Interest Expense Debt Service</t>
        </is>
      </c>
      <c r="D91" s="28" t="n"/>
      <c r="E91" s="237" t="inlineStr">
        <is>
          <t>--</t>
        </is>
      </c>
      <c r="F91" s="103">
        <f>+Dashboard!$I$10*Dashboard!$E$50</f>
        <v/>
      </c>
      <c r="G91" s="112">
        <f>+F91</f>
        <v/>
      </c>
      <c r="H91" s="112">
        <f>+G91</f>
        <v/>
      </c>
      <c r="I91" s="112">
        <f>+H91</f>
        <v/>
      </c>
      <c r="J91" s="112">
        <f>+I91</f>
        <v/>
      </c>
      <c r="K91" s="112">
        <f>+J91</f>
        <v/>
      </c>
      <c r="L91" s="112">
        <f>+K91</f>
        <v/>
      </c>
      <c r="M91" s="112">
        <f>+L91</f>
        <v/>
      </c>
      <c r="N91" s="112">
        <f>+M91</f>
        <v/>
      </c>
      <c r="O91" s="112">
        <f>+N91</f>
        <v/>
      </c>
    </row>
    <row r="92" ht="13.5" customHeight="1">
      <c r="C92" s="13" t="inlineStr">
        <is>
          <t>Principal Repayment</t>
        </is>
      </c>
      <c r="D92" s="28" t="n"/>
      <c r="E92" s="238" t="inlineStr">
        <is>
          <t>--</t>
        </is>
      </c>
      <c r="F92" s="103">
        <f>IF(F$6&lt;=Dashboard!$E$56,0,-PPMT(Dashboard!$E$50,'Scenario 0'!F3-'Scenario 0'!$E3,Dashboard!$E$55,Dashboard!$D$49))</f>
        <v/>
      </c>
      <c r="G92" s="112">
        <f>IF(G$6&lt;=Dashboard!$E$56,0,-PPMT(Dashboard!$E$50,'Scenario 0'!G3-'Scenario 0'!$E3,Dashboard!$E$55,Dashboard!$D$49))</f>
        <v/>
      </c>
      <c r="H92" s="112">
        <f>IF(H$6&lt;=Dashboard!$E$56,0,-PPMT(Dashboard!$E$50,'Scenario 0'!H3-'Scenario 0'!$E3,Dashboard!$E$55,Dashboard!$D$49))</f>
        <v/>
      </c>
      <c r="I92" s="112">
        <f>IF(I$6&lt;=Dashboard!$E$56,0,-PPMT(Dashboard!$E$50,'Scenario 0'!I3-'Scenario 0'!$E3,Dashboard!$E$55,Dashboard!$D$49))</f>
        <v/>
      </c>
      <c r="J92" s="112">
        <f>IF(J$6&lt;=Dashboard!$E$56,0,-PPMT(Dashboard!$E$50,'Scenario 0'!J3-'Scenario 0'!$E3,Dashboard!$E$55,Dashboard!$D$49))</f>
        <v/>
      </c>
      <c r="K92" s="112">
        <f>IF(K$6&lt;=Dashboard!$E$56,0,-PPMT(Dashboard!$E$50,'Scenario 0'!K3-'Scenario 0'!$E3,Dashboard!$E$55,Dashboard!$D$49))</f>
        <v/>
      </c>
      <c r="L92" s="112">
        <f>IF(L$6&lt;=Dashboard!$E$56,0,-PPMT(Dashboard!$E$50,'Scenario 0'!L3-'Scenario 0'!$E3,Dashboard!$E$55,Dashboard!$D$49))</f>
        <v/>
      </c>
      <c r="M92" s="112">
        <f>IF(M$6&lt;=Dashboard!$E$56,0,-PPMT(Dashboard!$E$50,'Scenario 0'!M3-'Scenario 0'!$E3,Dashboard!$E$55,Dashboard!$D$49))</f>
        <v/>
      </c>
      <c r="N92" s="112">
        <f>IF(N$6&lt;=Dashboard!$E$56,0,-PPMT(Dashboard!$E$50,'Scenario 0'!N3-'Scenario 0'!$E3,Dashboard!$E$55,Dashboard!$D$49))</f>
        <v/>
      </c>
      <c r="O92" s="112">
        <f>IF(O$6&lt;=Dashboard!$E$56,0,-PPMT(Dashboard!$E$50,'Scenario 0'!O3-'Scenario 0'!$E3,Dashboard!$E$55,Dashboard!$D$49))</f>
        <v/>
      </c>
    </row>
    <row r="93" ht="13.5" customHeight="1" thickBot="1">
      <c r="C93" s="89" t="inlineStr">
        <is>
          <t>Cash Flow After Financing (CF to Equity Investors)</t>
        </is>
      </c>
      <c r="D93" s="89" t="n"/>
      <c r="E93" s="239" t="inlineStr">
        <is>
          <t>--</t>
        </is>
      </c>
      <c r="F93" s="90">
        <f>+F89-F91</f>
        <v/>
      </c>
      <c r="G93" s="90">
        <f>+G89-G91</f>
        <v/>
      </c>
      <c r="H93" s="90">
        <f>+H89-H91</f>
        <v/>
      </c>
      <c r="I93" s="90">
        <f>+I89-I91</f>
        <v/>
      </c>
      <c r="J93" s="90">
        <f>+J89-J91</f>
        <v/>
      </c>
      <c r="K93" s="90">
        <f>+K89-K91</f>
        <v/>
      </c>
      <c r="L93" s="90">
        <f>+L89-L91</f>
        <v/>
      </c>
      <c r="M93" s="90">
        <f>+M89-M91</f>
        <v/>
      </c>
      <c r="N93" s="90">
        <f>+N89-N91-N92</f>
        <v/>
      </c>
      <c r="O93" s="90">
        <f>+O89-O91-O92</f>
        <v/>
      </c>
    </row>
    <row r="94" ht="13.5" customHeight="1" thickTop="1">
      <c r="D94" s="28" t="n"/>
      <c r="E94" s="28" t="n"/>
      <c r="F94" s="100" t="n"/>
      <c r="G94" s="100" t="n"/>
      <c r="H94" s="100" t="n"/>
      <c r="I94" s="100" t="n"/>
      <c r="J94" s="100" t="n"/>
      <c r="K94" s="100" t="n"/>
      <c r="L94" s="100" t="n"/>
      <c r="M94" s="100" t="n"/>
      <c r="N94" s="100" t="n"/>
      <c r="O94" s="100" t="n"/>
    </row>
    <row r="95" ht="13.5" customHeight="1" thickBot="1">
      <c r="C95" s="89" t="inlineStr">
        <is>
          <t>Ending Debt Balance</t>
        </is>
      </c>
      <c r="D95" s="89" t="n"/>
      <c r="E95" s="89" t="n"/>
      <c r="F95" s="90">
        <f>+Dashboard!$D$49-SUM('Scenario 0'!$F$92:F92)</f>
        <v/>
      </c>
      <c r="G95" s="90">
        <f>+Dashboard!$D$49-SUM('Scenario 0'!$F$92:G92)</f>
        <v/>
      </c>
      <c r="H95" s="90">
        <f>+Dashboard!$D$49-SUM('Scenario 0'!$F$92:H92)</f>
        <v/>
      </c>
      <c r="I95" s="90">
        <f>+Dashboard!$D$49-SUM('Scenario 0'!$F$92:I92)</f>
        <v/>
      </c>
      <c r="J95" s="90">
        <f>+Dashboard!$D$49-SUM('Scenario 0'!$F$92:J92)</f>
        <v/>
      </c>
      <c r="K95" s="90">
        <f>+Dashboard!$D$49-SUM('Scenario 0'!$F$92:K92)</f>
        <v/>
      </c>
      <c r="L95" s="90">
        <f>+Dashboard!$D$49-SUM('Scenario 0'!$F$92:L92)</f>
        <v/>
      </c>
      <c r="M95" s="90">
        <f>+Dashboard!$D$49-SUM('Scenario 0'!$F$92:M92)</f>
        <v/>
      </c>
      <c r="N95" s="90">
        <f>+Dashboard!$D$49-SUM('Scenario 0'!$F$92:N92)</f>
        <v/>
      </c>
      <c r="O95" s="90">
        <f>+Dashboard!$D$49-SUM('Scenario 0'!$F$92:O92)</f>
        <v/>
      </c>
    </row>
    <row r="96" ht="13.5" customHeight="1" thickTop="1">
      <c r="D96" s="28" t="n"/>
      <c r="E96" s="28" t="n"/>
      <c r="F96" s="100" t="n"/>
      <c r="G96" s="100" t="n"/>
      <c r="H96" s="100" t="n"/>
      <c r="I96" s="100" t="n"/>
      <c r="J96" s="100" t="n"/>
      <c r="K96" s="100" t="n"/>
      <c r="L96" s="100" t="n"/>
      <c r="M96" s="100" t="n"/>
      <c r="N96" s="100" t="n"/>
      <c r="O96" s="100" t="n"/>
    </row>
    <row r="97" ht="13.5" customHeight="1">
      <c r="C97" s="67" t="inlineStr">
        <is>
          <t>DSCR (NOI)</t>
        </is>
      </c>
      <c r="D97" s="68" t="n"/>
      <c r="E97" s="68" t="n"/>
      <c r="F97" s="596">
        <f>+IFERROR(F81/F91,"")</f>
        <v/>
      </c>
      <c r="G97" s="596">
        <f>+IFERROR(G81/G91,"")</f>
        <v/>
      </c>
      <c r="H97" s="596">
        <f>+IFERROR(H81/H91,"")</f>
        <v/>
      </c>
      <c r="I97" s="596">
        <f>+IFERROR(I81/I91,"")</f>
        <v/>
      </c>
      <c r="J97" s="597">
        <f>+IFERROR(J81/J91,"")</f>
        <v/>
      </c>
      <c r="K97" s="596">
        <f>+IFERROR(K81/K91,"")</f>
        <v/>
      </c>
      <c r="L97" s="596">
        <f>+IFERROR(L81/L91,"")</f>
        <v/>
      </c>
      <c r="M97" s="596">
        <f>+IFERROR(M81/M91,"")</f>
        <v/>
      </c>
      <c r="N97" s="596">
        <f>+IFERROR(N81/N91,"")</f>
        <v/>
      </c>
      <c r="O97" s="597">
        <f>+IFERROR(O81/O91,"")</f>
        <v/>
      </c>
    </row>
    <row r="98" ht="13.5" customHeight="1">
      <c r="C98" s="69" t="inlineStr">
        <is>
          <t>DSCR (CFO)</t>
        </is>
      </c>
      <c r="D98" s="70" t="n"/>
      <c r="E98" s="70" t="n"/>
      <c r="F98" s="598">
        <f>+IFERROR(F89/F91,"")</f>
        <v/>
      </c>
      <c r="G98" s="598">
        <f>+IFERROR(G89/G91,"")</f>
        <v/>
      </c>
      <c r="H98" s="598">
        <f>+IFERROR(H89/H91,"")</f>
        <v/>
      </c>
      <c r="I98" s="598">
        <f>+IFERROR(I89/I91,"")</f>
        <v/>
      </c>
      <c r="J98" s="599">
        <f>+IFERROR(J89/J91,"")</f>
        <v/>
      </c>
      <c r="K98" s="598">
        <f>+IFERROR(K89/K91,"")</f>
        <v/>
      </c>
      <c r="L98" s="598">
        <f>+IFERROR(L89/L91,"")</f>
        <v/>
      </c>
      <c r="M98" s="598">
        <f>+IFERROR(M89/M91,"")</f>
        <v/>
      </c>
      <c r="N98" s="598">
        <f>+IFERROR(N89/N91,"")</f>
        <v/>
      </c>
      <c r="O98" s="599">
        <f>+IFERROR(O89/O91,"")</f>
        <v/>
      </c>
    </row>
    <row r="99" ht="13.5" customHeight="1">
      <c r="C99" s="69" t="inlineStr">
        <is>
          <t>Debt Yield (CFO)</t>
        </is>
      </c>
      <c r="D99" s="70" t="n"/>
      <c r="E99" s="70" t="n"/>
      <c r="F99" s="71">
        <f>+F89/Dashboard!$I$10</f>
        <v/>
      </c>
      <c r="G99" s="71">
        <f>+G89/Dashboard!$I$10</f>
        <v/>
      </c>
      <c r="H99" s="71">
        <f>+H89/Dashboard!$I$10</f>
        <v/>
      </c>
      <c r="I99" s="71">
        <f>+I89/Dashboard!$I$10</f>
        <v/>
      </c>
      <c r="J99" s="72">
        <f>+J89/Dashboard!$I$10</f>
        <v/>
      </c>
      <c r="K99" s="71">
        <f>+K89/Dashboard!$I$10</f>
        <v/>
      </c>
      <c r="L99" s="71">
        <f>+L89/Dashboard!$I$10</f>
        <v/>
      </c>
      <c r="M99" s="71">
        <f>+M89/Dashboard!$I$10</f>
        <v/>
      </c>
      <c r="N99" s="71">
        <f>+N89/Dashboard!$I$10</f>
        <v/>
      </c>
      <c r="O99" s="72">
        <f>+O89/Dashboard!$I$10</f>
        <v/>
      </c>
    </row>
    <row r="100" ht="13.5" customHeight="1">
      <c r="C100" s="69" t="inlineStr">
        <is>
          <t xml:space="preserve">Break-Even Ratio </t>
        </is>
      </c>
      <c r="D100" s="70" t="n"/>
      <c r="E100" s="70" t="n"/>
      <c r="F100" s="71">
        <f>+SUM(F97,F79)/F12</f>
        <v/>
      </c>
      <c r="G100" s="71">
        <f>+SUM(G97,G79)/G12</f>
        <v/>
      </c>
      <c r="H100" s="71">
        <f>+SUM(H97,H79)/H12</f>
        <v/>
      </c>
      <c r="I100" s="71">
        <f>+SUM(I97,I79)/I12</f>
        <v/>
      </c>
      <c r="J100" s="72">
        <f>+SUM(J97,J79)/J12</f>
        <v/>
      </c>
      <c r="K100" s="71">
        <f>+SUM(K97,K79)/K12</f>
        <v/>
      </c>
      <c r="L100" s="71">
        <f>+SUM(L97,L79)/L12</f>
        <v/>
      </c>
      <c r="M100" s="71">
        <f>+SUM(M97,M79)/M12</f>
        <v/>
      </c>
      <c r="N100" s="71">
        <f>+SUM(N97,N79)/N12</f>
        <v/>
      </c>
      <c r="O100" s="72">
        <f>+SUM(O97,O79)/O12</f>
        <v/>
      </c>
    </row>
    <row r="101" ht="5.1" customHeight="1">
      <c r="C101" s="69" t="n"/>
      <c r="D101" s="70" t="n"/>
      <c r="E101" s="70" t="n"/>
      <c r="F101" s="70" t="n"/>
      <c r="G101" s="70" t="n"/>
      <c r="H101" s="70" t="n"/>
      <c r="I101" s="70" t="n"/>
      <c r="J101" s="73" t="n"/>
      <c r="K101" s="70" t="n"/>
      <c r="L101" s="70" t="n"/>
      <c r="M101" s="70" t="n"/>
      <c r="N101" s="70" t="n"/>
      <c r="O101" s="73" t="n"/>
    </row>
    <row r="102" ht="13.5" customHeight="1">
      <c r="C102" s="77" t="inlineStr">
        <is>
          <t>Cap Rate (Purchase Price)</t>
        </is>
      </c>
      <c r="D102" s="78" t="n"/>
      <c r="E102" s="78" t="n"/>
      <c r="F102" s="79">
        <f>+F81/Dashboard!$E$32</f>
        <v/>
      </c>
      <c r="G102" s="79">
        <f>+G81/Dashboard!$E$32</f>
        <v/>
      </c>
      <c r="H102" s="79">
        <f>+H81/Dashboard!$E$32</f>
        <v/>
      </c>
      <c r="I102" s="79">
        <f>+I81/Dashboard!$E$32</f>
        <v/>
      </c>
      <c r="J102" s="80">
        <f>+J81/Dashboard!$E$32</f>
        <v/>
      </c>
      <c r="K102" s="79">
        <f>+K81/Dashboard!$E$32</f>
        <v/>
      </c>
      <c r="L102" s="79">
        <f>+L81/Dashboard!$E$32</f>
        <v/>
      </c>
      <c r="M102" s="79">
        <f>+M81/Dashboard!$E$32</f>
        <v/>
      </c>
      <c r="N102" s="79">
        <f>+N81/Dashboard!$E$32</f>
        <v/>
      </c>
      <c r="O102" s="80">
        <f>+O81/Dashboard!$E$32</f>
        <v/>
      </c>
    </row>
    <row r="103" ht="13.5" customHeight="1">
      <c r="C103" s="69" t="inlineStr">
        <is>
          <t>Operating Cash Flow Before Taxes</t>
        </is>
      </c>
      <c r="D103" s="70" t="n"/>
      <c r="E103" s="70" t="n"/>
      <c r="F103" s="600">
        <f>+F81-F91-F92</f>
        <v/>
      </c>
      <c r="G103" s="600">
        <f>+G81-G91-G92</f>
        <v/>
      </c>
      <c r="H103" s="600">
        <f>+H81-H91-H92</f>
        <v/>
      </c>
      <c r="I103" s="600">
        <f>+I81-I91-I92</f>
        <v/>
      </c>
      <c r="J103" s="601">
        <f>+J81-J91-J92</f>
        <v/>
      </c>
      <c r="K103" s="600">
        <f>+K81-K91-K92</f>
        <v/>
      </c>
      <c r="L103" s="600">
        <f>+L81-L91-L92</f>
        <v/>
      </c>
      <c r="M103" s="600">
        <f>+M81-M91-M92</f>
        <v/>
      </c>
      <c r="N103" s="600">
        <f>+N81-N91-N92</f>
        <v/>
      </c>
      <c r="O103" s="601">
        <f>+O81-O91-O92</f>
        <v/>
      </c>
    </row>
    <row r="104" ht="13.5" customHeight="1">
      <c r="C104" s="77" t="inlineStr">
        <is>
          <t>Cash on Cash Return</t>
        </is>
      </c>
      <c r="D104" s="78" t="n"/>
      <c r="E104" s="78" t="n"/>
      <c r="F104" s="79">
        <f>+F103/Dashboard!$I$11</f>
        <v/>
      </c>
      <c r="G104" s="79">
        <f>+G103/Dashboard!$I$11</f>
        <v/>
      </c>
      <c r="H104" s="79">
        <f>+H103/Dashboard!$I$11</f>
        <v/>
      </c>
      <c r="I104" s="79">
        <f>+I103/Dashboard!$I$11</f>
        <v/>
      </c>
      <c r="J104" s="80">
        <f>+J103/Dashboard!$I$11</f>
        <v/>
      </c>
      <c r="K104" s="79">
        <f>+K103/Dashboard!$I$11</f>
        <v/>
      </c>
      <c r="L104" s="79">
        <f>+L103/Dashboard!$I$11</f>
        <v/>
      </c>
      <c r="M104" s="79">
        <f>+M103/Dashboard!$I$11</f>
        <v/>
      </c>
      <c r="N104" s="79">
        <f>+N103/Dashboard!$I$11</f>
        <v/>
      </c>
      <c r="O104" s="80">
        <f>+O103/Dashboard!$I$11</f>
        <v/>
      </c>
    </row>
    <row r="105" ht="13.5" customHeight="1">
      <c r="C105" s="69" t="inlineStr">
        <is>
          <t>General Partner Cash Return</t>
        </is>
      </c>
      <c r="D105" s="84">
        <f>+Dashboard!J58</f>
        <v/>
      </c>
      <c r="E105" s="84" t="n"/>
      <c r="F105" s="600">
        <f>+F103*$D$105</f>
        <v/>
      </c>
      <c r="G105" s="600">
        <f>+G103*$D$105</f>
        <v/>
      </c>
      <c r="H105" s="600">
        <f>+H103*$D$105</f>
        <v/>
      </c>
      <c r="I105" s="600">
        <f>+I103*$D$105</f>
        <v/>
      </c>
      <c r="J105" s="601">
        <f>+J103*$D$105</f>
        <v/>
      </c>
      <c r="K105" s="600">
        <f>+K103*$D$105</f>
        <v/>
      </c>
      <c r="L105" s="600">
        <f>+L103*$D$105</f>
        <v/>
      </c>
      <c r="M105" s="600">
        <f>+M103*$D$105</f>
        <v/>
      </c>
      <c r="N105" s="600">
        <f>+N103*$D$105</f>
        <v/>
      </c>
      <c r="O105" s="601">
        <f>+O103*$D$105</f>
        <v/>
      </c>
    </row>
    <row r="106" ht="13.5" customHeight="1">
      <c r="C106" s="69" t="inlineStr">
        <is>
          <t>Total Limited Partner Cash Return</t>
        </is>
      </c>
      <c r="D106" s="84">
        <f>+Dashboard!J59</f>
        <v/>
      </c>
      <c r="E106" s="84" t="n"/>
      <c r="F106" s="600">
        <f>+F103*$D$106</f>
        <v/>
      </c>
      <c r="G106" s="600">
        <f>+G103*$D$106</f>
        <v/>
      </c>
      <c r="H106" s="600">
        <f>+H103*$D$106</f>
        <v/>
      </c>
      <c r="I106" s="600">
        <f>+I103*$D$106</f>
        <v/>
      </c>
      <c r="J106" s="601">
        <f>+J103*$D$106</f>
        <v/>
      </c>
      <c r="K106" s="600">
        <f>+K103*$D$106</f>
        <v/>
      </c>
      <c r="L106" s="600">
        <f>+L103*$D$106</f>
        <v/>
      </c>
      <c r="M106" s="600">
        <f>+M103*$D$106</f>
        <v/>
      </c>
      <c r="N106" s="600">
        <f>+N103*$D$106</f>
        <v/>
      </c>
      <c r="O106" s="601">
        <f>+O103*$D$106</f>
        <v/>
      </c>
    </row>
    <row r="107" ht="13.5" customHeight="1">
      <c r="C107" s="74" t="inlineStr">
        <is>
          <t>Cash on Cash LP Return</t>
        </is>
      </c>
      <c r="D107" s="75" t="n"/>
      <c r="E107" s="75" t="n"/>
      <c r="F107" s="82">
        <f>+F106/Dashboard!$I$11</f>
        <v/>
      </c>
      <c r="G107" s="82">
        <f>+G106/Dashboard!$I$11</f>
        <v/>
      </c>
      <c r="H107" s="82">
        <f>+H106/Dashboard!$I$11</f>
        <v/>
      </c>
      <c r="I107" s="82">
        <f>+I106/Dashboard!$I$11</f>
        <v/>
      </c>
      <c r="J107" s="83">
        <f>+J106/Dashboard!$I$11</f>
        <v/>
      </c>
      <c r="K107" s="82">
        <f>+K106/Dashboard!$I$11</f>
        <v/>
      </c>
      <c r="L107" s="82">
        <f>+L106/Dashboard!$I$11</f>
        <v/>
      </c>
      <c r="M107" s="82">
        <f>+M106/Dashboard!$I$11</f>
        <v/>
      </c>
      <c r="N107" s="82">
        <f>+N106/Dashboard!$I$11</f>
        <v/>
      </c>
      <c r="O107" s="83">
        <f>+O106/Dashboard!$I$11</f>
        <v/>
      </c>
    </row>
    <row r="108" ht="13.5" customHeight="1">
      <c r="D108" s="28" t="n"/>
      <c r="E108" s="28" t="n"/>
      <c r="F108" s="100" t="n"/>
      <c r="G108" s="100" t="n"/>
      <c r="H108" s="100" t="n"/>
      <c r="I108" s="100" t="n"/>
      <c r="J108" s="100" t="n"/>
      <c r="K108" s="100" t="n"/>
      <c r="L108" s="100" t="n"/>
      <c r="M108" s="100" t="n"/>
      <c r="N108" s="100" t="n"/>
      <c r="O108" s="100" t="n"/>
    </row>
    <row r="109" ht="13.5" customHeight="1">
      <c r="C109" s="257" t="inlineStr">
        <is>
          <t>Return Metrics</t>
        </is>
      </c>
      <c r="D109" s="37" t="n"/>
      <c r="E109" s="583" t="n"/>
      <c r="F109" s="583" t="n"/>
      <c r="G109" s="583" t="n"/>
      <c r="H109" s="583" t="n"/>
      <c r="I109" s="583" t="n"/>
      <c r="J109" s="583" t="n"/>
      <c r="K109" s="583" t="n"/>
      <c r="L109" s="583" t="n"/>
      <c r="M109" s="583" t="n"/>
      <c r="N109" s="583" t="n"/>
      <c r="O109" s="583" t="n"/>
    </row>
    <row r="110" ht="5.1" customHeight="1">
      <c r="D110" s="28" t="n"/>
      <c r="E110" s="28" t="n"/>
      <c r="F110" s="100" t="n"/>
      <c r="G110" s="100" t="n"/>
      <c r="H110" s="100" t="n"/>
      <c r="I110" s="100" t="n"/>
      <c r="J110" s="100" t="n"/>
      <c r="K110" s="100" t="n"/>
      <c r="L110" s="100" t="n"/>
      <c r="M110" s="100" t="n"/>
      <c r="N110" s="100" t="n"/>
      <c r="O110" s="100" t="n"/>
    </row>
    <row r="111" ht="13.5" customHeight="1">
      <c r="C111" s="32" t="inlineStr">
        <is>
          <t>5 Year Hold IRR</t>
        </is>
      </c>
      <c r="D111" s="14" t="n"/>
      <c r="E111" s="602" t="inlineStr">
        <is>
          <t>Year 0</t>
        </is>
      </c>
      <c r="F111" s="602" t="n">
        <v>1</v>
      </c>
      <c r="G111" s="602" t="n">
        <v>2</v>
      </c>
      <c r="H111" s="602" t="n">
        <v>3</v>
      </c>
      <c r="I111" s="602" t="n">
        <v>4</v>
      </c>
      <c r="J111" s="602" t="n">
        <v>5</v>
      </c>
      <c r="K111" s="602" t="n"/>
      <c r="L111" s="602" t="n"/>
      <c r="M111" s="602" t="n"/>
      <c r="N111" s="602" t="n"/>
      <c r="O111" s="602" t="n"/>
    </row>
    <row r="112" ht="5.1" customHeight="1">
      <c r="C112" s="39" t="n"/>
      <c r="D112" s="109" t="n"/>
      <c r="E112" s="603" t="n"/>
      <c r="F112" s="603" t="n"/>
      <c r="G112" s="603" t="n"/>
      <c r="H112" s="603" t="n"/>
      <c r="I112" s="603" t="n"/>
      <c r="J112" s="603" t="n"/>
    </row>
    <row r="113" ht="13.5" customHeight="1">
      <c r="C113" s="212" t="inlineStr">
        <is>
          <t>Exit Cap Rate Assumption</t>
        </is>
      </c>
      <c r="D113" s="217">
        <f>+Dashboard!$J$54</f>
        <v/>
      </c>
      <c r="E113" s="109" t="n"/>
      <c r="F113" s="603" t="n"/>
      <c r="G113" s="603" t="n"/>
      <c r="H113" s="603" t="n"/>
      <c r="I113" s="603" t="n"/>
      <c r="J113" s="603" t="n"/>
      <c r="K113" s="31" t="n"/>
      <c r="L113" s="31" t="n"/>
      <c r="M113" s="31" t="n"/>
      <c r="N113" s="31" t="n"/>
      <c r="O113" s="31" t="n"/>
    </row>
    <row r="114" ht="5.1" customHeight="1">
      <c r="C114" s="39" t="n"/>
      <c r="D114" s="109" t="n"/>
      <c r="E114" s="109" t="n"/>
      <c r="F114" s="603" t="n"/>
      <c r="G114" s="603" t="n"/>
      <c r="H114" s="603" t="n"/>
      <c r="I114" s="603" t="n"/>
      <c r="J114" s="603" t="n"/>
      <c r="K114" s="31" t="n"/>
      <c r="L114" s="31" t="n"/>
      <c r="M114" s="31" t="n"/>
      <c r="N114" s="31" t="n"/>
      <c r="O114" s="31" t="n"/>
    </row>
    <row r="115" ht="13.5" customHeight="1">
      <c r="C115" s="28" t="inlineStr">
        <is>
          <t>Project Cash Flows (Unleveraged IRR):</t>
        </is>
      </c>
      <c r="D115" s="28" t="n"/>
      <c r="E115" s="28" t="n"/>
      <c r="F115" s="100" t="n"/>
      <c r="G115" s="100" t="n"/>
      <c r="H115" s="100" t="n"/>
      <c r="I115" s="100" t="n"/>
      <c r="J115" s="100" t="n"/>
      <c r="K115" s="31" t="n"/>
      <c r="L115" s="31" t="n"/>
      <c r="M115" s="31" t="n"/>
      <c r="N115" s="31" t="n"/>
      <c r="O115" s="31" t="n"/>
    </row>
    <row r="116" ht="13.5" customHeight="1">
      <c r="C116" s="43" t="inlineStr">
        <is>
          <t>(+) Proceeds from Sale of Property:</t>
        </is>
      </c>
      <c r="D116" s="111" t="n"/>
      <c r="E116" s="111" t="n"/>
      <c r="F116" s="111" t="n">
        <v>0</v>
      </c>
      <c r="G116" s="111" t="n">
        <v>0</v>
      </c>
      <c r="H116" s="111" t="n">
        <v>0</v>
      </c>
      <c r="I116" s="111" t="n">
        <v>0</v>
      </c>
      <c r="J116" s="111">
        <f>+J$81/D$113</f>
        <v/>
      </c>
      <c r="K116" s="31" t="n"/>
      <c r="L116" s="31" t="n"/>
      <c r="M116" s="31" t="n"/>
      <c r="N116" s="31" t="n"/>
      <c r="O116" s="31" t="n"/>
    </row>
    <row r="117" ht="13.5" customHeight="1">
      <c r="C117" s="43" t="inlineStr">
        <is>
          <t>(-) Selling Costs:</t>
        </is>
      </c>
      <c r="D117" s="217">
        <f>+Dashboard!$J$55</f>
        <v/>
      </c>
      <c r="E117" s="112" t="n"/>
      <c r="F117" s="112" t="n">
        <v>0</v>
      </c>
      <c r="G117" s="112" t="n">
        <v>0</v>
      </c>
      <c r="H117" s="112" t="n">
        <v>0</v>
      </c>
      <c r="I117" s="112" t="n">
        <v>0</v>
      </c>
      <c r="J117" s="112">
        <f>-J$116*D$117</f>
        <v/>
      </c>
      <c r="K117" s="31" t="n"/>
      <c r="L117" s="31" t="n"/>
      <c r="M117" s="31" t="n"/>
      <c r="N117" s="31" t="n"/>
      <c r="O117" s="31" t="n"/>
    </row>
    <row r="118" ht="13.5" customHeight="1">
      <c r="C118" s="43" t="inlineStr">
        <is>
          <t>(+) Adjusted NOI (Cash Flows to All Investors):</t>
        </is>
      </c>
      <c r="D118" s="112" t="n"/>
      <c r="E118" s="112" t="n"/>
      <c r="F118" s="23">
        <f>+F$89</f>
        <v/>
      </c>
      <c r="G118" s="23">
        <f>+G$89</f>
        <v/>
      </c>
      <c r="H118" s="23">
        <f>+H$89</f>
        <v/>
      </c>
      <c r="I118" s="23">
        <f>+I$89</f>
        <v/>
      </c>
      <c r="J118" s="23">
        <f>+J$89</f>
        <v/>
      </c>
      <c r="K118" s="31" t="n"/>
      <c r="L118" s="31" t="n"/>
      <c r="M118" s="31" t="n"/>
      <c r="N118" s="31" t="n"/>
      <c r="O118" s="31" t="n"/>
    </row>
    <row r="119" ht="13.5" customHeight="1">
      <c r="C119" s="43" t="inlineStr">
        <is>
          <t>(-) Property Acquisition Price:</t>
        </is>
      </c>
      <c r="E119" s="103">
        <f>-Dashboard!$E$32</f>
        <v/>
      </c>
      <c r="F119" s="112" t="n">
        <v>0</v>
      </c>
      <c r="G119" s="112" t="n">
        <v>0</v>
      </c>
      <c r="H119" s="112" t="n">
        <v>0</v>
      </c>
      <c r="I119" s="112" t="n">
        <v>0</v>
      </c>
      <c r="J119" s="112" t="n">
        <v>0</v>
      </c>
      <c r="K119" s="31" t="n"/>
      <c r="L119" s="31" t="n"/>
      <c r="M119" s="31" t="n"/>
      <c r="N119" s="31" t="n"/>
      <c r="O119" s="31" t="n"/>
    </row>
    <row r="120" ht="13.5" customHeight="1">
      <c r="C120" s="33" t="inlineStr">
        <is>
          <t>Total Project Cash Flows (Unleveraged IRR):</t>
        </is>
      </c>
      <c r="D120" s="38" t="n"/>
      <c r="E120" s="88">
        <f>SUM(E116:E119)</f>
        <v/>
      </c>
      <c r="F120" s="88">
        <f>SUM(F116:F119)</f>
        <v/>
      </c>
      <c r="G120" s="88">
        <f>SUM(G116:G119)</f>
        <v/>
      </c>
      <c r="H120" s="88">
        <f>SUM(H116:H119)</f>
        <v/>
      </c>
      <c r="I120" s="88">
        <f>SUM(I116:I119)</f>
        <v/>
      </c>
      <c r="J120" s="88">
        <f>SUM(J116:J119)</f>
        <v/>
      </c>
      <c r="K120" s="31" t="n"/>
      <c r="L120" s="31" t="n"/>
      <c r="M120" s="31" t="n"/>
      <c r="N120" s="31" t="n"/>
      <c r="O120" s="31" t="n"/>
    </row>
    <row r="121" hidden="1" outlineLevel="1" ht="13.5" customHeight="1">
      <c r="C121" s="28" t="n"/>
      <c r="E121" s="99" t="n"/>
      <c r="F121" s="100">
        <f>+F120-F116</f>
        <v/>
      </c>
      <c r="G121" s="100">
        <f>+G120-G116</f>
        <v/>
      </c>
      <c r="H121" s="100">
        <f>+H120-H116</f>
        <v/>
      </c>
      <c r="I121" s="100">
        <f>+I120-I116</f>
        <v/>
      </c>
      <c r="J121" s="100">
        <f>+J120-J116</f>
        <v/>
      </c>
      <c r="K121" s="31" t="n"/>
      <c r="L121" s="31" t="n"/>
      <c r="M121" s="31" t="n"/>
      <c r="N121" s="31" t="n"/>
      <c r="O121" s="31" t="n"/>
    </row>
    <row r="122" collapsed="1" ht="5.1" customHeight="1">
      <c r="D122" s="28" t="n"/>
      <c r="E122" s="28" t="n"/>
      <c r="F122" s="100" t="n"/>
      <c r="G122" s="100" t="n"/>
      <c r="H122" s="100" t="n"/>
      <c r="I122" s="100" t="n"/>
      <c r="J122" s="100" t="n"/>
      <c r="K122" s="31" t="n"/>
      <c r="L122" s="31" t="n"/>
      <c r="M122" s="31" t="n"/>
      <c r="N122" s="31" t="n"/>
      <c r="O122" s="31" t="n"/>
    </row>
    <row r="123" ht="13.5" customHeight="1">
      <c r="C123" s="113" t="inlineStr">
        <is>
          <t>Unlevered IRR:</t>
        </is>
      </c>
      <c r="D123" s="91" t="n"/>
      <c r="E123" s="114">
        <f>+IRR(E120:J120)</f>
        <v/>
      </c>
      <c r="G123" s="100" t="n"/>
      <c r="H123" s="100" t="n"/>
      <c r="I123" s="100" t="n"/>
      <c r="J123" s="100" t="n"/>
      <c r="K123" s="31" t="n"/>
      <c r="L123" s="31" t="n"/>
      <c r="M123" s="31" t="n"/>
      <c r="N123" s="31" t="n"/>
      <c r="O123" s="31" t="n"/>
    </row>
    <row r="124" ht="13.5" customHeight="1">
      <c r="C124" s="115" t="inlineStr">
        <is>
          <t>Unlevered Cash-on-Cash Multiple:</t>
        </is>
      </c>
      <c r="D124" s="92" t="n"/>
      <c r="E124" s="604">
        <f>+SUM(F116:J118)/-SUM(E119:J119)</f>
        <v/>
      </c>
      <c r="G124" s="100" t="n"/>
      <c r="H124" s="100" t="n"/>
      <c r="I124" s="100" t="n"/>
      <c r="J124" s="100" t="n"/>
      <c r="K124" s="31" t="n"/>
      <c r="L124" s="31" t="n"/>
      <c r="M124" s="31" t="n"/>
      <c r="N124" s="31" t="n"/>
      <c r="O124" s="31" t="n"/>
    </row>
    <row r="125" ht="13.5" customHeight="1">
      <c r="D125" s="28" t="n"/>
      <c r="E125" s="28" t="n"/>
      <c r="F125" s="100" t="n"/>
      <c r="G125" s="100" t="n"/>
      <c r="H125" s="100" t="n"/>
      <c r="I125" s="100" t="n"/>
      <c r="J125" s="100" t="n"/>
      <c r="K125" s="31" t="n"/>
      <c r="L125" s="31" t="n"/>
      <c r="M125" s="31" t="n"/>
      <c r="N125" s="31" t="n"/>
      <c r="O125" s="31" t="n"/>
    </row>
    <row r="126" ht="13.5" customHeight="1">
      <c r="C126" s="28" t="inlineStr">
        <is>
          <t>Cash Flow to Equity Investors (Leveraged IRR):</t>
        </is>
      </c>
      <c r="D126" s="28" t="n"/>
      <c r="E126" s="28" t="n"/>
      <c r="F126" s="100" t="n"/>
      <c r="G126" s="100" t="n"/>
      <c r="H126" s="100" t="n"/>
      <c r="I126" s="100" t="n"/>
      <c r="J126" s="100" t="n"/>
      <c r="K126" s="31" t="n"/>
      <c r="L126" s="31" t="n"/>
      <c r="M126" s="31" t="n"/>
      <c r="N126" s="31" t="n"/>
      <c r="O126" s="31" t="n"/>
    </row>
    <row r="127" ht="13.5" customHeight="1">
      <c r="C127" s="43" t="inlineStr">
        <is>
          <t>(+) Proceeds from Sale of Property:</t>
        </is>
      </c>
      <c r="D127" s="111" t="n"/>
      <c r="E127" s="111" t="n"/>
      <c r="F127" s="111" t="n">
        <v>0</v>
      </c>
      <c r="G127" s="111" t="n">
        <v>0</v>
      </c>
      <c r="H127" s="111" t="n">
        <v>0</v>
      </c>
      <c r="I127" s="111" t="n">
        <v>0</v>
      </c>
      <c r="J127" s="111">
        <f>+J$81/D$113</f>
        <v/>
      </c>
      <c r="K127" s="31" t="n"/>
      <c r="L127" s="31" t="n"/>
      <c r="M127" s="31" t="n"/>
      <c r="N127" s="31" t="n"/>
      <c r="O127" s="31" t="n"/>
    </row>
    <row r="128" ht="13.5" customHeight="1">
      <c r="C128" s="43" t="inlineStr">
        <is>
          <t>(-) Selling Costs:</t>
        </is>
      </c>
      <c r="D128" s="95">
        <f>+$D$167</f>
        <v/>
      </c>
      <c r="E128" s="112" t="n"/>
      <c r="F128" s="112" t="n">
        <v>0</v>
      </c>
      <c r="G128" s="112" t="n">
        <v>0</v>
      </c>
      <c r="H128" s="112" t="n">
        <v>0</v>
      </c>
      <c r="I128" s="112" t="n">
        <v>0</v>
      </c>
      <c r="J128" s="112">
        <f>-J$127*D$128</f>
        <v/>
      </c>
      <c r="K128" s="31" t="n"/>
      <c r="L128" s="31" t="n"/>
      <c r="M128" s="31" t="n"/>
      <c r="N128" s="31" t="n"/>
      <c r="O128" s="31" t="n"/>
    </row>
    <row r="129" ht="13.5" customHeight="1">
      <c r="C129" s="43" t="inlineStr">
        <is>
          <t>(+) Cash Flows to Equity Investors:</t>
        </is>
      </c>
      <c r="E129" s="112" t="n"/>
      <c r="F129" s="23">
        <f>+F$93</f>
        <v/>
      </c>
      <c r="G129" s="23">
        <f>+G$93</f>
        <v/>
      </c>
      <c r="H129" s="23">
        <f>+H$93</f>
        <v/>
      </c>
      <c r="I129" s="23">
        <f>+I$93</f>
        <v/>
      </c>
      <c r="J129" s="23">
        <f>+J$93</f>
        <v/>
      </c>
      <c r="K129" s="31" t="n"/>
      <c r="L129" s="31" t="n"/>
      <c r="M129" s="31" t="n"/>
      <c r="N129" s="31" t="n"/>
      <c r="O129" s="31" t="n"/>
    </row>
    <row r="130" ht="13.5" customHeight="1">
      <c r="C130" s="43" t="inlineStr">
        <is>
          <t>(-) Debt Principal Repayment Upon Exit:</t>
        </is>
      </c>
      <c r="D130" s="112" t="n"/>
      <c r="E130" s="112" t="n"/>
      <c r="F130" s="112" t="n">
        <v>0</v>
      </c>
      <c r="G130" s="112" t="n">
        <v>0</v>
      </c>
      <c r="H130" s="112" t="n">
        <v>0</v>
      </c>
      <c r="I130" s="112" t="n">
        <v>0</v>
      </c>
      <c r="J130" s="112">
        <f>-J95</f>
        <v/>
      </c>
      <c r="K130" s="31" t="n"/>
      <c r="L130" s="31" t="n"/>
      <c r="M130" s="31" t="n"/>
      <c r="N130" s="31" t="n"/>
      <c r="O130" s="31" t="n"/>
    </row>
    <row r="131" ht="13.5" customHeight="1">
      <c r="C131" s="43" t="inlineStr">
        <is>
          <t>(-) Initial Equity Investment:</t>
        </is>
      </c>
      <c r="D131" s="103" t="n"/>
      <c r="E131" s="103">
        <f>-Dashboard!$I$11</f>
        <v/>
      </c>
      <c r="F131" s="112" t="n">
        <v>0</v>
      </c>
      <c r="G131" s="112" t="n">
        <v>0</v>
      </c>
      <c r="H131" s="112" t="n">
        <v>0</v>
      </c>
      <c r="I131" s="112" t="n">
        <v>0</v>
      </c>
      <c r="J131" s="112" t="n">
        <v>0</v>
      </c>
      <c r="K131" s="31" t="n"/>
      <c r="L131" s="31" t="n"/>
      <c r="M131" s="31" t="n"/>
      <c r="N131" s="31" t="n"/>
      <c r="O131" s="31" t="n"/>
    </row>
    <row r="132" ht="13.5" customHeight="1">
      <c r="C132" s="33" t="inlineStr">
        <is>
          <t>Total Cash Flows to Equity (Leveraged IRR):</t>
        </is>
      </c>
      <c r="D132" s="88" t="n"/>
      <c r="E132" s="88">
        <f>+SUM(E127:E131)</f>
        <v/>
      </c>
      <c r="F132" s="88">
        <f>+SUM(F127:F131)</f>
        <v/>
      </c>
      <c r="G132" s="88">
        <f>+SUM(G127:G131)</f>
        <v/>
      </c>
      <c r="H132" s="88">
        <f>+SUM(H127:H131)</f>
        <v/>
      </c>
      <c r="I132" s="88">
        <f>+SUM(I127:I131)</f>
        <v/>
      </c>
      <c r="J132" s="88">
        <f>+SUM(J127:J131)</f>
        <v/>
      </c>
      <c r="K132" s="31" t="n"/>
      <c r="L132" s="31" t="n"/>
      <c r="M132" s="31" t="n"/>
      <c r="N132" s="31" t="n"/>
      <c r="O132" s="31" t="n"/>
    </row>
    <row r="133" hidden="1" outlineLevel="1" ht="13.5" customHeight="1">
      <c r="D133" s="28" t="n"/>
      <c r="E133" s="28" t="n"/>
      <c r="F133" s="100">
        <f>+F132-F127</f>
        <v/>
      </c>
      <c r="G133" s="100">
        <f>+G132-G127</f>
        <v/>
      </c>
      <c r="H133" s="100">
        <f>+H132-H127</f>
        <v/>
      </c>
      <c r="I133" s="100">
        <f>+I132-I127</f>
        <v/>
      </c>
      <c r="J133" s="100">
        <f>+J132-SUM(J127,J130)</f>
        <v/>
      </c>
      <c r="K133" s="31" t="n"/>
      <c r="L133" s="31" t="n"/>
      <c r="M133" s="31" t="n"/>
      <c r="N133" s="31" t="n"/>
      <c r="O133" s="31" t="n"/>
    </row>
    <row r="134" collapsed="1" ht="5.1" customHeight="1">
      <c r="D134" s="28" t="n"/>
      <c r="E134" s="28" t="n"/>
      <c r="F134" s="100" t="n"/>
      <c r="G134" s="100" t="n"/>
      <c r="H134" s="100" t="n"/>
      <c r="I134" s="100" t="n"/>
      <c r="J134" s="100" t="n"/>
      <c r="K134" s="31" t="n"/>
      <c r="L134" s="31" t="n"/>
      <c r="M134" s="31" t="n"/>
      <c r="N134" s="31" t="n"/>
      <c r="O134" s="31" t="n"/>
    </row>
    <row r="135" ht="13.5" customHeight="1">
      <c r="C135" s="113" t="inlineStr">
        <is>
          <t>Leveraged Internal Rate of Return (IRR):</t>
        </is>
      </c>
      <c r="D135" s="91" t="n"/>
      <c r="E135" s="114">
        <f>+IRR(E132:J132)</f>
        <v/>
      </c>
      <c r="G135" s="100" t="n"/>
      <c r="H135" s="100" t="n"/>
      <c r="I135" s="100" t="n"/>
      <c r="J135" s="100" t="n"/>
      <c r="K135" s="31" t="n"/>
      <c r="L135" s="31" t="n"/>
      <c r="M135" s="31" t="n"/>
      <c r="N135" s="31" t="n"/>
      <c r="O135" s="31" t="n"/>
    </row>
    <row r="136" ht="13.5" customHeight="1">
      <c r="C136" s="115" t="inlineStr">
        <is>
          <t>Levered Cash-on-Cash Multiple:</t>
        </is>
      </c>
      <c r="D136" s="92" t="n"/>
      <c r="E136" s="604">
        <f>+SUM(F127:J130)/-SUM(E131:J131)</f>
        <v/>
      </c>
      <c r="G136" s="100" t="n"/>
      <c r="H136" s="100" t="n"/>
      <c r="I136" s="100" t="n"/>
      <c r="J136" s="100" t="n"/>
      <c r="K136" s="31" t="n"/>
      <c r="L136" s="31" t="n"/>
      <c r="M136" s="31" t="n"/>
      <c r="N136" s="31" t="n"/>
      <c r="O136" s="31" t="n"/>
    </row>
    <row r="137"/>
    <row r="138" outlineLevel="1" ht="13.5" customHeight="1">
      <c r="C138" s="32" t="inlineStr">
        <is>
          <t>7 Year Hold IRR</t>
        </is>
      </c>
      <c r="D138" s="14" t="n"/>
      <c r="E138" s="602" t="inlineStr">
        <is>
          <t>Year 0</t>
        </is>
      </c>
      <c r="F138" s="602" t="n">
        <v>1</v>
      </c>
      <c r="G138" s="602" t="n">
        <v>2</v>
      </c>
      <c r="H138" s="602" t="n">
        <v>3</v>
      </c>
      <c r="I138" s="602" t="n">
        <v>4</v>
      </c>
      <c r="J138" s="602" t="n">
        <v>5</v>
      </c>
      <c r="K138" s="602" t="n">
        <v>6</v>
      </c>
      <c r="L138" s="602" t="n">
        <v>7</v>
      </c>
      <c r="M138" s="602" t="n"/>
      <c r="N138" s="602" t="n"/>
      <c r="O138" s="602" t="n"/>
    </row>
    <row r="139" outlineLevel="1" ht="5.1" customHeight="1">
      <c r="C139" s="39" t="n"/>
      <c r="D139" s="109" t="n"/>
      <c r="E139" s="603" t="n"/>
      <c r="F139" s="603" t="n"/>
      <c r="G139" s="603" t="n"/>
      <c r="H139" s="603" t="n"/>
      <c r="I139" s="603" t="n"/>
      <c r="J139" s="603" t="n"/>
      <c r="K139" s="603" t="n"/>
      <c r="L139" s="603" t="n"/>
    </row>
    <row r="140" outlineLevel="1" ht="13.5" customHeight="1">
      <c r="C140" s="28" t="inlineStr">
        <is>
          <t>Project Cash Flows (Unleveraged IRR):</t>
        </is>
      </c>
      <c r="D140" s="28" t="n"/>
      <c r="E140" s="28" t="n"/>
      <c r="F140" s="100" t="n"/>
      <c r="G140" s="100" t="n"/>
      <c r="H140" s="100" t="n"/>
      <c r="I140" s="100" t="n"/>
      <c r="J140" s="100" t="n"/>
      <c r="K140" s="100" t="n"/>
      <c r="L140" s="100" t="n"/>
      <c r="M140" s="31" t="n"/>
      <c r="N140" s="31" t="n"/>
      <c r="O140" s="31" t="n"/>
    </row>
    <row r="141" outlineLevel="1" ht="13.5" customHeight="1">
      <c r="C141" s="43" t="inlineStr">
        <is>
          <t>(+) Proceeds from Sale of Property:</t>
        </is>
      </c>
      <c r="E141" s="111" t="n"/>
      <c r="F141" s="111" t="n">
        <v>0</v>
      </c>
      <c r="G141" s="111" t="n">
        <v>0</v>
      </c>
      <c r="H141" s="111" t="n">
        <v>0</v>
      </c>
      <c r="I141" s="111" t="n">
        <v>0</v>
      </c>
      <c r="J141" s="111" t="n">
        <v>0</v>
      </c>
      <c r="K141" s="111" t="n">
        <v>0</v>
      </c>
      <c r="L141" s="111">
        <f>+L$81/D$113</f>
        <v/>
      </c>
      <c r="M141" s="31" t="n"/>
      <c r="N141" s="31" t="n"/>
      <c r="O141" s="31" t="n"/>
    </row>
    <row r="142" outlineLevel="1" ht="13.5" customHeight="1">
      <c r="C142" s="43" t="inlineStr">
        <is>
          <t>(-) Selling Costs:</t>
        </is>
      </c>
      <c r="D142" s="95">
        <f>+D117</f>
        <v/>
      </c>
      <c r="E142" s="112" t="n"/>
      <c r="F142" s="112" t="n">
        <v>0</v>
      </c>
      <c r="G142" s="112" t="n">
        <v>0</v>
      </c>
      <c r="H142" s="112" t="n">
        <v>0</v>
      </c>
      <c r="I142" s="112" t="n">
        <v>0</v>
      </c>
      <c r="J142" s="112" t="n">
        <v>0</v>
      </c>
      <c r="K142" s="112" t="n">
        <v>0</v>
      </c>
      <c r="L142" s="112">
        <f>-L$141*D$142</f>
        <v/>
      </c>
      <c r="M142" s="31" t="n"/>
      <c r="N142" s="31" t="n"/>
      <c r="O142" s="31" t="n"/>
    </row>
    <row r="143" outlineLevel="1" ht="13.5" customHeight="1">
      <c r="C143" s="43" t="inlineStr">
        <is>
          <t>(+) Adjusted NOI (Cash Flows to All Investors):</t>
        </is>
      </c>
      <c r="D143" s="112" t="n"/>
      <c r="E143" s="112" t="n"/>
      <c r="F143" s="23">
        <f>+F$89</f>
        <v/>
      </c>
      <c r="G143" s="23">
        <f>+G$89</f>
        <v/>
      </c>
      <c r="H143" s="23">
        <f>+H$89</f>
        <v/>
      </c>
      <c r="I143" s="23">
        <f>+I$89</f>
        <v/>
      </c>
      <c r="J143" s="23">
        <f>+J$89</f>
        <v/>
      </c>
      <c r="K143" s="23">
        <f>+K$89</f>
        <v/>
      </c>
      <c r="L143" s="23">
        <f>+L$89</f>
        <v/>
      </c>
      <c r="M143" s="31" t="n"/>
      <c r="N143" s="31" t="n"/>
      <c r="O143" s="31" t="n"/>
    </row>
    <row r="144" outlineLevel="1" ht="13.5" customHeight="1">
      <c r="C144" s="43" t="inlineStr">
        <is>
          <t>(-) Property Acquisition Price:</t>
        </is>
      </c>
      <c r="E144" s="103">
        <f>-Dashboard!$E$32</f>
        <v/>
      </c>
      <c r="F144" s="112" t="n">
        <v>0</v>
      </c>
      <c r="G144" s="112" t="n">
        <v>0</v>
      </c>
      <c r="H144" s="112" t="n">
        <v>0</v>
      </c>
      <c r="I144" s="112" t="n">
        <v>0</v>
      </c>
      <c r="J144" s="112" t="n">
        <v>0</v>
      </c>
      <c r="K144" s="112" t="n">
        <v>0</v>
      </c>
      <c r="L144" s="112" t="n">
        <v>0</v>
      </c>
      <c r="M144" s="31" t="n"/>
      <c r="N144" s="31" t="n"/>
      <c r="O144" s="31" t="n"/>
    </row>
    <row r="145" outlineLevel="1" ht="13.5" customHeight="1">
      <c r="C145" s="33" t="inlineStr">
        <is>
          <t>Total Project Cash Flows (Unleveraged IRR):</t>
        </is>
      </c>
      <c r="D145" s="38" t="n"/>
      <c r="E145" s="88">
        <f>SUM(E141:E144)</f>
        <v/>
      </c>
      <c r="F145" s="88">
        <f>SUM(F141:F144)</f>
        <v/>
      </c>
      <c r="G145" s="88">
        <f>SUM(G141:G144)</f>
        <v/>
      </c>
      <c r="H145" s="88">
        <f>SUM(H141:H144)</f>
        <v/>
      </c>
      <c r="I145" s="88">
        <f>SUM(I141:I144)</f>
        <v/>
      </c>
      <c r="J145" s="88">
        <f>SUM(J141:J144)</f>
        <v/>
      </c>
      <c r="K145" s="88">
        <f>SUM(K141:K144)</f>
        <v/>
      </c>
      <c r="L145" s="88">
        <f>SUM(L141:L144)</f>
        <v/>
      </c>
      <c r="M145" s="31" t="n"/>
      <c r="N145" s="31" t="n"/>
      <c r="O145" s="31" t="n"/>
    </row>
    <row r="146" outlineLevel="1" ht="13.5" customHeight="1">
      <c r="C146" s="28" t="n"/>
      <c r="E146" s="99" t="n"/>
      <c r="F146" s="100">
        <f>+F145-F141</f>
        <v/>
      </c>
      <c r="G146" s="100">
        <f>+G145-G141</f>
        <v/>
      </c>
      <c r="H146" s="100">
        <f>+H145-H141</f>
        <v/>
      </c>
      <c r="I146" s="100">
        <f>+I145-I141</f>
        <v/>
      </c>
      <c r="J146" s="100">
        <f>+J145-J141</f>
        <v/>
      </c>
      <c r="K146" s="100">
        <f>+K145-K141</f>
        <v/>
      </c>
      <c r="L146" s="100">
        <f>+L145-L141</f>
        <v/>
      </c>
      <c r="M146" s="31" t="n"/>
      <c r="N146" s="31" t="n"/>
      <c r="O146" s="31" t="n"/>
    </row>
    <row r="147" outlineLevel="1" ht="5.1" customHeight="1">
      <c r="D147" s="28" t="n"/>
      <c r="E147" s="28" t="n"/>
      <c r="F147" s="100" t="n"/>
      <c r="G147" s="100" t="n"/>
      <c r="H147" s="100" t="n"/>
      <c r="I147" s="100" t="n"/>
      <c r="J147" s="100" t="n"/>
      <c r="K147" s="100" t="n"/>
      <c r="L147" s="100" t="n"/>
      <c r="M147" s="31" t="n"/>
      <c r="N147" s="31" t="n"/>
      <c r="O147" s="31" t="n"/>
    </row>
    <row r="148" outlineLevel="1" ht="13.5" customHeight="1">
      <c r="C148" s="113" t="inlineStr">
        <is>
          <t>Unlevered IRR:</t>
        </is>
      </c>
      <c r="D148" s="91" t="n"/>
      <c r="E148" s="114">
        <f>+IRR(E145:L145)</f>
        <v/>
      </c>
      <c r="G148" s="100" t="n"/>
      <c r="H148" s="100" t="n"/>
      <c r="I148" s="100" t="n"/>
      <c r="J148" s="100" t="n"/>
      <c r="K148" s="100" t="n"/>
      <c r="L148" s="100" t="n"/>
      <c r="M148" s="31" t="n"/>
      <c r="N148" s="31" t="n"/>
      <c r="O148" s="31" t="n"/>
    </row>
    <row r="149" outlineLevel="1" ht="13.5" customHeight="1">
      <c r="C149" s="115" t="inlineStr">
        <is>
          <t>Unlevered Cash-on-Cash Multiple:</t>
        </is>
      </c>
      <c r="D149" s="92" t="n"/>
      <c r="E149" s="604">
        <f>+SUM(F141:L143)/-SUM(E144:L144)</f>
        <v/>
      </c>
      <c r="G149" s="100" t="n"/>
      <c r="H149" s="100" t="n"/>
      <c r="I149" s="100" t="n"/>
      <c r="J149" s="100" t="n"/>
      <c r="K149" s="100" t="n"/>
      <c r="L149" s="100" t="n"/>
      <c r="M149" s="31" t="n"/>
      <c r="N149" s="31" t="n"/>
      <c r="O149" s="31" t="n"/>
    </row>
    <row r="150" outlineLevel="1" ht="13.5" customHeight="1">
      <c r="D150" s="28" t="n"/>
      <c r="E150" s="28" t="n"/>
      <c r="F150" s="100" t="n"/>
      <c r="G150" s="100" t="n"/>
      <c r="H150" s="100" t="n"/>
      <c r="I150" s="100" t="n"/>
      <c r="J150" s="100" t="n"/>
      <c r="K150" s="100" t="n"/>
      <c r="L150" s="100" t="n"/>
      <c r="M150" s="31" t="n"/>
      <c r="N150" s="31" t="n"/>
      <c r="O150" s="31" t="n"/>
    </row>
    <row r="151" outlineLevel="1" ht="13.5" customHeight="1">
      <c r="C151" s="28" t="inlineStr">
        <is>
          <t>Cash Flow to Equity Investors (Leveraged IRR):</t>
        </is>
      </c>
      <c r="D151" s="28" t="n"/>
      <c r="E151" s="28" t="n"/>
      <c r="F151" s="100" t="n"/>
      <c r="G151" s="100" t="n"/>
      <c r="H151" s="100" t="n"/>
      <c r="I151" s="100" t="n"/>
      <c r="J151" s="100" t="n"/>
      <c r="K151" s="100" t="n"/>
      <c r="L151" s="100" t="n"/>
      <c r="M151" s="31" t="n"/>
      <c r="N151" s="31" t="n"/>
      <c r="O151" s="31" t="n"/>
    </row>
    <row r="152" outlineLevel="1" ht="13.5" customHeight="1">
      <c r="C152" s="43" t="inlineStr">
        <is>
          <t>(+) Proceeds from Sale of Property:</t>
        </is>
      </c>
      <c r="D152" s="111" t="n"/>
      <c r="E152" s="111" t="n"/>
      <c r="F152" s="111" t="n">
        <v>0</v>
      </c>
      <c r="G152" s="111" t="n">
        <v>0</v>
      </c>
      <c r="H152" s="111" t="n">
        <v>0</v>
      </c>
      <c r="I152" s="111" t="n">
        <v>0</v>
      </c>
      <c r="J152" s="111" t="n">
        <v>0</v>
      </c>
      <c r="K152" s="111" t="n">
        <v>0</v>
      </c>
      <c r="L152" s="111">
        <f>+L$81/D$113</f>
        <v/>
      </c>
      <c r="M152" s="31" t="n"/>
      <c r="N152" s="31" t="n"/>
      <c r="O152" s="31" t="n"/>
    </row>
    <row r="153" outlineLevel="1" ht="13.5" customHeight="1">
      <c r="C153" s="43" t="inlineStr">
        <is>
          <t>(-) Selling Costs:</t>
        </is>
      </c>
      <c r="D153" s="95">
        <f>+$D$167</f>
        <v/>
      </c>
      <c r="E153" s="112" t="n"/>
      <c r="F153" s="112" t="n">
        <v>0</v>
      </c>
      <c r="G153" s="112" t="n">
        <v>0</v>
      </c>
      <c r="H153" s="112" t="n">
        <v>0</v>
      </c>
      <c r="I153" s="112" t="n">
        <v>0</v>
      </c>
      <c r="J153" s="112" t="n">
        <v>0</v>
      </c>
      <c r="K153" s="112" t="n">
        <v>0</v>
      </c>
      <c r="L153" s="112">
        <f>-L$152*D$153</f>
        <v/>
      </c>
      <c r="M153" s="31" t="n"/>
      <c r="N153" s="31" t="n"/>
      <c r="O153" s="31" t="n"/>
    </row>
    <row r="154" outlineLevel="1" ht="13.5" customHeight="1">
      <c r="C154" s="43" t="inlineStr">
        <is>
          <t>(+) Cash Flows to Equity Investors:</t>
        </is>
      </c>
      <c r="E154" s="112" t="n"/>
      <c r="F154" s="23">
        <f>+F$93</f>
        <v/>
      </c>
      <c r="G154" s="23">
        <f>+G$93</f>
        <v/>
      </c>
      <c r="H154" s="23">
        <f>+H$93</f>
        <v/>
      </c>
      <c r="I154" s="23">
        <f>+I$93</f>
        <v/>
      </c>
      <c r="J154" s="23">
        <f>+J$93</f>
        <v/>
      </c>
      <c r="K154" s="23">
        <f>+K$93</f>
        <v/>
      </c>
      <c r="L154" s="23">
        <f>+L$93</f>
        <v/>
      </c>
      <c r="M154" s="31" t="n"/>
      <c r="N154" s="31" t="n"/>
      <c r="O154" s="31" t="n"/>
    </row>
    <row r="155" outlineLevel="1" ht="13.5" customHeight="1">
      <c r="C155" s="43" t="inlineStr">
        <is>
          <t>(-) Debt Principal Repayment Upon Exit:</t>
        </is>
      </c>
      <c r="D155" s="112" t="n"/>
      <c r="E155" s="112" t="n"/>
      <c r="F155" s="112" t="n">
        <v>0</v>
      </c>
      <c r="G155" s="112" t="n">
        <v>0</v>
      </c>
      <c r="H155" s="112" t="n">
        <v>0</v>
      </c>
      <c r="I155" s="112" t="n">
        <v>0</v>
      </c>
      <c r="J155" s="112" t="n">
        <v>0</v>
      </c>
      <c r="K155" s="112" t="n">
        <v>0</v>
      </c>
      <c r="L155" s="112">
        <f>-L95</f>
        <v/>
      </c>
      <c r="M155" s="31" t="n"/>
      <c r="N155" s="31" t="n"/>
      <c r="O155" s="31" t="n"/>
    </row>
    <row r="156" outlineLevel="1" ht="13.5" customHeight="1">
      <c r="C156" s="43" t="inlineStr">
        <is>
          <t>(-) Initial Equity Investment:</t>
        </is>
      </c>
      <c r="D156" s="103" t="n"/>
      <c r="E156" s="103">
        <f>-Dashboard!$I$11</f>
        <v/>
      </c>
      <c r="F156" s="112" t="n">
        <v>0</v>
      </c>
      <c r="G156" s="112" t="n">
        <v>0</v>
      </c>
      <c r="H156" s="112" t="n">
        <v>0</v>
      </c>
      <c r="I156" s="112" t="n">
        <v>0</v>
      </c>
      <c r="J156" s="112" t="n">
        <v>0</v>
      </c>
      <c r="K156" s="112" t="n">
        <v>0</v>
      </c>
      <c r="L156" s="112" t="n">
        <v>0</v>
      </c>
      <c r="M156" s="31" t="n"/>
      <c r="N156" s="31" t="n"/>
      <c r="O156" s="31" t="n"/>
    </row>
    <row r="157" outlineLevel="1" ht="13.5" customHeight="1">
      <c r="C157" s="33" t="inlineStr">
        <is>
          <t>Total Cash Flows to Equity (Leveraged IRR):</t>
        </is>
      </c>
      <c r="D157" s="88" t="n"/>
      <c r="E157" s="88">
        <f>+SUM(E152:E156)</f>
        <v/>
      </c>
      <c r="F157" s="88">
        <f>+SUM(F152:F156)</f>
        <v/>
      </c>
      <c r="G157" s="88">
        <f>+SUM(G152:G156)</f>
        <v/>
      </c>
      <c r="H157" s="88">
        <f>+SUM(H152:H156)</f>
        <v/>
      </c>
      <c r="I157" s="88">
        <f>+SUM(I152:I156)</f>
        <v/>
      </c>
      <c r="J157" s="88">
        <f>+SUM(J152:J156)</f>
        <v/>
      </c>
      <c r="K157" s="88">
        <f>+SUM(K152:K156)</f>
        <v/>
      </c>
      <c r="L157" s="88">
        <f>+SUM(L152:L156)</f>
        <v/>
      </c>
      <c r="M157" s="31" t="n"/>
      <c r="N157" s="31" t="n"/>
      <c r="O157" s="31" t="n"/>
    </row>
    <row r="158" hidden="1" outlineLevel="2" ht="13.5" customHeight="1">
      <c r="C158" s="28" t="n"/>
      <c r="D158" s="99" t="n"/>
      <c r="E158" s="99" t="n"/>
      <c r="F158" s="100">
        <f>+F157-F152</f>
        <v/>
      </c>
      <c r="G158" s="100">
        <f>+G157-G152</f>
        <v/>
      </c>
      <c r="H158" s="100">
        <f>+H157-H152</f>
        <v/>
      </c>
      <c r="I158" s="100">
        <f>+I157-I152</f>
        <v/>
      </c>
      <c r="J158" s="100">
        <f>+J157-J152</f>
        <v/>
      </c>
      <c r="K158" s="100">
        <f>+K157-K152</f>
        <v/>
      </c>
      <c r="L158" s="100">
        <f>+L157-L152</f>
        <v/>
      </c>
      <c r="M158" s="31" t="n"/>
      <c r="N158" s="31" t="n"/>
      <c r="O158" s="31" t="n"/>
    </row>
    <row r="159" outlineLevel="1" collapsed="1" ht="5.1" customHeight="1">
      <c r="D159" s="28" t="n"/>
      <c r="E159" s="28" t="n"/>
      <c r="F159" s="100" t="n"/>
      <c r="G159" s="100" t="n"/>
      <c r="H159" s="100" t="n"/>
      <c r="I159" s="100" t="n"/>
      <c r="J159" s="100" t="n"/>
      <c r="K159" s="100" t="n"/>
      <c r="L159" s="100" t="n"/>
      <c r="M159" s="31" t="n"/>
      <c r="N159" s="31" t="n"/>
      <c r="O159" s="31" t="n"/>
    </row>
    <row r="160" outlineLevel="1" ht="13.5" customHeight="1">
      <c r="C160" s="113" t="inlineStr">
        <is>
          <t>Leveraged Internal Rate of Return (IRR):</t>
        </is>
      </c>
      <c r="D160" s="91" t="n"/>
      <c r="E160" s="114">
        <f>+IRR(E157:L157)</f>
        <v/>
      </c>
      <c r="G160" s="100" t="n"/>
      <c r="H160" s="100" t="n"/>
      <c r="I160" s="100" t="n"/>
      <c r="J160" s="100" t="n"/>
      <c r="K160" s="100" t="n"/>
      <c r="L160" s="100" t="n"/>
      <c r="M160" s="31" t="n"/>
      <c r="N160" s="31" t="n"/>
      <c r="O160" s="31" t="n"/>
    </row>
    <row r="161" outlineLevel="1" ht="13.5" customHeight="1">
      <c r="C161" s="115" t="inlineStr">
        <is>
          <t>Levered Cash-on-Cash Multiple:</t>
        </is>
      </c>
      <c r="D161" s="92" t="n"/>
      <c r="E161" s="604">
        <f>+SUM(F152:L155)/-SUM(E156:L156)</f>
        <v/>
      </c>
      <c r="G161" s="100" t="n"/>
      <c r="H161" s="100" t="n"/>
      <c r="I161" s="100" t="n"/>
      <c r="J161" s="100" t="n"/>
      <c r="K161" s="100" t="n"/>
      <c r="L161" s="100" t="n"/>
      <c r="M161" s="31" t="n"/>
      <c r="N161" s="31" t="n"/>
      <c r="O161" s="31" t="n"/>
    </row>
    <row r="162" outlineLevel="1" ht="13.5" customHeight="1"/>
    <row r="163" outlineLevel="1" ht="13.5" customHeight="1">
      <c r="C163" s="32" t="inlineStr">
        <is>
          <t>10 Year Hold IRR</t>
        </is>
      </c>
      <c r="D163" s="14" t="n"/>
      <c r="E163" s="602" t="inlineStr">
        <is>
          <t>Year 0</t>
        </is>
      </c>
      <c r="F163" s="602" t="n">
        <v>1</v>
      </c>
      <c r="G163" s="602" t="n">
        <v>2</v>
      </c>
      <c r="H163" s="602" t="n">
        <v>3</v>
      </c>
      <c r="I163" s="602" t="n">
        <v>4</v>
      </c>
      <c r="J163" s="602" t="n">
        <v>5</v>
      </c>
      <c r="K163" s="602" t="n">
        <v>6</v>
      </c>
      <c r="L163" s="602" t="n">
        <v>7</v>
      </c>
      <c r="M163" s="602" t="n">
        <v>8</v>
      </c>
      <c r="N163" s="602" t="n">
        <v>9</v>
      </c>
      <c r="O163" s="602" t="n">
        <v>10</v>
      </c>
    </row>
    <row r="164" outlineLevel="1" ht="5.1" customHeight="1">
      <c r="C164" s="39" t="n"/>
      <c r="D164" s="109" t="n"/>
      <c r="E164" s="603" t="n"/>
      <c r="F164" s="603" t="n"/>
      <c r="G164" s="603" t="n"/>
      <c r="H164" s="603" t="n"/>
      <c r="I164" s="603" t="n"/>
      <c r="J164" s="603" t="n"/>
      <c r="K164" s="603" t="n"/>
      <c r="L164" s="603" t="n"/>
      <c r="M164" s="603" t="n"/>
      <c r="N164" s="603" t="n"/>
      <c r="O164" s="603" t="n"/>
    </row>
    <row r="165" outlineLevel="1" ht="13.5" customHeight="1">
      <c r="C165" s="28" t="inlineStr">
        <is>
          <t>Project Cash Flows (Unleveraged IRR):</t>
        </is>
      </c>
      <c r="D165" s="28" t="n"/>
      <c r="E165" s="28" t="n"/>
      <c r="F165" s="100" t="n"/>
      <c r="G165" s="100" t="n"/>
      <c r="H165" s="100" t="n"/>
      <c r="I165" s="100" t="n"/>
      <c r="J165" s="100" t="n"/>
      <c r="K165" s="100" t="n"/>
      <c r="L165" s="100" t="n"/>
      <c r="M165" s="100" t="n"/>
      <c r="N165" s="100" t="n"/>
      <c r="O165" s="100" t="n"/>
    </row>
    <row r="166" outlineLevel="1" ht="13.5" customHeight="1">
      <c r="C166" s="43" t="inlineStr">
        <is>
          <t>(+) Proceeds from Sale of Property:</t>
        </is>
      </c>
      <c r="D166" s="111" t="n"/>
      <c r="E166" s="111" t="n"/>
      <c r="F166" s="111" t="n">
        <v>0</v>
      </c>
      <c r="G166" s="111" t="n">
        <v>0</v>
      </c>
      <c r="H166" s="111" t="n">
        <v>0</v>
      </c>
      <c r="I166" s="111" t="n">
        <v>0</v>
      </c>
      <c r="J166" s="111" t="n">
        <v>0</v>
      </c>
      <c r="K166" s="111" t="n">
        <v>0</v>
      </c>
      <c r="L166" s="111" t="n">
        <v>0</v>
      </c>
      <c r="M166" s="111" t="n">
        <v>0</v>
      </c>
      <c r="N166" s="111" t="n">
        <v>0</v>
      </c>
      <c r="O166" s="111">
        <f>+O$81/D$113</f>
        <v/>
      </c>
    </row>
    <row r="167" outlineLevel="1" ht="13.5" customHeight="1">
      <c r="C167" s="43" t="inlineStr">
        <is>
          <t>(-) Selling Costs:</t>
        </is>
      </c>
      <c r="D167" s="95">
        <f>+D117</f>
        <v/>
      </c>
      <c r="E167" s="112" t="n"/>
      <c r="F167" s="112" t="n">
        <v>0</v>
      </c>
      <c r="G167" s="112" t="n">
        <v>0</v>
      </c>
      <c r="H167" s="112" t="n">
        <v>0</v>
      </c>
      <c r="I167" s="112" t="n">
        <v>0</v>
      </c>
      <c r="J167" s="112" t="n">
        <v>0</v>
      </c>
      <c r="K167" s="112" t="n">
        <v>0</v>
      </c>
      <c r="L167" s="112" t="n">
        <v>0</v>
      </c>
      <c r="M167" s="112" t="n">
        <v>0</v>
      </c>
      <c r="N167" s="112" t="n">
        <v>0</v>
      </c>
      <c r="O167" s="112">
        <f>-O$166*D$167</f>
        <v/>
      </c>
    </row>
    <row r="168" outlineLevel="1" ht="13.5" customHeight="1">
      <c r="C168" s="43" t="inlineStr">
        <is>
          <t>(+) Adjusted NOI (Cash Flows to All Investors):</t>
        </is>
      </c>
      <c r="D168" s="112" t="n"/>
      <c r="E168" s="112" t="n"/>
      <c r="F168" s="23">
        <f>+F$89</f>
        <v/>
      </c>
      <c r="G168" s="23">
        <f>+G$89</f>
        <v/>
      </c>
      <c r="H168" s="23">
        <f>+H$89</f>
        <v/>
      </c>
      <c r="I168" s="23">
        <f>+I$89</f>
        <v/>
      </c>
      <c r="J168" s="23">
        <f>+J$89</f>
        <v/>
      </c>
      <c r="K168" s="23">
        <f>+K$89</f>
        <v/>
      </c>
      <c r="L168" s="23">
        <f>+L$89</f>
        <v/>
      </c>
      <c r="M168" s="23">
        <f>+M$89</f>
        <v/>
      </c>
      <c r="N168" s="23">
        <f>+N$89</f>
        <v/>
      </c>
      <c r="O168" s="23">
        <f>+O$89</f>
        <v/>
      </c>
    </row>
    <row r="169" outlineLevel="1" ht="13.5" customHeight="1">
      <c r="C169" s="43" t="inlineStr">
        <is>
          <t>(-) Property Acquisition Price:</t>
        </is>
      </c>
      <c r="E169" s="103">
        <f>-Dashboard!$E$32</f>
        <v/>
      </c>
      <c r="F169" s="112" t="n">
        <v>0</v>
      </c>
      <c r="G169" s="112" t="n">
        <v>0</v>
      </c>
      <c r="H169" s="112" t="n">
        <v>0</v>
      </c>
      <c r="I169" s="112" t="n">
        <v>0</v>
      </c>
      <c r="J169" s="112" t="n">
        <v>0</v>
      </c>
      <c r="K169" s="112" t="n">
        <v>0</v>
      </c>
      <c r="L169" s="112" t="n">
        <v>0</v>
      </c>
      <c r="M169" s="112" t="n">
        <v>0</v>
      </c>
      <c r="N169" s="112" t="n">
        <v>0</v>
      </c>
      <c r="O169" s="112" t="n">
        <v>0</v>
      </c>
    </row>
    <row r="170" outlineLevel="1" ht="13.5" customHeight="1">
      <c r="C170" s="33" t="inlineStr">
        <is>
          <t>Total Project Cash Flows (Unleveraged IRR):</t>
        </is>
      </c>
      <c r="D170" s="38" t="n"/>
      <c r="E170" s="88">
        <f>SUM(E166:E169)</f>
        <v/>
      </c>
      <c r="F170" s="88">
        <f>SUM(F166:F169)</f>
        <v/>
      </c>
      <c r="G170" s="88">
        <f>SUM(G166:G169)</f>
        <v/>
      </c>
      <c r="H170" s="88">
        <f>SUM(H166:H169)</f>
        <v/>
      </c>
      <c r="I170" s="88">
        <f>SUM(I166:I169)</f>
        <v/>
      </c>
      <c r="J170" s="88">
        <f>SUM(J166:J169)</f>
        <v/>
      </c>
      <c r="K170" s="88">
        <f>SUM(K166:K169)</f>
        <v/>
      </c>
      <c r="L170" s="88">
        <f>SUM(L166:L169)</f>
        <v/>
      </c>
      <c r="M170" s="88">
        <f>SUM(M166:M169)</f>
        <v/>
      </c>
      <c r="N170" s="88">
        <f>SUM(N166:N169)</f>
        <v/>
      </c>
      <c r="O170" s="88">
        <f>SUM(O166:O169)</f>
        <v/>
      </c>
    </row>
    <row r="171" hidden="1" outlineLevel="2" ht="13.5" customHeight="1">
      <c r="D171" s="28" t="n"/>
      <c r="E171" s="28" t="n"/>
      <c r="F171" s="100">
        <f>+F170-F166</f>
        <v/>
      </c>
      <c r="G171" s="100">
        <f>+G170-G166</f>
        <v/>
      </c>
      <c r="H171" s="100">
        <f>+H170-H166</f>
        <v/>
      </c>
      <c r="I171" s="100">
        <f>+I170-I166</f>
        <v/>
      </c>
      <c r="J171" s="100">
        <f>+J170-J166</f>
        <v/>
      </c>
      <c r="K171" s="100">
        <f>+K170-K166</f>
        <v/>
      </c>
      <c r="L171" s="100">
        <f>+L170-L166</f>
        <v/>
      </c>
      <c r="M171" s="100">
        <f>+M170-M166</f>
        <v/>
      </c>
      <c r="N171" s="100">
        <f>+N170-N166</f>
        <v/>
      </c>
      <c r="O171" s="100">
        <f>+O170-O166</f>
        <v/>
      </c>
    </row>
    <row r="172" outlineLevel="1" collapsed="1" ht="5.1" customHeight="1">
      <c r="D172" s="28" t="n"/>
      <c r="E172" s="28" t="n"/>
      <c r="F172" s="100" t="n"/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</row>
    <row r="173" outlineLevel="1" ht="13.5" customHeight="1">
      <c r="C173" s="113" t="inlineStr">
        <is>
          <t>Unlevered IRR:</t>
        </is>
      </c>
      <c r="D173" s="91" t="n"/>
      <c r="E173" s="114">
        <f>+IRR(E170:O170)</f>
        <v/>
      </c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</row>
    <row r="174" outlineLevel="1" ht="13.5" customHeight="1">
      <c r="C174" s="115" t="inlineStr">
        <is>
          <t>Unlevered Cash-on-Cash Multiple:</t>
        </is>
      </c>
      <c r="D174" s="92" t="n"/>
      <c r="E174" s="604">
        <f>+SUM(F166:O168)/-SUM(E169:O169)</f>
        <v/>
      </c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</row>
    <row r="175" outlineLevel="1" ht="13.5" customHeight="1">
      <c r="D175" s="28" t="n"/>
      <c r="E175" s="28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</row>
    <row r="176" outlineLevel="1" ht="13.5" customHeight="1">
      <c r="C176" s="28" t="inlineStr">
        <is>
          <t>Cash Flow to Equity Investors (Leveraged IRR):</t>
        </is>
      </c>
      <c r="D176" s="28" t="n"/>
      <c r="E176" s="28" t="n"/>
      <c r="F176" s="100" t="n"/>
      <c r="G176" s="100" t="n"/>
      <c r="H176" s="100" t="n"/>
      <c r="I176" s="100" t="n"/>
      <c r="J176" s="100" t="n"/>
      <c r="K176" s="100" t="n"/>
      <c r="L176" s="100" t="n"/>
      <c r="M176" s="100" t="n"/>
      <c r="N176" s="100" t="n"/>
      <c r="O176" s="100" t="n"/>
    </row>
    <row r="177" outlineLevel="1" ht="13.5" customHeight="1">
      <c r="C177" s="43" t="inlineStr">
        <is>
          <t>(+) Proceeds from Sale of Property:</t>
        </is>
      </c>
      <c r="D177" s="111" t="n"/>
      <c r="E177" s="111" t="n"/>
      <c r="F177" s="111" t="n">
        <v>0</v>
      </c>
      <c r="G177" s="111" t="n">
        <v>0</v>
      </c>
      <c r="H177" s="111" t="n">
        <v>0</v>
      </c>
      <c r="I177" s="111" t="n">
        <v>0</v>
      </c>
      <c r="J177" s="111" t="n">
        <v>0</v>
      </c>
      <c r="K177" s="111" t="n">
        <v>0</v>
      </c>
      <c r="L177" s="111" t="n">
        <v>0</v>
      </c>
      <c r="M177" s="111" t="n">
        <v>0</v>
      </c>
      <c r="N177" s="111" t="n">
        <v>0</v>
      </c>
      <c r="O177" s="111">
        <f>+O$81/D$113</f>
        <v/>
      </c>
    </row>
    <row r="178" outlineLevel="1" ht="13.5" customHeight="1">
      <c r="C178" s="43" t="inlineStr">
        <is>
          <t>(-) Selling Costs:</t>
        </is>
      </c>
      <c r="D178" s="95">
        <f>+$D$167</f>
        <v/>
      </c>
      <c r="E178" s="112" t="n"/>
      <c r="F178" s="112" t="n">
        <v>0</v>
      </c>
      <c r="G178" s="112" t="n">
        <v>0</v>
      </c>
      <c r="H178" s="112" t="n">
        <v>0</v>
      </c>
      <c r="I178" s="112" t="n">
        <v>0</v>
      </c>
      <c r="J178" s="112" t="n">
        <v>0</v>
      </c>
      <c r="K178" s="112" t="n">
        <v>0</v>
      </c>
      <c r="L178" s="112" t="n">
        <v>0</v>
      </c>
      <c r="M178" s="112" t="n">
        <v>0</v>
      </c>
      <c r="N178" s="112" t="n">
        <v>0</v>
      </c>
      <c r="O178" s="112">
        <f>-O$166*D$167</f>
        <v/>
      </c>
    </row>
    <row r="179" outlineLevel="1" ht="13.5" customHeight="1">
      <c r="C179" s="43" t="inlineStr">
        <is>
          <t>(+) Cash Flows to Equity Investors:</t>
        </is>
      </c>
      <c r="E179" s="112" t="n"/>
      <c r="F179" s="23">
        <f>+F$93</f>
        <v/>
      </c>
      <c r="G179" s="23">
        <f>+G$93</f>
        <v/>
      </c>
      <c r="H179" s="23">
        <f>+H$93</f>
        <v/>
      </c>
      <c r="I179" s="23">
        <f>+I$93</f>
        <v/>
      </c>
      <c r="J179" s="23">
        <f>+J$93</f>
        <v/>
      </c>
      <c r="K179" s="23">
        <f>+K$93</f>
        <v/>
      </c>
      <c r="L179" s="23">
        <f>+L$93</f>
        <v/>
      </c>
      <c r="M179" s="23">
        <f>+M$93</f>
        <v/>
      </c>
      <c r="N179" s="23">
        <f>+N$93</f>
        <v/>
      </c>
      <c r="O179" s="23">
        <f>+O$93</f>
        <v/>
      </c>
    </row>
    <row r="180" outlineLevel="1" ht="13.5" customHeight="1">
      <c r="C180" s="43" t="inlineStr">
        <is>
          <t>(-) Debt Principal Repayment Upon Exit:</t>
        </is>
      </c>
      <c r="D180" s="112" t="n"/>
      <c r="E180" s="112" t="n"/>
      <c r="F180" s="112" t="n">
        <v>0</v>
      </c>
      <c r="G180" s="112" t="n">
        <v>0</v>
      </c>
      <c r="H180" s="112" t="n">
        <v>0</v>
      </c>
      <c r="I180" s="112" t="n">
        <v>0</v>
      </c>
      <c r="J180" s="112" t="n">
        <v>0</v>
      </c>
      <c r="K180" s="112" t="n">
        <v>0</v>
      </c>
      <c r="L180" s="112" t="n">
        <v>0</v>
      </c>
      <c r="M180" s="112" t="n">
        <v>0</v>
      </c>
      <c r="N180" s="112" t="n">
        <v>0</v>
      </c>
      <c r="O180" s="112">
        <f>-O95</f>
        <v/>
      </c>
    </row>
    <row r="181" outlineLevel="1" ht="13.5" customHeight="1">
      <c r="C181" s="43" t="inlineStr">
        <is>
          <t>(-) Initial Equity Investment:</t>
        </is>
      </c>
      <c r="D181" s="103" t="n"/>
      <c r="E181" s="103">
        <f>-Dashboard!$I$11</f>
        <v/>
      </c>
      <c r="F181" s="112" t="n">
        <v>0</v>
      </c>
      <c r="G181" s="112" t="n">
        <v>0</v>
      </c>
      <c r="H181" s="112" t="n">
        <v>0</v>
      </c>
      <c r="I181" s="112" t="n">
        <v>0</v>
      </c>
      <c r="J181" s="112" t="n">
        <v>0</v>
      </c>
      <c r="K181" s="112" t="n">
        <v>0</v>
      </c>
      <c r="L181" s="112" t="n">
        <v>0</v>
      </c>
      <c r="M181" s="112" t="n">
        <v>0</v>
      </c>
      <c r="N181" s="112" t="n">
        <v>0</v>
      </c>
      <c r="O181" s="112" t="n">
        <v>0</v>
      </c>
    </row>
    <row r="182" outlineLevel="1" ht="13.5" customHeight="1">
      <c r="C182" s="33" t="inlineStr">
        <is>
          <t>Total Cash Flows to Equity (Leveraged IRR):</t>
        </is>
      </c>
      <c r="D182" s="88" t="n"/>
      <c r="E182" s="88">
        <f>+SUM(E177:E181)</f>
        <v/>
      </c>
      <c r="F182" s="88">
        <f>+SUM(F177:F181)</f>
        <v/>
      </c>
      <c r="G182" s="88">
        <f>+SUM(G177:G181)</f>
        <v/>
      </c>
      <c r="H182" s="88">
        <f>+SUM(H177:H181)</f>
        <v/>
      </c>
      <c r="I182" s="88">
        <f>+SUM(I177:I181)</f>
        <v/>
      </c>
      <c r="J182" s="88">
        <f>+SUM(J177:J181)</f>
        <v/>
      </c>
      <c r="K182" s="88">
        <f>+SUM(K177:K181)</f>
        <v/>
      </c>
      <c r="L182" s="88">
        <f>+SUM(L177:L181)</f>
        <v/>
      </c>
      <c r="M182" s="88">
        <f>+SUM(M177:M181)</f>
        <v/>
      </c>
      <c r="N182" s="88">
        <f>+SUM(N177:N181)</f>
        <v/>
      </c>
      <c r="O182" s="88">
        <f>+SUM(O177:O181)</f>
        <v/>
      </c>
    </row>
    <row r="183" hidden="1" outlineLevel="2" ht="13.5" customHeight="1">
      <c r="C183" s="28" t="n"/>
      <c r="D183" s="99" t="n"/>
      <c r="E183" s="99" t="n"/>
      <c r="F183" s="100">
        <f>+F182-F177</f>
        <v/>
      </c>
      <c r="G183" s="100">
        <f>+G182-G177</f>
        <v/>
      </c>
      <c r="H183" s="100">
        <f>+H182-H177</f>
        <v/>
      </c>
      <c r="I183" s="100">
        <f>+I182-I177</f>
        <v/>
      </c>
      <c r="J183" s="100">
        <f>+J182-J177</f>
        <v/>
      </c>
      <c r="K183" s="100">
        <f>+K182-K177</f>
        <v/>
      </c>
      <c r="L183" s="100">
        <f>+L182-L177</f>
        <v/>
      </c>
      <c r="M183" s="100">
        <f>+M182-M177</f>
        <v/>
      </c>
      <c r="N183" s="100">
        <f>+N182-N177</f>
        <v/>
      </c>
      <c r="O183" s="100">
        <f>+O182-O177</f>
        <v/>
      </c>
    </row>
    <row r="184" outlineLevel="1" collapsed="1" ht="5.1" customHeight="1">
      <c r="D184" s="28" t="n"/>
      <c r="E184" s="28" t="n"/>
      <c r="F184" s="100" t="n"/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</row>
    <row r="185" outlineLevel="1" ht="13.5" customHeight="1">
      <c r="C185" s="113" t="inlineStr">
        <is>
          <t>Leveraged Internal Rate of Return (IRR):</t>
        </is>
      </c>
      <c r="D185" s="91" t="n"/>
      <c r="E185" s="114">
        <f>+IRR(E182:O182)</f>
        <v/>
      </c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</row>
    <row r="186" outlineLevel="1" ht="13.5" customHeight="1">
      <c r="C186" s="115" t="inlineStr">
        <is>
          <t>Levered Cash-on-Cash Multiple:</t>
        </is>
      </c>
      <c r="D186" s="92" t="n"/>
      <c r="E186" s="604">
        <f>+SUM(F177:O180)/-SUM(E181:O181)</f>
        <v/>
      </c>
      <c r="G186" s="100" t="n"/>
      <c r="H186" s="100" t="n"/>
      <c r="I186" s="100" t="n"/>
      <c r="J186" s="100" t="n"/>
      <c r="K186" s="100" t="n"/>
      <c r="L186" s="100" t="n"/>
      <c r="M186" s="100" t="n"/>
      <c r="N186" s="100" t="n"/>
      <c r="O186" s="100" t="n"/>
    </row>
  </sheetData>
  <mergeCells count="8">
    <mergeCell ref="I1:I2"/>
    <mergeCell ref="C1:C2"/>
    <mergeCell ref="D1:D2"/>
    <mergeCell ref="G1:G2"/>
    <mergeCell ref="E1:E2"/>
    <mergeCell ref="H1:H2"/>
    <mergeCell ref="P1:P2"/>
    <mergeCell ref="O1:O2"/>
  </mergeCells>
  <pageMargins left="0.7" right="0.7" top="0.75" bottom="0.75" header="0.3" footer="0.3"/>
  <pageSetup orientation="landscape" scale="17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5"/>
  <sheetViews>
    <sheetView showGridLines="1" view="normal" zoomScale="80" zoomScaleNormal="100" zoomScaleSheetLayoutView="80" workbookViewId="0">
      <selection activeCell="C4" sqref="C4"/>
    </sheetView>
  </sheetViews>
  <sheetFormatPr baseColWidth="8" defaultColWidth="9.140625" defaultRowHeight="13.5" customHeight="1" outlineLevelRow="2"/>
  <cols>
    <col width="11.85546875" customWidth="1" style="13" min="1" max="1"/>
    <col width="1.7109375" customWidth="1" style="13" min="2" max="2"/>
    <col width="36" customWidth="1" style="13" min="3" max="3"/>
    <col width="13.5703125" bestFit="1" customWidth="1" style="13" min="4" max="5"/>
    <col width="13.5703125" customWidth="1" style="13" min="6" max="6"/>
    <col width="13" bestFit="1" customWidth="1" style="13" min="7" max="8"/>
    <col width="13" customWidth="1" style="13" min="9" max="10"/>
    <col hidden="1" outlineLevel="1" width="13" customWidth="1" style="13" min="11" max="15"/>
    <col collapsed="1" width="5.7109375" customWidth="1" style="13" min="16" max="16"/>
    <col width="9.140625" customWidth="1" style="13" min="17" max="16384"/>
  </cols>
  <sheetData>
    <row r="1" ht="15" customHeight="1">
      <c r="C1" s="570" t="inlineStr">
        <is>
          <t>Underwriting Model Scenario 1</t>
        </is>
      </c>
      <c r="D1" s="570" t="n"/>
      <c r="E1" s="570" t="n"/>
      <c r="F1" s="570" t="n"/>
      <c r="G1" s="570" t="n"/>
      <c r="H1" s="570" t="n"/>
      <c r="I1" s="570" t="n"/>
      <c r="J1" s="569" t="n"/>
      <c r="K1" s="569" t="n"/>
      <c r="L1" s="569" t="n"/>
      <c r="M1" s="569" t="n"/>
      <c r="N1" s="569" t="n"/>
      <c r="O1" s="570" t="n"/>
      <c r="P1" s="570" t="n"/>
    </row>
    <row r="2" ht="15.75" customHeight="1" thickBot="1">
      <c r="C2" s="582" t="n"/>
      <c r="D2" s="582" t="n"/>
      <c r="E2" s="582" t="n"/>
      <c r="F2" s="582" t="n"/>
      <c r="G2" s="582" t="n"/>
      <c r="H2" s="582" t="n"/>
      <c r="I2" s="582" t="n"/>
      <c r="J2" s="570" t="n"/>
      <c r="K2" s="570" t="n"/>
      <c r="L2" s="570" t="n"/>
      <c r="M2" s="570" t="n"/>
      <c r="N2" s="570" t="n"/>
      <c r="O2" s="582" t="n"/>
      <c r="P2" s="582" t="n"/>
    </row>
    <row r="3" ht="13.5" customHeight="1" thickTop="1">
      <c r="C3" s="104" t="n"/>
      <c r="D3" s="221" t="inlineStr">
        <is>
          <t>Year</t>
        </is>
      </c>
      <c r="E3" s="221">
        <f>+'Scenario 0'!E3</f>
        <v/>
      </c>
      <c r="F3" s="221">
        <f>+'Scenario 0'!F3</f>
        <v/>
      </c>
      <c r="G3" s="221">
        <f>+'Scenario 0'!G3</f>
        <v/>
      </c>
      <c r="H3" s="221">
        <f>+'Scenario 0'!H3</f>
        <v/>
      </c>
      <c r="I3" s="221">
        <f>+'Scenario 0'!I3</f>
        <v/>
      </c>
      <c r="J3" s="221">
        <f>+'Scenario 0'!J3</f>
        <v/>
      </c>
      <c r="K3" s="221">
        <f>+'Scenario 0'!K3</f>
        <v/>
      </c>
      <c r="L3" s="221">
        <f>+'Scenario 0'!L3</f>
        <v/>
      </c>
      <c r="M3" s="221">
        <f>+'Scenario 0'!M3</f>
        <v/>
      </c>
      <c r="N3" s="221">
        <f>+'Scenario 0'!N3</f>
        <v/>
      </c>
      <c r="O3" s="221">
        <f>+'Scenario 0'!O3</f>
        <v/>
      </c>
      <c r="P3" s="104" t="n"/>
    </row>
    <row r="4" ht="17.45" customHeight="1">
      <c r="C4" s="209">
        <f>'Unit Mix'!$P$3</f>
        <v/>
      </c>
      <c r="D4" s="210" t="n"/>
      <c r="E4" s="37" t="n"/>
      <c r="F4" s="583" t="n"/>
      <c r="G4" s="583" t="n"/>
      <c r="H4" s="583" t="n"/>
      <c r="I4" s="583" t="n"/>
      <c r="J4" s="583" t="n"/>
      <c r="K4" s="583" t="n"/>
      <c r="L4" s="583" t="n"/>
      <c r="M4" s="583" t="n"/>
      <c r="N4" s="583" t="n"/>
      <c r="O4" s="583" t="n"/>
    </row>
    <row r="5" ht="5.1" customHeight="1"/>
    <row r="6" ht="13.5" customHeight="1">
      <c r="C6" s="211" t="inlineStr">
        <is>
          <t>Income Statement</t>
        </is>
      </c>
      <c r="D6" s="36" t="n"/>
      <c r="E6" s="584">
        <f>+'Scenario 0'!E6</f>
        <v/>
      </c>
      <c r="F6" s="584">
        <f>+'Scenario 0'!F6</f>
        <v/>
      </c>
      <c r="G6" s="584">
        <f>+'Scenario 0'!G6</f>
        <v/>
      </c>
      <c r="H6" s="584">
        <f>+'Scenario 0'!H6</f>
        <v/>
      </c>
      <c r="I6" s="584">
        <f>+'Scenario 0'!I6</f>
        <v/>
      </c>
      <c r="J6" s="584">
        <f>+'Scenario 0'!J6</f>
        <v/>
      </c>
      <c r="K6" s="584">
        <f>+'Scenario 0'!K6</f>
        <v/>
      </c>
      <c r="L6" s="584">
        <f>+'Scenario 0'!L6</f>
        <v/>
      </c>
      <c r="M6" s="584">
        <f>+'Scenario 0'!M6</f>
        <v/>
      </c>
      <c r="N6" s="584">
        <f>+'Scenario 0'!N6</f>
        <v/>
      </c>
      <c r="O6" s="584">
        <f>+'Scenario 0'!O6</f>
        <v/>
      </c>
    </row>
    <row r="7" ht="13.5" customHeight="1">
      <c r="C7" s="13" t="inlineStr">
        <is>
          <t>Gross Potential Income</t>
        </is>
      </c>
      <c r="E7" s="249">
        <f>+'Scenario 0'!$E$7</f>
        <v/>
      </c>
      <c r="F7" s="40">
        <f>+'Unit Mix'!U26</f>
        <v/>
      </c>
      <c r="G7" s="40">
        <f>+'Unit Mix'!U49</f>
        <v/>
      </c>
      <c r="H7" s="40">
        <f>+'Unit Mix'!U72</f>
        <v/>
      </c>
      <c r="I7" s="40">
        <f>+'Unit Mix'!U95</f>
        <v/>
      </c>
      <c r="J7" s="40">
        <f>+'Unit Mix'!U118</f>
        <v/>
      </c>
      <c r="K7" s="40">
        <f>+'Unit Mix'!U141</f>
        <v/>
      </c>
      <c r="L7" s="40">
        <f>+'Unit Mix'!U164</f>
        <v/>
      </c>
      <c r="M7" s="40">
        <f>+'Unit Mix'!U187</f>
        <v/>
      </c>
      <c r="N7" s="40">
        <f>+'Unit Mix'!U210</f>
        <v/>
      </c>
      <c r="O7" s="40">
        <f>+'Unit Mix'!U233</f>
        <v/>
      </c>
    </row>
    <row r="8" ht="13.5" customHeight="1">
      <c r="C8" s="13" t="inlineStr">
        <is>
          <t>Vacancy Factor</t>
        </is>
      </c>
      <c r="D8" s="42">
        <f>+Dashboard!$P$10</f>
        <v/>
      </c>
      <c r="E8" s="605">
        <f>+'Scenario 0'!$E$8</f>
        <v/>
      </c>
      <c r="F8" s="579">
        <f>+F7*$D$8</f>
        <v/>
      </c>
      <c r="G8" s="579">
        <f>+G7*$D$8</f>
        <v/>
      </c>
      <c r="H8" s="579">
        <f>+H7*$D$8</f>
        <v/>
      </c>
      <c r="I8" s="579">
        <f>+I7*$D$8</f>
        <v/>
      </c>
      <c r="J8" s="579">
        <f>+J7*$D$8</f>
        <v/>
      </c>
      <c r="K8" s="579">
        <f>+K7*$D$8</f>
        <v/>
      </c>
      <c r="L8" s="579">
        <f>+L7*$D$8</f>
        <v/>
      </c>
      <c r="M8" s="579">
        <f>+M7*$D$8</f>
        <v/>
      </c>
      <c r="N8" s="579">
        <f>+N7*$D$8</f>
        <v/>
      </c>
      <c r="O8" s="579">
        <f>+O7*$D$8</f>
        <v/>
      </c>
    </row>
    <row r="9" ht="13.5" customHeight="1">
      <c r="C9" s="33" t="inlineStr">
        <is>
          <t>Net Rental Income</t>
        </is>
      </c>
      <c r="D9" s="33" t="n"/>
      <c r="E9" s="224">
        <f>+E7-E8</f>
        <v/>
      </c>
      <c r="F9" s="34">
        <f>+F7-F8</f>
        <v/>
      </c>
      <c r="G9" s="34">
        <f>+G7-G8</f>
        <v/>
      </c>
      <c r="H9" s="34">
        <f>+H7-H8</f>
        <v/>
      </c>
      <c r="I9" s="34">
        <f>+I7-I8</f>
        <v/>
      </c>
      <c r="J9" s="34">
        <f>+J7-J8</f>
        <v/>
      </c>
      <c r="K9" s="34">
        <f>+K7-K8</f>
        <v/>
      </c>
      <c r="L9" s="34">
        <f>+L7-L8</f>
        <v/>
      </c>
      <c r="M9" s="34">
        <f>+M7-M8</f>
        <v/>
      </c>
      <c r="N9" s="34">
        <f>+N7-N8</f>
        <v/>
      </c>
      <c r="O9" s="34">
        <f>+O7-O8</f>
        <v/>
      </c>
    </row>
    <row r="10" ht="5.1" customHeight="1">
      <c r="C10" s="28" t="n"/>
      <c r="D10" s="28" t="n"/>
      <c r="E10" s="225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</row>
    <row r="11" ht="13.5" customHeight="1">
      <c r="C11" s="13" t="inlineStr">
        <is>
          <t>Laundry and Other Income</t>
        </is>
      </c>
      <c r="D11" s="42">
        <f>+Dashboard!$P$14</f>
        <v/>
      </c>
      <c r="E11" s="249">
        <f>+'Scenario 0'!$E$11</f>
        <v/>
      </c>
      <c r="F11" s="103">
        <f>+Dashboard!$O$14</f>
        <v/>
      </c>
      <c r="G11" s="112">
        <f>+F11*(1+$D11)</f>
        <v/>
      </c>
      <c r="H11" s="112">
        <f>+G11*(1+$D11)</f>
        <v/>
      </c>
      <c r="I11" s="112">
        <f>+H11*(1+$D11)</f>
        <v/>
      </c>
      <c r="J11" s="112">
        <f>+I11*(1+$D11)</f>
        <v/>
      </c>
      <c r="K11" s="112">
        <f>+J11*(1+$D11)</f>
        <v/>
      </c>
      <c r="L11" s="112">
        <f>+K11*(1+$D11)</f>
        <v/>
      </c>
      <c r="M11" s="112">
        <f>+L11*(1+$D11)</f>
        <v/>
      </c>
      <c r="N11" s="112">
        <f>+M11*(1+$D11)</f>
        <v/>
      </c>
      <c r="O11" s="112">
        <f>+N11*(1+$D11)</f>
        <v/>
      </c>
    </row>
    <row r="12" ht="13.5" customHeight="1">
      <c r="C12" s="33" t="inlineStr">
        <is>
          <t>Total Gross Income</t>
        </is>
      </c>
      <c r="D12" s="34" t="n"/>
      <c r="E12" s="224">
        <f>+SUM(E9:E11)</f>
        <v/>
      </c>
      <c r="F12" s="34">
        <f>+SUM(F9:F11)</f>
        <v/>
      </c>
      <c r="G12" s="34">
        <f>+SUM(G9:G11)</f>
        <v/>
      </c>
      <c r="H12" s="34">
        <f>+SUM(H9:H11)</f>
        <v/>
      </c>
      <c r="I12" s="34">
        <f>+SUM(I9:I11)</f>
        <v/>
      </c>
      <c r="J12" s="34">
        <f>+SUM(J9:J11)</f>
        <v/>
      </c>
      <c r="K12" s="34">
        <f>+SUM(K9:K11)</f>
        <v/>
      </c>
      <c r="L12" s="34">
        <f>+SUM(L9:L11)</f>
        <v/>
      </c>
      <c r="M12" s="34">
        <f>+SUM(M9:M11)</f>
        <v/>
      </c>
      <c r="N12" s="34">
        <f>+SUM(N9:N11)</f>
        <v/>
      </c>
      <c r="O12" s="34">
        <f>+SUM(O9:O11)</f>
        <v/>
      </c>
    </row>
    <row r="13" ht="13.5" customHeight="1">
      <c r="C13" s="104" t="inlineStr">
        <is>
          <t>Gross Income Growth</t>
        </is>
      </c>
      <c r="D13" s="66" t="n"/>
      <c r="E13" s="259" t="inlineStr">
        <is>
          <t>--</t>
        </is>
      </c>
      <c r="F13" s="105">
        <f>+F12/E12-1</f>
        <v/>
      </c>
      <c r="G13" s="105">
        <f>+G12/F12-1</f>
        <v/>
      </c>
      <c r="H13" s="105">
        <f>+H12/G12-1</f>
        <v/>
      </c>
      <c r="I13" s="105">
        <f>+I12/H12-1</f>
        <v/>
      </c>
      <c r="J13" s="105">
        <f>+J12/I12-1</f>
        <v/>
      </c>
      <c r="K13" s="105">
        <f>+K12/J12-1</f>
        <v/>
      </c>
      <c r="L13" s="105">
        <f>+L12/K12-1</f>
        <v/>
      </c>
      <c r="M13" s="105">
        <f>+M12/L12-1</f>
        <v/>
      </c>
      <c r="N13" s="105">
        <f>+N12/M12-1</f>
        <v/>
      </c>
      <c r="O13" s="105">
        <f>+O12/N12-1</f>
        <v/>
      </c>
    </row>
    <row r="14" ht="5.1" customHeight="1">
      <c r="E14" s="226" t="n"/>
    </row>
    <row r="15" ht="13.5" customHeight="1">
      <c r="C15" s="28" t="inlineStr">
        <is>
          <t>Opertating Expenses</t>
        </is>
      </c>
      <c r="E15" s="226" t="n"/>
    </row>
    <row r="16" hidden="1" outlineLevel="1" ht="5.1" customHeight="1">
      <c r="C16" s="28" t="n"/>
      <c r="E16" s="226" t="n"/>
    </row>
    <row r="17" hidden="1" outlineLevel="1" ht="13.5" customHeight="1">
      <c r="A17" s="132" t="inlineStr">
        <is>
          <t>BAD</t>
        </is>
      </c>
      <c r="C17" s="206" t="n"/>
      <c r="D17" s="205" t="n"/>
      <c r="E17" s="240" t="n"/>
      <c r="F17" s="205" t="n"/>
      <c r="G17" s="205" t="n"/>
      <c r="H17" s="205" t="n"/>
      <c r="I17" s="205" t="n"/>
      <c r="J17" s="205" t="n"/>
      <c r="K17" s="205" t="n"/>
      <c r="L17" s="205" t="n"/>
      <c r="M17" s="205" t="n"/>
      <c r="N17" s="205" t="n"/>
      <c r="O17" s="205" t="n"/>
    </row>
    <row r="18" collapsed="1" ht="13.5" customHeight="1">
      <c r="C18" s="13" t="inlineStr">
        <is>
          <t>Bad Debt</t>
        </is>
      </c>
      <c r="D18" s="42" t="n"/>
      <c r="E18" s="249">
        <f>+'Scenario 0'!E18</f>
        <v/>
      </c>
      <c r="F18" s="40">
        <f>+'Scenario 0'!F18</f>
        <v/>
      </c>
      <c r="G18" s="40">
        <f>+'Scenario 0'!G18</f>
        <v/>
      </c>
      <c r="H18" s="40">
        <f>+'Scenario 0'!H18</f>
        <v/>
      </c>
      <c r="I18" s="40">
        <f>+'Scenario 0'!I18</f>
        <v/>
      </c>
      <c r="J18" s="40">
        <f>+'Scenario 0'!J18</f>
        <v/>
      </c>
      <c r="K18" s="40">
        <f>+'Scenario 0'!K18</f>
        <v/>
      </c>
      <c r="L18" s="40">
        <f>+'Scenario 0'!L18</f>
        <v/>
      </c>
      <c r="M18" s="40">
        <f>+'Scenario 0'!M18</f>
        <v/>
      </c>
      <c r="N18" s="40">
        <f>+'Scenario 0'!N18</f>
        <v/>
      </c>
      <c r="O18" s="40">
        <f>+'Scenario 0'!O18</f>
        <v/>
      </c>
    </row>
    <row r="19" hidden="1" outlineLevel="1" ht="13.5" customHeight="1">
      <c r="D19" s="42" t="n"/>
      <c r="E19" s="249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</row>
    <row r="20" hidden="1" outlineLevel="1" ht="13.5" customHeight="1">
      <c r="A20" s="132" t="inlineStr">
        <is>
          <t>RES</t>
        </is>
      </c>
      <c r="C20" s="206" t="n"/>
      <c r="D20" s="205" t="n"/>
      <c r="E20" s="248" t="n"/>
      <c r="F20" s="200" t="n"/>
      <c r="G20" s="200" t="n"/>
      <c r="H20" s="200" t="n"/>
      <c r="I20" s="200" t="n"/>
      <c r="J20" s="200" t="n"/>
      <c r="K20" s="200" t="n"/>
      <c r="L20" s="200" t="n"/>
      <c r="M20" s="200" t="n"/>
      <c r="N20" s="200" t="n"/>
      <c r="O20" s="200" t="n"/>
    </row>
    <row r="21" hidden="1" outlineLevel="1" ht="13.5" customHeight="1">
      <c r="A21" s="132" t="inlineStr">
        <is>
          <t>COM</t>
        </is>
      </c>
      <c r="C21" s="207" t="n"/>
      <c r="D21" s="205" t="n"/>
      <c r="E21" s="606" t="n"/>
      <c r="F21" s="587" t="n"/>
      <c r="G21" s="587" t="n"/>
      <c r="H21" s="587" t="n"/>
      <c r="I21" s="587" t="n"/>
      <c r="J21" s="587" t="n"/>
      <c r="K21" s="587" t="n"/>
      <c r="L21" s="587" t="n"/>
      <c r="M21" s="587" t="n"/>
      <c r="N21" s="587" t="n"/>
      <c r="O21" s="587" t="n"/>
    </row>
    <row r="22" collapsed="1" ht="13.5" customHeight="1">
      <c r="C22" s="13" t="inlineStr">
        <is>
          <t>Total Replacement Reserves</t>
        </is>
      </c>
      <c r="E22" s="592">
        <f>+'Scenario 0'!E22</f>
        <v/>
      </c>
      <c r="F22" s="593">
        <f>+'Scenario 0'!F22</f>
        <v/>
      </c>
      <c r="G22" s="593">
        <f>+'Scenario 0'!G22</f>
        <v/>
      </c>
      <c r="H22" s="593">
        <f>+'Scenario 0'!H22</f>
        <v/>
      </c>
      <c r="I22" s="593">
        <f>+'Scenario 0'!I22</f>
        <v/>
      </c>
      <c r="J22" s="593">
        <f>+'Scenario 0'!J22</f>
        <v/>
      </c>
      <c r="K22" s="593">
        <f>+'Scenario 0'!K22</f>
        <v/>
      </c>
      <c r="L22" s="593">
        <f>+'Scenario 0'!L22</f>
        <v/>
      </c>
      <c r="M22" s="593">
        <f>+'Scenario 0'!M22</f>
        <v/>
      </c>
      <c r="N22" s="593">
        <f>+'Scenario 0'!N22</f>
        <v/>
      </c>
      <c r="O22" s="593">
        <f>+'Scenario 0'!O22</f>
        <v/>
      </c>
    </row>
    <row r="23" hidden="1" outlineLevel="1" ht="13.5" customHeight="1">
      <c r="E23" s="592" t="n"/>
      <c r="F23" s="593" t="n"/>
      <c r="G23" s="593" t="n"/>
      <c r="H23" s="593" t="n"/>
      <c r="I23" s="593" t="n"/>
      <c r="J23" s="593" t="n"/>
      <c r="K23" s="593" t="n"/>
      <c r="L23" s="593" t="n"/>
      <c r="M23" s="593" t="n"/>
      <c r="N23" s="593" t="n"/>
      <c r="O23" s="593" t="n"/>
    </row>
    <row r="24" hidden="1" outlineLevel="1" ht="13.5" customHeight="1">
      <c r="A24" s="132" t="inlineStr">
        <is>
          <t>MAN</t>
        </is>
      </c>
      <c r="C24" s="206" t="n"/>
      <c r="D24" s="199" t="n"/>
      <c r="E24" s="248" t="n"/>
      <c r="F24" s="200" t="n"/>
      <c r="G24" s="200" t="n"/>
      <c r="H24" s="200" t="n"/>
      <c r="I24" s="200" t="n"/>
      <c r="J24" s="200" t="n"/>
      <c r="K24" s="200" t="n"/>
      <c r="L24" s="200" t="n"/>
      <c r="M24" s="200" t="n"/>
      <c r="N24" s="200" t="n"/>
      <c r="O24" s="200" t="n"/>
    </row>
    <row r="25" hidden="1" outlineLevel="1" ht="13.5" customHeight="1">
      <c r="A25" s="132" t="inlineStr">
        <is>
          <t>ASS</t>
        </is>
      </c>
      <c r="C25" s="207" t="n"/>
      <c r="D25" s="199" t="n"/>
      <c r="E25" s="606" t="n"/>
      <c r="F25" s="587" t="n"/>
      <c r="G25" s="587" t="n"/>
      <c r="H25" s="587" t="n"/>
      <c r="I25" s="587" t="n"/>
      <c r="J25" s="587" t="n"/>
      <c r="K25" s="587" t="n"/>
      <c r="L25" s="587" t="n"/>
      <c r="M25" s="587" t="n"/>
      <c r="N25" s="587" t="n"/>
      <c r="O25" s="587" t="n"/>
    </row>
    <row r="26" hidden="1" outlineLevel="1" ht="13.5" customHeight="1">
      <c r="A26" s="132" t="inlineStr">
        <is>
          <t>PAY</t>
        </is>
      </c>
      <c r="C26" s="207" t="n"/>
      <c r="D26" s="199" t="n"/>
      <c r="E26" s="606" t="n"/>
      <c r="F26" s="587" t="n"/>
      <c r="G26" s="587" t="n"/>
      <c r="H26" s="587" t="n"/>
      <c r="I26" s="587" t="n"/>
      <c r="J26" s="587" t="n"/>
      <c r="K26" s="587" t="n"/>
      <c r="L26" s="587" t="n"/>
      <c r="M26" s="587" t="n"/>
      <c r="N26" s="587" t="n"/>
      <c r="O26" s="587" t="n"/>
    </row>
    <row r="27" hidden="1" outlineLevel="1" ht="13.5" customHeight="1">
      <c r="A27" s="132" t="inlineStr">
        <is>
          <t>MAIT</t>
        </is>
      </c>
      <c r="C27" s="207" t="n"/>
      <c r="D27" s="199" t="n"/>
      <c r="E27" s="606" t="n"/>
      <c r="F27" s="587" t="n"/>
      <c r="G27" s="587" t="n"/>
      <c r="H27" s="587" t="n"/>
      <c r="I27" s="587" t="n"/>
      <c r="J27" s="587" t="n"/>
      <c r="K27" s="587" t="n"/>
      <c r="L27" s="587" t="n"/>
      <c r="M27" s="587" t="n"/>
      <c r="N27" s="587" t="n"/>
      <c r="O27" s="587" t="n"/>
    </row>
    <row r="28" collapsed="1" ht="13.5" customHeight="1">
      <c r="C28" s="13" t="inlineStr">
        <is>
          <t>Payroll</t>
        </is>
      </c>
      <c r="E28" s="592">
        <f>+'Scenario 0'!E29</f>
        <v/>
      </c>
      <c r="F28" s="593">
        <f>+'Scenario 0'!F29</f>
        <v/>
      </c>
      <c r="G28" s="593">
        <f>+'Scenario 0'!G29</f>
        <v/>
      </c>
      <c r="H28" s="593">
        <f>+'Scenario 0'!H29</f>
        <v/>
      </c>
      <c r="I28" s="593">
        <f>+'Scenario 0'!I29</f>
        <v/>
      </c>
      <c r="J28" s="593">
        <f>+'Scenario 0'!J29</f>
        <v/>
      </c>
      <c r="K28" s="593">
        <f>+'Scenario 0'!K29</f>
        <v/>
      </c>
      <c r="L28" s="593">
        <f>+'Scenario 0'!L29</f>
        <v/>
      </c>
      <c r="M28" s="593">
        <f>+'Scenario 0'!M29</f>
        <v/>
      </c>
      <c r="N28" s="593">
        <f>+'Scenario 0'!N29</f>
        <v/>
      </c>
      <c r="O28" s="593">
        <f>+'Scenario 0'!O29</f>
        <v/>
      </c>
    </row>
    <row r="29" hidden="1" outlineLevel="1" ht="13.5" customHeight="1">
      <c r="E29" s="592" t="n"/>
      <c r="F29" s="593" t="n"/>
      <c r="G29" s="593" t="n"/>
      <c r="H29" s="593" t="n"/>
      <c r="I29" s="593" t="n"/>
      <c r="J29" s="593" t="n"/>
      <c r="K29" s="593" t="n"/>
      <c r="L29" s="593" t="n"/>
      <c r="M29" s="593" t="n"/>
      <c r="N29" s="593" t="n"/>
      <c r="O29" s="593" t="n"/>
    </row>
    <row r="30" hidden="1" outlineLevel="1" ht="13.5" customHeight="1">
      <c r="A30" s="132" t="inlineStr">
        <is>
          <t>MGMT</t>
        </is>
      </c>
      <c r="C30" s="208" t="n"/>
      <c r="D30" s="199" t="n"/>
      <c r="E30" s="248" t="n"/>
      <c r="F30" s="200" t="n"/>
      <c r="G30" s="200" t="n"/>
      <c r="H30" s="200" t="n"/>
      <c r="I30" s="200" t="n"/>
      <c r="J30" s="200" t="n"/>
      <c r="K30" s="200" t="n"/>
      <c r="L30" s="200" t="n"/>
      <c r="M30" s="200" t="n"/>
      <c r="N30" s="200" t="n"/>
      <c r="O30" s="200" t="n"/>
    </row>
    <row r="31" hidden="1" outlineLevel="1" ht="13.5" customHeight="1">
      <c r="A31" s="132" t="inlineStr">
        <is>
          <t>LEGAL</t>
        </is>
      </c>
      <c r="C31" s="208" t="n"/>
      <c r="D31" s="199" t="n"/>
      <c r="E31" s="606" t="n"/>
      <c r="F31" s="591" t="n"/>
      <c r="G31" s="587" t="n"/>
      <c r="H31" s="587" t="n"/>
      <c r="I31" s="587" t="n"/>
      <c r="J31" s="587" t="n"/>
      <c r="K31" s="587" t="n"/>
      <c r="L31" s="587" t="n"/>
      <c r="M31" s="587" t="n"/>
      <c r="N31" s="587" t="n"/>
      <c r="O31" s="587" t="n"/>
    </row>
    <row r="32" hidden="1" outlineLevel="1" ht="13.5" customHeight="1">
      <c r="A32" s="132" t="inlineStr">
        <is>
          <t>OFF</t>
        </is>
      </c>
      <c r="C32" s="208" t="n"/>
      <c r="D32" s="199" t="n"/>
      <c r="E32" s="606" t="n"/>
      <c r="F32" s="591" t="n"/>
      <c r="G32" s="587" t="n"/>
      <c r="H32" s="587" t="n"/>
      <c r="I32" s="587" t="n"/>
      <c r="J32" s="587" t="n"/>
      <c r="K32" s="587" t="n"/>
      <c r="L32" s="587" t="n"/>
      <c r="M32" s="587" t="n"/>
      <c r="N32" s="587" t="n"/>
      <c r="O32" s="587" t="n"/>
    </row>
    <row r="33" hidden="1" outlineLevel="1" ht="13.5" customHeight="1">
      <c r="A33" s="132" t="inlineStr">
        <is>
          <t>TRAVEL</t>
        </is>
      </c>
      <c r="C33" s="208" t="n"/>
      <c r="D33" s="199" t="n"/>
      <c r="E33" s="606" t="n"/>
      <c r="F33" s="591" t="n"/>
      <c r="G33" s="587" t="n"/>
      <c r="H33" s="587" t="n"/>
      <c r="I33" s="587" t="n"/>
      <c r="J33" s="587" t="n"/>
      <c r="K33" s="587" t="n"/>
      <c r="L33" s="587" t="n"/>
      <c r="M33" s="587" t="n"/>
      <c r="N33" s="587" t="n"/>
      <c r="O33" s="587" t="n"/>
    </row>
    <row r="34" hidden="1" outlineLevel="1" ht="13.5" customHeight="1">
      <c r="A34" s="132" t="inlineStr">
        <is>
          <t>AUD</t>
        </is>
      </c>
      <c r="C34" s="208" t="n"/>
      <c r="D34" s="199" t="n"/>
      <c r="E34" s="606" t="n"/>
      <c r="F34" s="591" t="n"/>
      <c r="G34" s="587" t="n"/>
      <c r="H34" s="587" t="n"/>
      <c r="I34" s="587" t="n"/>
      <c r="J34" s="587" t="n"/>
      <c r="K34" s="587" t="n"/>
      <c r="L34" s="587" t="n"/>
      <c r="M34" s="587" t="n"/>
      <c r="N34" s="587" t="n"/>
      <c r="O34" s="587" t="n"/>
    </row>
    <row r="35" hidden="1" outlineLevel="1" ht="13.5" customHeight="1">
      <c r="A35" s="132" t="inlineStr">
        <is>
          <t>ADV</t>
        </is>
      </c>
      <c r="C35" s="208" t="n"/>
      <c r="D35" s="199" t="n"/>
      <c r="E35" s="606" t="n"/>
      <c r="F35" s="591" t="n"/>
      <c r="G35" s="587" t="n"/>
      <c r="H35" s="587" t="n"/>
      <c r="I35" s="587" t="n"/>
      <c r="J35" s="587" t="n"/>
      <c r="K35" s="587" t="n"/>
      <c r="L35" s="587" t="n"/>
      <c r="M35" s="587" t="n"/>
      <c r="N35" s="587" t="n"/>
      <c r="O35" s="587" t="n"/>
    </row>
    <row r="36" hidden="1" outlineLevel="1" ht="13.5" customHeight="1">
      <c r="A36" s="132" t="inlineStr">
        <is>
          <t>TRAIN</t>
        </is>
      </c>
      <c r="C36" s="208" t="n"/>
      <c r="D36" s="199" t="n"/>
      <c r="E36" s="606" t="n"/>
      <c r="F36" s="591" t="n"/>
      <c r="G36" s="587" t="n"/>
      <c r="H36" s="587" t="n"/>
      <c r="I36" s="587" t="n"/>
      <c r="J36" s="587" t="n"/>
      <c r="K36" s="587" t="n"/>
      <c r="L36" s="587" t="n"/>
      <c r="M36" s="587" t="n"/>
      <c r="N36" s="587" t="n"/>
      <c r="O36" s="587" t="n"/>
    </row>
    <row r="37" hidden="1" outlineLevel="1" ht="13.5" customHeight="1">
      <c r="A37" s="132" t="inlineStr">
        <is>
          <t>BANK</t>
        </is>
      </c>
      <c r="C37" s="208" t="n"/>
      <c r="D37" s="199" t="n"/>
      <c r="E37" s="606" t="n"/>
      <c r="F37" s="591" t="n"/>
      <c r="G37" s="587" t="n"/>
      <c r="H37" s="587" t="n"/>
      <c r="I37" s="587" t="n"/>
      <c r="J37" s="587" t="n"/>
      <c r="K37" s="587" t="n"/>
      <c r="L37" s="587" t="n"/>
      <c r="M37" s="587" t="n"/>
      <c r="N37" s="587" t="n"/>
      <c r="O37" s="587" t="n"/>
    </row>
    <row r="38" hidden="1" outlineLevel="1" ht="13.5" customHeight="1">
      <c r="A38" s="132" t="inlineStr">
        <is>
          <t>BOOK</t>
        </is>
      </c>
      <c r="C38" s="208" t="n"/>
      <c r="D38" s="199" t="n"/>
      <c r="E38" s="606" t="n"/>
      <c r="F38" s="591" t="n"/>
      <c r="G38" s="587" t="n"/>
      <c r="H38" s="587" t="n"/>
      <c r="I38" s="587" t="n"/>
      <c r="J38" s="587" t="n"/>
      <c r="K38" s="587" t="n"/>
      <c r="L38" s="587" t="n"/>
      <c r="M38" s="587" t="n"/>
      <c r="N38" s="587" t="n"/>
      <c r="O38" s="587" t="n"/>
    </row>
    <row r="39" hidden="1" outlineLevel="1" ht="13.5" customHeight="1">
      <c r="A39" s="132" t="inlineStr">
        <is>
          <t>PAYSERV</t>
        </is>
      </c>
      <c r="C39" s="208" t="n"/>
      <c r="D39" s="199" t="n"/>
      <c r="E39" s="606" t="n"/>
      <c r="F39" s="591" t="n"/>
      <c r="G39" s="587" t="n"/>
      <c r="H39" s="587" t="n"/>
      <c r="I39" s="587" t="n"/>
      <c r="J39" s="587" t="n"/>
      <c r="K39" s="587" t="n"/>
      <c r="L39" s="587" t="n"/>
      <c r="M39" s="587" t="n"/>
      <c r="N39" s="587" t="n"/>
      <c r="O39" s="587" t="n"/>
    </row>
    <row r="40" hidden="1" outlineLevel="1" ht="13.5" customHeight="1">
      <c r="A40" s="132" t="inlineStr">
        <is>
          <t>UNIT</t>
        </is>
      </c>
      <c r="C40" s="208" t="n"/>
      <c r="D40" s="199" t="n"/>
      <c r="E40" s="606" t="n"/>
      <c r="F40" s="591" t="n"/>
      <c r="G40" s="587" t="n"/>
      <c r="H40" s="587" t="n"/>
      <c r="I40" s="587" t="n"/>
      <c r="J40" s="587" t="n"/>
      <c r="K40" s="587" t="n"/>
      <c r="L40" s="587" t="n"/>
      <c r="M40" s="587" t="n"/>
      <c r="N40" s="587" t="n"/>
      <c r="O40" s="587" t="n"/>
    </row>
    <row r="41" hidden="1" outlineLevel="1" ht="13.5" customHeight="1">
      <c r="A41" s="132" t="inlineStr">
        <is>
          <t>MISCAD</t>
        </is>
      </c>
      <c r="C41" s="208" t="n"/>
      <c r="D41" s="199" t="n"/>
      <c r="E41" s="606" t="n"/>
      <c r="F41" s="591" t="n"/>
      <c r="G41" s="587" t="n"/>
      <c r="H41" s="587" t="n"/>
      <c r="I41" s="587" t="n"/>
      <c r="J41" s="587" t="n"/>
      <c r="K41" s="587" t="n"/>
      <c r="L41" s="587" t="n"/>
      <c r="M41" s="587" t="n"/>
      <c r="N41" s="587" t="n"/>
      <c r="O41" s="587" t="n"/>
    </row>
    <row r="42" collapsed="1" ht="13.5" customHeight="1">
      <c r="C42" s="13" t="inlineStr">
        <is>
          <t>Admin Expenses</t>
        </is>
      </c>
      <c r="E42" s="592">
        <f>+'Scenario 0'!E43</f>
        <v/>
      </c>
      <c r="F42" s="593">
        <f>+'Scenario 0'!F43</f>
        <v/>
      </c>
      <c r="G42" s="593">
        <f>+'Scenario 0'!G43</f>
        <v/>
      </c>
      <c r="H42" s="593">
        <f>+'Scenario 0'!H43</f>
        <v/>
      </c>
      <c r="I42" s="593">
        <f>+'Scenario 0'!I43</f>
        <v/>
      </c>
      <c r="J42" s="593">
        <f>+'Scenario 0'!J43</f>
        <v/>
      </c>
      <c r="K42" s="593">
        <f>+'Scenario 0'!K43</f>
        <v/>
      </c>
      <c r="L42" s="593">
        <f>+'Scenario 0'!L43</f>
        <v/>
      </c>
      <c r="M42" s="593">
        <f>+'Scenario 0'!M43</f>
        <v/>
      </c>
      <c r="N42" s="593">
        <f>+'Scenario 0'!N43</f>
        <v/>
      </c>
      <c r="O42" s="593">
        <f>+'Scenario 0'!O43</f>
        <v/>
      </c>
    </row>
    <row r="43" hidden="1" outlineLevel="1" ht="13.5" customHeight="1">
      <c r="E43" s="592" t="n"/>
      <c r="F43" s="593" t="n"/>
      <c r="G43" s="593" t="n"/>
      <c r="H43" s="593" t="n"/>
      <c r="I43" s="593" t="n"/>
      <c r="J43" s="593" t="n"/>
      <c r="K43" s="593" t="n"/>
      <c r="L43" s="593" t="n"/>
      <c r="M43" s="593" t="n"/>
      <c r="N43" s="593" t="n"/>
      <c r="O43" s="593" t="n"/>
    </row>
    <row r="44" hidden="1" outlineLevel="1" ht="13.5" customHeight="1">
      <c r="A44" s="132" t="inlineStr">
        <is>
          <t>ELEC</t>
        </is>
      </c>
      <c r="C44" s="206" t="n"/>
      <c r="D44" s="199" t="n"/>
      <c r="E44" s="248" t="n"/>
      <c r="F44" s="200" t="n"/>
      <c r="G44" s="587" t="n"/>
      <c r="H44" s="587" t="n"/>
      <c r="I44" s="587" t="n"/>
      <c r="J44" s="587" t="n"/>
      <c r="K44" s="587" t="n"/>
      <c r="L44" s="587" t="n"/>
      <c r="M44" s="587" t="n"/>
      <c r="N44" s="587" t="n"/>
      <c r="O44" s="587" t="n"/>
    </row>
    <row r="45" hidden="1" outlineLevel="1" ht="13.5" customHeight="1">
      <c r="A45" s="132" t="inlineStr">
        <is>
          <t>VAC</t>
        </is>
      </c>
      <c r="C45" s="207" t="n"/>
      <c r="D45" s="199" t="n"/>
      <c r="E45" s="606" t="n"/>
      <c r="F45" s="591" t="n"/>
      <c r="G45" s="587" t="n"/>
      <c r="H45" s="587" t="n"/>
      <c r="I45" s="587" t="n"/>
      <c r="J45" s="587" t="n"/>
      <c r="K45" s="587" t="n"/>
      <c r="L45" s="587" t="n"/>
      <c r="M45" s="587" t="n"/>
      <c r="N45" s="587" t="n"/>
      <c r="O45" s="587" t="n"/>
    </row>
    <row r="46" hidden="1" outlineLevel="1" ht="13.5" customHeight="1">
      <c r="A46" s="132" t="inlineStr">
        <is>
          <t>WS</t>
        </is>
      </c>
      <c r="C46" s="207" t="n"/>
      <c r="D46" s="199" t="n"/>
      <c r="E46" s="606" t="n"/>
      <c r="F46" s="591" t="n"/>
      <c r="G46" s="587" t="n"/>
      <c r="H46" s="587" t="n"/>
      <c r="I46" s="587" t="n"/>
      <c r="J46" s="587" t="n"/>
      <c r="K46" s="587" t="n"/>
      <c r="L46" s="587" t="n"/>
      <c r="M46" s="587" t="n"/>
      <c r="N46" s="587" t="n"/>
      <c r="O46" s="587" t="n"/>
    </row>
    <row r="47" hidden="1" outlineLevel="1" ht="13.5" customHeight="1">
      <c r="A47" s="132" t="inlineStr">
        <is>
          <t>GAS</t>
        </is>
      </c>
      <c r="C47" s="207" t="n"/>
      <c r="D47" s="199" t="n"/>
      <c r="E47" s="606" t="n"/>
      <c r="F47" s="591" t="n"/>
      <c r="G47" s="587" t="n"/>
      <c r="H47" s="587" t="n"/>
      <c r="I47" s="587" t="n"/>
      <c r="J47" s="587" t="n"/>
      <c r="K47" s="587" t="n"/>
      <c r="L47" s="587" t="n"/>
      <c r="M47" s="587" t="n"/>
      <c r="N47" s="587" t="n"/>
      <c r="O47" s="587" t="n"/>
    </row>
    <row r="48" hidden="1" outlineLevel="1" ht="13.5" customHeight="1">
      <c r="A48" s="132" t="inlineStr">
        <is>
          <t>CABLE</t>
        </is>
      </c>
      <c r="C48" s="207" t="n"/>
      <c r="D48" s="199" t="n"/>
      <c r="E48" s="606" t="n"/>
      <c r="F48" s="591" t="n"/>
      <c r="G48" s="587" t="n"/>
      <c r="H48" s="587" t="n"/>
      <c r="I48" s="587" t="n"/>
      <c r="J48" s="587" t="n"/>
      <c r="K48" s="587" t="n"/>
      <c r="L48" s="587" t="n"/>
      <c r="M48" s="587" t="n"/>
      <c r="N48" s="587" t="n"/>
      <c r="O48" s="587" t="n"/>
    </row>
    <row r="49" hidden="1" outlineLevel="1" ht="13.5" customHeight="1">
      <c r="A49" s="132" t="inlineStr">
        <is>
          <t>TRASH</t>
        </is>
      </c>
      <c r="C49" s="207" t="n"/>
      <c r="D49" s="199" t="n"/>
      <c r="E49" s="606" t="n"/>
      <c r="F49" s="591" t="n"/>
      <c r="G49" s="587" t="n"/>
      <c r="H49" s="587" t="n"/>
      <c r="I49" s="587" t="n"/>
      <c r="J49" s="587" t="n"/>
      <c r="K49" s="587" t="n"/>
      <c r="L49" s="587" t="n"/>
      <c r="M49" s="587" t="n"/>
      <c r="N49" s="587" t="n"/>
      <c r="O49" s="587" t="n"/>
    </row>
    <row r="50" collapsed="1" ht="13.5" customHeight="1">
      <c r="C50" s="13" t="inlineStr">
        <is>
          <t>Utility Expenses</t>
        </is>
      </c>
      <c r="E50" s="592">
        <f>+'Scenario 0'!E51</f>
        <v/>
      </c>
      <c r="F50" s="593">
        <f>+'Scenario 0'!F51</f>
        <v/>
      </c>
      <c r="G50" s="593">
        <f>+'Scenario 0'!G51</f>
        <v/>
      </c>
      <c r="H50" s="593">
        <f>+'Scenario 0'!H51</f>
        <v/>
      </c>
      <c r="I50" s="593">
        <f>+'Scenario 0'!I51</f>
        <v/>
      </c>
      <c r="J50" s="593">
        <f>+'Scenario 0'!J51</f>
        <v/>
      </c>
      <c r="K50" s="593">
        <f>+'Scenario 0'!K51</f>
        <v/>
      </c>
      <c r="L50" s="593">
        <f>+'Scenario 0'!L51</f>
        <v/>
      </c>
      <c r="M50" s="593">
        <f>+'Scenario 0'!M51</f>
        <v/>
      </c>
      <c r="N50" s="593">
        <f>+'Scenario 0'!N51</f>
        <v/>
      </c>
      <c r="O50" s="593">
        <f>+'Scenario 0'!O51</f>
        <v/>
      </c>
    </row>
    <row r="51" hidden="1" outlineLevel="1" ht="13.5" customHeight="1">
      <c r="E51" s="592" t="n"/>
      <c r="F51" s="593" t="n"/>
      <c r="G51" s="593" t="n"/>
      <c r="H51" s="593" t="n"/>
      <c r="I51" s="593" t="n"/>
      <c r="J51" s="593" t="n"/>
      <c r="K51" s="593" t="n"/>
      <c r="L51" s="593" t="n"/>
      <c r="M51" s="593" t="n"/>
      <c r="N51" s="593" t="n"/>
      <c r="O51" s="593" t="n"/>
    </row>
    <row r="52" hidden="1" outlineLevel="1" ht="13.5" customHeight="1">
      <c r="A52" s="132" t="inlineStr">
        <is>
          <t>RM</t>
        </is>
      </c>
      <c r="C52" s="206" t="n"/>
      <c r="D52" s="199" t="n"/>
      <c r="E52" s="248" t="n"/>
      <c r="F52" s="200" t="n"/>
      <c r="G52" s="587" t="n"/>
      <c r="H52" s="587" t="n"/>
      <c r="I52" s="587" t="n"/>
      <c r="J52" s="587" t="n"/>
      <c r="K52" s="587" t="n"/>
      <c r="L52" s="587" t="n"/>
      <c r="M52" s="587" t="n"/>
      <c r="N52" s="587" t="n"/>
      <c r="O52" s="587" t="n"/>
    </row>
    <row r="53" hidden="1" outlineLevel="1" ht="13.5" customHeight="1">
      <c r="A53" s="132" t="inlineStr">
        <is>
          <t>TURN</t>
        </is>
      </c>
      <c r="C53" s="207" t="n"/>
      <c r="D53" s="199" t="n"/>
      <c r="E53" s="606" t="n"/>
      <c r="F53" s="591" t="n"/>
      <c r="G53" s="587" t="n"/>
      <c r="H53" s="587" t="n"/>
      <c r="I53" s="587" t="n"/>
      <c r="J53" s="587" t="n"/>
      <c r="K53" s="587" t="n"/>
      <c r="L53" s="587" t="n"/>
      <c r="M53" s="587" t="n"/>
      <c r="N53" s="587" t="n"/>
      <c r="O53" s="587" t="n"/>
    </row>
    <row r="54" hidden="1" outlineLevel="1" ht="13.5" customHeight="1">
      <c r="A54" s="132" t="inlineStr">
        <is>
          <t>SUPP</t>
        </is>
      </c>
      <c r="C54" s="207" t="n"/>
      <c r="D54" s="199" t="n"/>
      <c r="E54" s="606" t="n"/>
      <c r="F54" s="591" t="n"/>
      <c r="G54" s="587" t="n"/>
      <c r="H54" s="587" t="n"/>
      <c r="I54" s="587" t="n"/>
      <c r="J54" s="587" t="n"/>
      <c r="K54" s="587" t="n"/>
      <c r="L54" s="587" t="n"/>
      <c r="M54" s="587" t="n"/>
      <c r="N54" s="587" t="n"/>
      <c r="O54" s="587" t="n"/>
    </row>
    <row r="55" hidden="1" outlineLevel="1" ht="13.5" customHeight="1">
      <c r="A55" s="132" t="inlineStr">
        <is>
          <t>APP</t>
        </is>
      </c>
      <c r="C55" s="207" t="n"/>
      <c r="D55" s="199" t="n"/>
      <c r="E55" s="606" t="n"/>
      <c r="F55" s="591" t="n"/>
      <c r="G55" s="587" t="n"/>
      <c r="H55" s="587" t="n"/>
      <c r="I55" s="587" t="n"/>
      <c r="J55" s="587" t="n"/>
      <c r="K55" s="587" t="n"/>
      <c r="L55" s="587" t="n"/>
      <c r="M55" s="587" t="n"/>
      <c r="N55" s="587" t="n"/>
      <c r="O55" s="587" t="n"/>
    </row>
    <row r="56" hidden="1" outlineLevel="1" ht="13.5" customHeight="1">
      <c r="A56" s="132" t="inlineStr">
        <is>
          <t>HP</t>
        </is>
      </c>
      <c r="C56" s="207" t="n"/>
      <c r="D56" s="199" t="n"/>
      <c r="E56" s="606" t="n"/>
      <c r="F56" s="591" t="n"/>
      <c r="G56" s="587" t="n"/>
      <c r="H56" s="587" t="n"/>
      <c r="I56" s="587" t="n"/>
      <c r="J56" s="587" t="n"/>
      <c r="K56" s="587" t="n"/>
      <c r="L56" s="587" t="n"/>
      <c r="M56" s="587" t="n"/>
      <c r="N56" s="587" t="n"/>
      <c r="O56" s="587" t="n"/>
    </row>
    <row r="57" hidden="1" outlineLevel="1" ht="13.5" customHeight="1">
      <c r="A57" s="13" t="inlineStr">
        <is>
          <t>CONC</t>
        </is>
      </c>
      <c r="C57" s="207" t="n"/>
      <c r="D57" s="199" t="n"/>
      <c r="E57" s="606" t="n"/>
      <c r="F57" s="591" t="n"/>
      <c r="G57" s="587" t="n"/>
      <c r="H57" s="587" t="n"/>
      <c r="I57" s="587" t="n"/>
      <c r="J57" s="587" t="n"/>
      <c r="K57" s="587" t="n"/>
      <c r="L57" s="587" t="n"/>
      <c r="M57" s="587" t="n"/>
      <c r="N57" s="587" t="n"/>
      <c r="O57" s="587" t="n"/>
    </row>
    <row r="58" collapsed="1" ht="13.5" customHeight="1">
      <c r="C58" s="13" t="inlineStr">
        <is>
          <t>Operating and Maint.</t>
        </is>
      </c>
      <c r="E58" s="592">
        <f>+'Scenario 0'!E59</f>
        <v/>
      </c>
      <c r="F58" s="593">
        <f>+'Scenario 0'!F59</f>
        <v/>
      </c>
      <c r="G58" s="593">
        <f>+'Scenario 0'!G59</f>
        <v/>
      </c>
      <c r="H58" s="593">
        <f>+'Scenario 0'!H59</f>
        <v/>
      </c>
      <c r="I58" s="593">
        <f>+'Scenario 0'!I59</f>
        <v/>
      </c>
      <c r="J58" s="593">
        <f>+'Scenario 0'!J59</f>
        <v/>
      </c>
      <c r="K58" s="593">
        <f>+'Scenario 0'!K59</f>
        <v/>
      </c>
      <c r="L58" s="593">
        <f>+'Scenario 0'!L59</f>
        <v/>
      </c>
      <c r="M58" s="593">
        <f>+'Scenario 0'!M59</f>
        <v/>
      </c>
      <c r="N58" s="593">
        <f>+'Scenario 0'!N59</f>
        <v/>
      </c>
      <c r="O58" s="593">
        <f>+'Scenario 0'!O59</f>
        <v/>
      </c>
    </row>
    <row r="59" hidden="1" outlineLevel="1" ht="13.5" customHeight="1">
      <c r="E59" s="592" t="n"/>
      <c r="F59" s="593" t="n"/>
      <c r="G59" s="593" t="n"/>
      <c r="H59" s="593" t="n"/>
      <c r="I59" s="593" t="n"/>
      <c r="J59" s="593" t="n"/>
      <c r="K59" s="593" t="n"/>
      <c r="L59" s="593" t="n"/>
      <c r="M59" s="593" t="n"/>
      <c r="N59" s="593" t="n"/>
      <c r="O59" s="593" t="n"/>
    </row>
    <row r="60" hidden="1" outlineLevel="1" ht="13.5" customHeight="1">
      <c r="A60" s="132" t="inlineStr">
        <is>
          <t>LAND</t>
        </is>
      </c>
      <c r="C60" s="206" t="n"/>
      <c r="D60" s="199" t="n"/>
      <c r="E60" s="248" t="n"/>
      <c r="F60" s="200" t="n"/>
      <c r="G60" s="200" t="n"/>
      <c r="H60" s="200" t="n"/>
      <c r="I60" s="200" t="n"/>
      <c r="J60" s="200" t="n"/>
      <c r="K60" s="200" t="n"/>
      <c r="L60" s="200" t="n"/>
      <c r="M60" s="200" t="n"/>
      <c r="N60" s="200" t="n"/>
      <c r="O60" s="200" t="n"/>
    </row>
    <row r="61" hidden="1" outlineLevel="1" ht="13.5" customHeight="1">
      <c r="A61" s="132" t="inlineStr">
        <is>
          <t>FIRE</t>
        </is>
      </c>
      <c r="C61" s="207" t="n"/>
      <c r="D61" s="199" t="n"/>
      <c r="E61" s="606" t="n"/>
      <c r="F61" s="591" t="n"/>
      <c r="G61" s="587" t="n"/>
      <c r="H61" s="587" t="n"/>
      <c r="I61" s="587" t="n"/>
      <c r="J61" s="587" t="n"/>
      <c r="K61" s="587" t="n"/>
      <c r="L61" s="587" t="n"/>
      <c r="M61" s="587" t="n"/>
      <c r="N61" s="587" t="n"/>
      <c r="O61" s="587" t="n"/>
    </row>
    <row r="62" hidden="1" outlineLevel="1" ht="13.5" customHeight="1">
      <c r="A62" s="132" t="inlineStr">
        <is>
          <t>SEC</t>
        </is>
      </c>
      <c r="C62" s="207" t="n"/>
      <c r="D62" s="199" t="n"/>
      <c r="E62" s="606" t="n"/>
      <c r="F62" s="591" t="n"/>
      <c r="G62" s="587" t="n"/>
      <c r="H62" s="587" t="n"/>
      <c r="I62" s="587" t="n"/>
      <c r="J62" s="587" t="n"/>
      <c r="K62" s="587" t="n"/>
      <c r="L62" s="587" t="n"/>
      <c r="M62" s="587" t="n"/>
      <c r="N62" s="587" t="n"/>
      <c r="O62" s="587" t="n"/>
    </row>
    <row r="63" hidden="1" outlineLevel="1" ht="13.5" customHeight="1">
      <c r="A63" s="132" t="inlineStr">
        <is>
          <t>PEST</t>
        </is>
      </c>
      <c r="C63" s="207" t="n"/>
      <c r="D63" s="199" t="n"/>
      <c r="E63" s="606" t="n"/>
      <c r="F63" s="591" t="n"/>
      <c r="G63" s="587" t="n"/>
      <c r="H63" s="587" t="n"/>
      <c r="I63" s="587" t="n"/>
      <c r="J63" s="587" t="n"/>
      <c r="K63" s="587" t="n"/>
      <c r="L63" s="587" t="n"/>
      <c r="M63" s="587" t="n"/>
      <c r="N63" s="587" t="n"/>
      <c r="O63" s="587" t="n"/>
    </row>
    <row r="64" hidden="1" outlineLevel="1" ht="13.5" customHeight="1">
      <c r="A64" s="132" t="inlineStr">
        <is>
          <t>CON</t>
        </is>
      </c>
      <c r="C64" s="207" t="n"/>
      <c r="D64" s="199" t="n"/>
      <c r="E64" s="606" t="n"/>
      <c r="F64" s="591" t="n"/>
      <c r="G64" s="587" t="n"/>
      <c r="H64" s="587" t="n"/>
      <c r="I64" s="587" t="n"/>
      <c r="J64" s="587" t="n"/>
      <c r="K64" s="587" t="n"/>
      <c r="L64" s="587" t="n"/>
      <c r="M64" s="587" t="n"/>
      <c r="N64" s="587" t="n"/>
      <c r="O64" s="587" t="n"/>
    </row>
    <row r="65" hidden="1" outlineLevel="1" ht="13.5" customHeight="1">
      <c r="A65" s="132" t="inlineStr">
        <is>
          <t>ELEV</t>
        </is>
      </c>
      <c r="C65" s="207" t="n"/>
      <c r="D65" s="199" t="n"/>
      <c r="E65" s="606" t="n"/>
      <c r="F65" s="591" t="n"/>
      <c r="G65" s="587" t="n"/>
      <c r="H65" s="587" t="n"/>
      <c r="I65" s="587" t="n"/>
      <c r="J65" s="587" t="n"/>
      <c r="K65" s="587" t="n"/>
      <c r="L65" s="587" t="n"/>
      <c r="M65" s="587" t="n"/>
      <c r="N65" s="587" t="n"/>
      <c r="O65" s="587" t="n"/>
    </row>
    <row r="66" hidden="1" outlineLevel="1" ht="13.5" customHeight="1">
      <c r="A66" s="132" t="inlineStr">
        <is>
          <t>SNOW</t>
        </is>
      </c>
      <c r="C66" s="207" t="n"/>
      <c r="D66" s="199" t="n"/>
      <c r="E66" s="606" t="n"/>
      <c r="F66" s="591" t="n"/>
      <c r="G66" s="587" t="n"/>
      <c r="H66" s="587" t="n"/>
      <c r="I66" s="587" t="n"/>
      <c r="J66" s="587" t="n"/>
      <c r="K66" s="587" t="n"/>
      <c r="L66" s="587" t="n"/>
      <c r="M66" s="587" t="n"/>
      <c r="N66" s="587" t="n"/>
      <c r="O66" s="587" t="n"/>
    </row>
    <row r="67" hidden="1" outlineLevel="1" ht="13.5" customHeight="1">
      <c r="A67" s="132" t="inlineStr">
        <is>
          <t>MISCOP</t>
        </is>
      </c>
      <c r="C67" s="207" t="n"/>
      <c r="D67" s="199" t="n"/>
      <c r="E67" s="606" t="n"/>
      <c r="F67" s="591" t="n"/>
      <c r="G67" s="587" t="n"/>
      <c r="H67" s="587" t="n"/>
      <c r="I67" s="587" t="n"/>
      <c r="J67" s="587" t="n"/>
      <c r="K67" s="587" t="n"/>
      <c r="L67" s="587" t="n"/>
      <c r="M67" s="587" t="n"/>
      <c r="N67" s="587" t="n"/>
      <c r="O67" s="587" t="n"/>
    </row>
    <row r="68" collapsed="1" ht="13.5" customHeight="1">
      <c r="C68" s="13" t="inlineStr">
        <is>
          <t>Contract Expenses</t>
        </is>
      </c>
      <c r="E68" s="592">
        <f>+'Scenario 0'!E69</f>
        <v/>
      </c>
      <c r="F68" s="593">
        <f>+'Scenario 0'!F69</f>
        <v/>
      </c>
      <c r="G68" s="593">
        <f>+'Scenario 0'!G69</f>
        <v/>
      </c>
      <c r="H68" s="593">
        <f>+'Scenario 0'!H69</f>
        <v/>
      </c>
      <c r="I68" s="593">
        <f>+'Scenario 0'!I69</f>
        <v/>
      </c>
      <c r="J68" s="593">
        <f>+'Scenario 0'!J69</f>
        <v/>
      </c>
      <c r="K68" s="593">
        <f>+'Scenario 0'!K69</f>
        <v/>
      </c>
      <c r="L68" s="593">
        <f>+'Scenario 0'!L69</f>
        <v/>
      </c>
      <c r="M68" s="593">
        <f>+'Scenario 0'!M69</f>
        <v/>
      </c>
      <c r="N68" s="593">
        <f>+'Scenario 0'!N69</f>
        <v/>
      </c>
      <c r="O68" s="593">
        <f>+'Scenario 0'!O69</f>
        <v/>
      </c>
    </row>
    <row r="69" hidden="1" outlineLevel="1" ht="13.5" customHeight="1">
      <c r="E69" s="592" t="n"/>
      <c r="F69" s="593" t="n"/>
      <c r="G69" s="593" t="n"/>
      <c r="H69" s="593" t="n"/>
      <c r="I69" s="593" t="n"/>
      <c r="J69" s="593" t="n"/>
      <c r="K69" s="593" t="n"/>
      <c r="L69" s="593" t="n"/>
      <c r="M69" s="593" t="n"/>
      <c r="N69" s="593" t="n"/>
      <c r="O69" s="593" t="n"/>
    </row>
    <row r="70" hidden="1" outlineLevel="1" ht="13.5" customHeight="1">
      <c r="A70" s="132" t="inlineStr">
        <is>
          <t>RETAX</t>
        </is>
      </c>
      <c r="C70" s="207" t="n"/>
      <c r="D70" s="199" t="n"/>
      <c r="E70" s="248" t="n"/>
      <c r="F70" s="200" t="n"/>
      <c r="G70" s="200" t="n"/>
      <c r="H70" s="200" t="n"/>
      <c r="I70" s="200" t="n"/>
      <c r="J70" s="200" t="n"/>
      <c r="K70" s="200" t="n"/>
      <c r="L70" s="200" t="n"/>
      <c r="M70" s="200" t="n"/>
      <c r="N70" s="200" t="n"/>
      <c r="O70" s="200" t="n"/>
    </row>
    <row r="71" hidden="1" outlineLevel="1" ht="13.5" customHeight="1">
      <c r="A71" s="132" t="inlineStr">
        <is>
          <t>INS</t>
        </is>
      </c>
      <c r="C71" s="207" t="n"/>
      <c r="D71" s="199" t="n"/>
      <c r="E71" s="606" t="n"/>
      <c r="F71" s="591" t="n"/>
      <c r="G71" s="587" t="n"/>
      <c r="H71" s="587" t="n"/>
      <c r="I71" s="587" t="n"/>
      <c r="J71" s="587" t="n"/>
      <c r="K71" s="587" t="n"/>
      <c r="L71" s="587" t="n"/>
      <c r="M71" s="587" t="n"/>
      <c r="N71" s="587" t="n"/>
      <c r="O71" s="587" t="n"/>
    </row>
    <row r="72" hidden="1" outlineLevel="1" ht="13.5" customHeight="1">
      <c r="A72" s="132" t="inlineStr">
        <is>
          <t>WORKCOMP</t>
        </is>
      </c>
      <c r="C72" s="207" t="n"/>
      <c r="D72" s="199" t="n"/>
      <c r="E72" s="606" t="n"/>
      <c r="F72" s="591" t="n"/>
      <c r="G72" s="587" t="n"/>
      <c r="H72" s="587" t="n"/>
      <c r="I72" s="587" t="n"/>
      <c r="J72" s="587" t="n"/>
      <c r="K72" s="587" t="n"/>
      <c r="L72" s="587" t="n"/>
      <c r="M72" s="587" t="n"/>
      <c r="N72" s="587" t="n"/>
      <c r="O72" s="587" t="n"/>
    </row>
    <row r="73" hidden="1" outlineLevel="1" ht="13.5" customHeight="1">
      <c r="A73" s="132" t="inlineStr">
        <is>
          <t>HEALTH</t>
        </is>
      </c>
      <c r="C73" s="207" t="n"/>
      <c r="D73" s="199" t="n"/>
      <c r="E73" s="606" t="n"/>
      <c r="F73" s="591" t="n"/>
      <c r="G73" s="587" t="n"/>
      <c r="H73" s="587" t="n"/>
      <c r="I73" s="587" t="n"/>
      <c r="J73" s="587" t="n"/>
      <c r="K73" s="587" t="n"/>
      <c r="L73" s="587" t="n"/>
      <c r="M73" s="587" t="n"/>
      <c r="N73" s="587" t="n"/>
      <c r="O73" s="587" t="n"/>
    </row>
    <row r="74" hidden="1" outlineLevel="1" ht="13.5" customHeight="1">
      <c r="A74" s="132" t="inlineStr">
        <is>
          <t>PTAX</t>
        </is>
      </c>
      <c r="C74" s="207" t="n"/>
      <c r="D74" s="199" t="n"/>
      <c r="E74" s="606" t="n"/>
      <c r="F74" s="591" t="n"/>
      <c r="G74" s="587" t="n"/>
      <c r="H74" s="587" t="n"/>
      <c r="I74" s="587" t="n"/>
      <c r="J74" s="587" t="n"/>
      <c r="K74" s="587" t="n"/>
      <c r="L74" s="587" t="n"/>
      <c r="M74" s="587" t="n"/>
      <c r="N74" s="587" t="n"/>
      <c r="O74" s="587" t="n"/>
    </row>
    <row r="75" hidden="1" outlineLevel="1" ht="13.5" customHeight="1">
      <c r="A75" s="132" t="inlineStr">
        <is>
          <t>MISCTAX</t>
        </is>
      </c>
      <c r="C75" s="207" t="n"/>
      <c r="D75" s="199" t="n"/>
      <c r="E75" s="606" t="n"/>
      <c r="F75" s="591" t="n"/>
      <c r="G75" s="587" t="n"/>
      <c r="H75" s="587" t="n"/>
      <c r="I75" s="587" t="n"/>
      <c r="J75" s="587" t="n"/>
      <c r="K75" s="587" t="n"/>
      <c r="L75" s="587" t="n"/>
      <c r="M75" s="587" t="n"/>
      <c r="N75" s="587" t="n"/>
      <c r="O75" s="587" t="n"/>
    </row>
    <row r="76" collapsed="1" ht="13.5" customHeight="1">
      <c r="C76" s="13" t="inlineStr">
        <is>
          <t>Total Taxes and Insurance Expenses</t>
        </is>
      </c>
      <c r="E76" s="592">
        <f>+'Scenario 0'!E77</f>
        <v/>
      </c>
      <c r="F76" s="593">
        <f>+'Scenario 0'!F77</f>
        <v/>
      </c>
      <c r="G76" s="593">
        <f>+'Scenario 0'!G77</f>
        <v/>
      </c>
      <c r="H76" s="593">
        <f>+'Scenario 0'!H77</f>
        <v/>
      </c>
      <c r="I76" s="593">
        <f>+'Scenario 0'!I77</f>
        <v/>
      </c>
      <c r="J76" s="593">
        <f>+'Scenario 0'!J77</f>
        <v/>
      </c>
      <c r="K76" s="593">
        <f>+'Scenario 0'!K77</f>
        <v/>
      </c>
      <c r="L76" s="593">
        <f>+'Scenario 0'!L77</f>
        <v/>
      </c>
      <c r="M76" s="593">
        <f>+'Scenario 0'!M77</f>
        <v/>
      </c>
      <c r="N76" s="593">
        <f>+'Scenario 0'!N77</f>
        <v/>
      </c>
      <c r="O76" s="593">
        <f>+'Scenario 0'!O77</f>
        <v/>
      </c>
    </row>
    <row r="77" ht="5.1" customHeight="1">
      <c r="E77" s="589" t="n"/>
      <c r="F77" s="590" t="n"/>
      <c r="G77" s="590" t="n"/>
      <c r="H77" s="590" t="n"/>
      <c r="I77" s="590" t="n"/>
      <c r="J77" s="590" t="n"/>
      <c r="K77" s="590" t="n"/>
      <c r="L77" s="590" t="n"/>
      <c r="M77" s="590" t="n"/>
      <c r="N77" s="590" t="n"/>
      <c r="O77" s="590" t="n"/>
    </row>
    <row r="78" ht="13.5" customHeight="1">
      <c r="C78" s="33" t="inlineStr">
        <is>
          <t>Total Operating Expenses</t>
        </is>
      </c>
      <c r="D78" s="34" t="n"/>
      <c r="E78" s="224">
        <f>+SUM(E18,E22,E28,E42,E50,E58,E68,E76,)</f>
        <v/>
      </c>
      <c r="F78" s="34">
        <f>+SUM(F18,F22,F28,F42,F50,F58,F68,F76,)</f>
        <v/>
      </c>
      <c r="G78" s="34">
        <f>+SUM(G18,G22,G28,G42,G50,G58,G68,G76,)</f>
        <v/>
      </c>
      <c r="H78" s="34">
        <f>+SUM(H18,H22,H28,H42,H50,H58,H68,H76,)</f>
        <v/>
      </c>
      <c r="I78" s="34">
        <f>+SUM(I18,I22,I28,I42,I50,I58,I68,I76,)</f>
        <v/>
      </c>
      <c r="J78" s="34">
        <f>+SUM(J18,J22,J28,J42,J50,J58,J68,J76,)</f>
        <v/>
      </c>
      <c r="K78" s="34">
        <f>+SUM(K18,K22,K28,K42,K50,K58,K68,K76,)</f>
        <v/>
      </c>
      <c r="L78" s="34">
        <f>+SUM(L18,L22,L28,L42,L50,L58,L68,L76,)</f>
        <v/>
      </c>
      <c r="M78" s="34">
        <f>+SUM(M18,M22,M28,M42,M50,M58,M68,M76,)</f>
        <v/>
      </c>
      <c r="N78" s="34">
        <f>+SUM(N18,N22,N28,N42,N50,N58,N68,N76,)</f>
        <v/>
      </c>
      <c r="O78" s="34">
        <f>+SUM(O18,O22,O28,O42,O50,O58,O68,O76,)</f>
        <v/>
      </c>
    </row>
    <row r="79" ht="5.1" customHeight="1">
      <c r="E79" s="232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</row>
    <row r="80" ht="13.5" customHeight="1">
      <c r="C80" s="33" t="inlineStr">
        <is>
          <t xml:space="preserve">Net Operating Income </t>
        </is>
      </c>
      <c r="D80" s="34" t="n"/>
      <c r="E80" s="224">
        <f>+E12-E78</f>
        <v/>
      </c>
      <c r="F80" s="34">
        <f>+F12-F78</f>
        <v/>
      </c>
      <c r="G80" s="34">
        <f>+G12-G78</f>
        <v/>
      </c>
      <c r="H80" s="34">
        <f>+H12-H78</f>
        <v/>
      </c>
      <c r="I80" s="34">
        <f>+I12-I78</f>
        <v/>
      </c>
      <c r="J80" s="34">
        <f>+J12-J78</f>
        <v/>
      </c>
      <c r="K80" s="34">
        <f>+K12-K78</f>
        <v/>
      </c>
      <c r="L80" s="34">
        <f>+L12-L78</f>
        <v/>
      </c>
      <c r="M80" s="34">
        <f>+M12-M78</f>
        <v/>
      </c>
      <c r="N80" s="34">
        <f>+N12-N78</f>
        <v/>
      </c>
      <c r="O80" s="34">
        <f>+O12-O78</f>
        <v/>
      </c>
    </row>
    <row r="81" ht="13.5" customHeight="1">
      <c r="C81" s="104" t="inlineStr">
        <is>
          <t>NOI Margin</t>
        </is>
      </c>
      <c r="D81" s="66" t="n"/>
      <c r="E81" s="233">
        <f>+IFERROR(E80/E12,"--")</f>
        <v/>
      </c>
      <c r="F81" s="105">
        <f>+F80/F12</f>
        <v/>
      </c>
      <c r="G81" s="105">
        <f>+G80/G12</f>
        <v/>
      </c>
      <c r="H81" s="105">
        <f>+H80/H12</f>
        <v/>
      </c>
      <c r="I81" s="105">
        <f>+I80/I12</f>
        <v/>
      </c>
      <c r="J81" s="105">
        <f>+J80/J12</f>
        <v/>
      </c>
      <c r="K81" s="105">
        <f>+K80/K12</f>
        <v/>
      </c>
      <c r="L81" s="105">
        <f>+L80/L12</f>
        <v/>
      </c>
      <c r="M81" s="105">
        <f>+M80/M12</f>
        <v/>
      </c>
      <c r="N81" s="105">
        <f>+N80/N12</f>
        <v/>
      </c>
      <c r="O81" s="105">
        <f>+O80/O12</f>
        <v/>
      </c>
    </row>
    <row r="82" ht="5.1" customHeight="1">
      <c r="C82" s="28" t="n"/>
      <c r="D82" s="66" t="n"/>
      <c r="E82" s="225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</row>
    <row r="83" hidden="1" outlineLevel="1" ht="13.5" customHeight="1">
      <c r="C83" s="28" t="inlineStr">
        <is>
          <t>Capital Expenditures</t>
        </is>
      </c>
      <c r="D83" s="66" t="n"/>
      <c r="E83" s="225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</row>
    <row r="84" hidden="1" outlineLevel="1" ht="13.5" customHeight="1">
      <c r="C84" s="13" t="inlineStr">
        <is>
          <t>Other CapEx</t>
        </is>
      </c>
      <c r="E84" s="594" t="n"/>
      <c r="F84" s="595" t="n"/>
      <c r="G84" s="595" t="n"/>
      <c r="H84" s="595" t="n"/>
      <c r="I84" s="595" t="n"/>
      <c r="J84" s="595" t="n"/>
      <c r="K84" s="595" t="n"/>
      <c r="L84" s="595" t="n"/>
      <c r="M84" s="595" t="n"/>
      <c r="N84" s="595" t="n"/>
      <c r="O84" s="595" t="n"/>
    </row>
    <row r="85" hidden="1" outlineLevel="1" ht="13.5" customHeight="1">
      <c r="C85" s="13" t="inlineStr">
        <is>
          <t>Capital Reserve</t>
        </is>
      </c>
      <c r="E85" s="594" t="n"/>
      <c r="F85" s="595" t="n"/>
      <c r="G85" s="595" t="n"/>
      <c r="H85" s="595" t="n"/>
      <c r="I85" s="595" t="n"/>
      <c r="J85" s="595" t="n"/>
      <c r="K85" s="595" t="n"/>
      <c r="L85" s="595" t="n"/>
      <c r="M85" s="595" t="n"/>
      <c r="N85" s="595" t="n"/>
      <c r="O85" s="595" t="n"/>
    </row>
    <row r="86" hidden="1" outlineLevel="1" ht="13.5" customHeight="1">
      <c r="C86" s="33" t="inlineStr">
        <is>
          <t>Total Capital Expenditures</t>
        </is>
      </c>
      <c r="D86" s="34" t="n"/>
      <c r="E86" s="224">
        <f>+SUM(E84:E85)</f>
        <v/>
      </c>
      <c r="F86" s="34">
        <f>+SUM(F84:F85)</f>
        <v/>
      </c>
      <c r="G86" s="34">
        <f>+SUM(G84:G85)</f>
        <v/>
      </c>
      <c r="H86" s="34">
        <f>+SUM(H84:H85)</f>
        <v/>
      </c>
      <c r="I86" s="34">
        <f>+SUM(I84:I85)</f>
        <v/>
      </c>
      <c r="J86" s="34">
        <f>+SUM(J84:J85)</f>
        <v/>
      </c>
      <c r="K86" s="34">
        <f>+SUM(K84:K85)</f>
        <v/>
      </c>
      <c r="L86" s="34">
        <f>+SUM(L84:L85)</f>
        <v/>
      </c>
      <c r="M86" s="34">
        <f>+SUM(M84:M85)</f>
        <v/>
      </c>
      <c r="N86" s="34">
        <f>+SUM(N84:N85)</f>
        <v/>
      </c>
      <c r="O86" s="34">
        <f>+SUM(O84:O85)</f>
        <v/>
      </c>
    </row>
    <row r="87" collapsed="1" ht="5.1" customHeight="1">
      <c r="C87" s="28" t="n"/>
      <c r="D87" s="66" t="n"/>
      <c r="E87" s="225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</row>
    <row r="88" ht="13.5" customHeight="1" thickBot="1">
      <c r="C88" s="89" t="inlineStr">
        <is>
          <t>Cash Flow from Operations (Adj. NOI)</t>
        </is>
      </c>
      <c r="D88" s="89" t="n"/>
      <c r="E88" s="235">
        <f>+E80-E86</f>
        <v/>
      </c>
      <c r="F88" s="90">
        <f>+F80-F86</f>
        <v/>
      </c>
      <c r="G88" s="90">
        <f>+G80-G86</f>
        <v/>
      </c>
      <c r="H88" s="90">
        <f>+H80-H86</f>
        <v/>
      </c>
      <c r="I88" s="90">
        <f>+I80-I86</f>
        <v/>
      </c>
      <c r="J88" s="90">
        <f>+J80-J86</f>
        <v/>
      </c>
      <c r="K88" s="90">
        <f>+K80-K86</f>
        <v/>
      </c>
      <c r="L88" s="90">
        <f>+L80-L86</f>
        <v/>
      </c>
      <c r="M88" s="90">
        <f>+M80-M86</f>
        <v/>
      </c>
      <c r="N88" s="90">
        <f>+N80-N86</f>
        <v/>
      </c>
      <c r="O88" s="90">
        <f>+O80-O86</f>
        <v/>
      </c>
    </row>
    <row r="89" ht="5.1" customHeight="1" thickTop="1">
      <c r="C89" s="28" t="n"/>
      <c r="D89" s="28" t="n"/>
      <c r="E89" s="236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</row>
    <row r="90" ht="13.5" customHeight="1">
      <c r="C90" s="13" t="inlineStr">
        <is>
          <t>Debt Service</t>
        </is>
      </c>
      <c r="D90" s="28" t="n"/>
      <c r="E90" s="237" t="inlineStr">
        <is>
          <t>--</t>
        </is>
      </c>
      <c r="F90" s="103">
        <f>+Dashboard!$I$10*Dashboard!$E$50</f>
        <v/>
      </c>
      <c r="G90" s="112">
        <f>+F90</f>
        <v/>
      </c>
      <c r="H90" s="112">
        <f>+G90</f>
        <v/>
      </c>
      <c r="I90" s="112">
        <f>+H90</f>
        <v/>
      </c>
      <c r="J90" s="112">
        <f>+I90</f>
        <v/>
      </c>
      <c r="K90" s="112">
        <f>+J90</f>
        <v/>
      </c>
      <c r="L90" s="112">
        <f>+K90</f>
        <v/>
      </c>
      <c r="M90" s="112">
        <f>+L90</f>
        <v/>
      </c>
      <c r="N90" s="112">
        <f>+M90</f>
        <v/>
      </c>
      <c r="O90" s="112">
        <f>+N90</f>
        <v/>
      </c>
    </row>
    <row r="91" ht="13.5" customHeight="1">
      <c r="C91" s="13" t="inlineStr">
        <is>
          <t>Principal Repayment</t>
        </is>
      </c>
      <c r="D91" s="28" t="n"/>
      <c r="E91" s="238" t="inlineStr">
        <is>
          <t>--</t>
        </is>
      </c>
      <c r="F91" s="103">
        <f>IF(F$6&lt;=Dashboard!$E$56,0,-PPMT(Dashboard!$E$50,'Scenario 1'!F3-'Scenario 1'!$E3,Dashboard!$E$55,Dashboard!$D$49))</f>
        <v/>
      </c>
      <c r="G91" s="112">
        <f>IF(G$6&lt;=Dashboard!$E$56,0,-PPMT(Dashboard!$E$50,'Scenario 1'!G3-'Scenario 1'!$E3,Dashboard!$E$55,Dashboard!$D$49))</f>
        <v/>
      </c>
      <c r="H91" s="112">
        <f>IF(H$6&lt;=Dashboard!$E$56,0,-PPMT(Dashboard!$E$50,'Scenario 1'!H3-'Scenario 1'!$E3,Dashboard!$E$55,Dashboard!$D$49))</f>
        <v/>
      </c>
      <c r="I91" s="112">
        <f>IF(I$6&lt;=Dashboard!$E$56,0,-PPMT(Dashboard!$E$50,'Scenario 1'!I3-'Scenario 1'!$E3,Dashboard!$E$55,Dashboard!$D$49))</f>
        <v/>
      </c>
      <c r="J91" s="112">
        <f>IF(J$6&lt;=Dashboard!$E$56,0,-PPMT(Dashboard!$E$50,'Scenario 1'!J3-'Scenario 1'!$E3,Dashboard!$E$55,Dashboard!$D$49))</f>
        <v/>
      </c>
      <c r="K91" s="112">
        <f>IF(K$6&lt;=Dashboard!$E$56,0,-PPMT(Dashboard!$E$50,'Scenario 1'!K3-'Scenario 1'!$E3,Dashboard!$E$55,Dashboard!$D$49))</f>
        <v/>
      </c>
      <c r="L91" s="112">
        <f>IF(L$6&lt;=Dashboard!$E$56,0,-PPMT(Dashboard!$E$50,'Scenario 1'!L3-'Scenario 1'!$E3,Dashboard!$E$55,Dashboard!$D$49))</f>
        <v/>
      </c>
      <c r="M91" s="112">
        <f>IF(M$6&lt;=Dashboard!$E$56,0,-PPMT(Dashboard!$E$50,'Scenario 1'!M3-'Scenario 1'!$E3,Dashboard!$E$55,Dashboard!$D$49))</f>
        <v/>
      </c>
      <c r="N91" s="112">
        <f>IF(N$6&lt;=Dashboard!$E$56,0,-PPMT(Dashboard!$E$50,'Scenario 1'!N3-'Scenario 1'!$E3,Dashboard!$E$55,Dashboard!$D$49))</f>
        <v/>
      </c>
      <c r="O91" s="112">
        <f>IF(O$6&lt;=Dashboard!$E$56,0,-PPMT(Dashboard!$E$50,'Scenario 1'!O3-'Scenario 1'!$E3,Dashboard!$E$55,Dashboard!$D$49))</f>
        <v/>
      </c>
    </row>
    <row r="92" ht="13.5" customHeight="1" thickBot="1">
      <c r="C92" s="89" t="inlineStr">
        <is>
          <t>Cash Flow After Financing (CF to Equity Investors)</t>
        </is>
      </c>
      <c r="D92" s="89" t="n"/>
      <c r="E92" s="239" t="inlineStr">
        <is>
          <t>--</t>
        </is>
      </c>
      <c r="F92" s="90">
        <f>+F88-F90</f>
        <v/>
      </c>
      <c r="G92" s="90">
        <f>+G88-G90</f>
        <v/>
      </c>
      <c r="H92" s="90">
        <f>+H88-H90</f>
        <v/>
      </c>
      <c r="I92" s="90">
        <f>+I88-I90</f>
        <v/>
      </c>
      <c r="J92" s="90">
        <f>+J88-J90</f>
        <v/>
      </c>
      <c r="K92" s="90">
        <f>+K88-K90</f>
        <v/>
      </c>
      <c r="L92" s="90">
        <f>+L88-L90</f>
        <v/>
      </c>
      <c r="M92" s="90">
        <f>+M88-M90</f>
        <v/>
      </c>
      <c r="N92" s="90">
        <f>+N88-N90</f>
        <v/>
      </c>
      <c r="O92" s="90">
        <f>+O88-O90</f>
        <v/>
      </c>
    </row>
    <row r="93" ht="13.5" customHeight="1" thickTop="1">
      <c r="D93" s="28" t="n"/>
      <c r="E93" s="28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</row>
    <row r="94" ht="13.5" customHeight="1" thickBot="1">
      <c r="C94" s="89" t="inlineStr">
        <is>
          <t>Ending Debt Balance</t>
        </is>
      </c>
      <c r="D94" s="89" t="n"/>
      <c r="E94" s="89" t="n"/>
      <c r="F94" s="90">
        <f>+Dashboard!$D$49-SUM('Scenario 1'!$F$91:F91)</f>
        <v/>
      </c>
      <c r="G94" s="90">
        <f>+Dashboard!$D$49-SUM('Scenario 1'!$F$91:G91)</f>
        <v/>
      </c>
      <c r="H94" s="90">
        <f>+Dashboard!$D$49-SUM('Scenario 1'!$F$91:H91)</f>
        <v/>
      </c>
      <c r="I94" s="90">
        <f>+Dashboard!$D$49-SUM('Scenario 1'!$F$91:I91)</f>
        <v/>
      </c>
      <c r="J94" s="90">
        <f>+Dashboard!$D$49-SUM('Scenario 1'!$F$91:J91)</f>
        <v/>
      </c>
      <c r="K94" s="90">
        <f>+Dashboard!$D$49-SUM('Scenario 1'!$F$91:K91)</f>
        <v/>
      </c>
      <c r="L94" s="90">
        <f>+Dashboard!$D$49-SUM('Scenario 1'!$F$91:L91)</f>
        <v/>
      </c>
      <c r="M94" s="90">
        <f>+Dashboard!$D$49-SUM('Scenario 1'!$F$91:M91)</f>
        <v/>
      </c>
      <c r="N94" s="90">
        <f>+Dashboard!$D$49-SUM('Scenario 1'!$F$91:N91)</f>
        <v/>
      </c>
      <c r="O94" s="90">
        <f>+Dashboard!$D$49-SUM('Scenario 1'!$F$91:O91)</f>
        <v/>
      </c>
    </row>
    <row r="95" ht="13.5" customHeight="1" thickTop="1">
      <c r="D95" s="28" t="n"/>
      <c r="E95" s="28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</row>
    <row r="96" ht="13.5" customHeight="1">
      <c r="C96" s="67" t="inlineStr">
        <is>
          <t>DSCR (NOI)</t>
        </is>
      </c>
      <c r="D96" s="68" t="n"/>
      <c r="E96" s="68" t="n"/>
      <c r="F96" s="596">
        <f>+IFERROR(F80/F90,"")</f>
        <v/>
      </c>
      <c r="G96" s="596">
        <f>+IFERROR(G80/G90,"")</f>
        <v/>
      </c>
      <c r="H96" s="596">
        <f>+IFERROR(H80/H90,"")</f>
        <v/>
      </c>
      <c r="I96" s="596">
        <f>+IFERROR(I80/I90,"")</f>
        <v/>
      </c>
      <c r="J96" s="597">
        <f>+IFERROR(J80/J90,"")</f>
        <v/>
      </c>
      <c r="K96" s="596">
        <f>+IFERROR(K80/K90,"")</f>
        <v/>
      </c>
      <c r="L96" s="596">
        <f>+IFERROR(L80/L90,"")</f>
        <v/>
      </c>
      <c r="M96" s="596">
        <f>+IFERROR(M80/M90,"")</f>
        <v/>
      </c>
      <c r="N96" s="596">
        <f>+IFERROR(N80/N90,"")</f>
        <v/>
      </c>
      <c r="O96" s="597">
        <f>+IFERROR(O80/O90,"")</f>
        <v/>
      </c>
    </row>
    <row r="97" ht="13.5" customHeight="1">
      <c r="C97" s="69" t="inlineStr">
        <is>
          <t>DSCR (CFO)</t>
        </is>
      </c>
      <c r="D97" s="70" t="n"/>
      <c r="E97" s="70" t="n"/>
      <c r="F97" s="598">
        <f>+IFERROR(F88/F90,"")</f>
        <v/>
      </c>
      <c r="G97" s="598">
        <f>+IFERROR(G88/G90,"")</f>
        <v/>
      </c>
      <c r="H97" s="598">
        <f>+IFERROR(H88/H90,"")</f>
        <v/>
      </c>
      <c r="I97" s="598">
        <f>+IFERROR(I88/I90,"")</f>
        <v/>
      </c>
      <c r="J97" s="599">
        <f>+IFERROR(J88/J90,"")</f>
        <v/>
      </c>
      <c r="K97" s="598">
        <f>+IFERROR(K88/K90,"")</f>
        <v/>
      </c>
      <c r="L97" s="598">
        <f>+IFERROR(L88/L90,"")</f>
        <v/>
      </c>
      <c r="M97" s="598">
        <f>+IFERROR(M88/M90,"")</f>
        <v/>
      </c>
      <c r="N97" s="598">
        <f>+IFERROR(N88/N90,"")</f>
        <v/>
      </c>
      <c r="O97" s="599">
        <f>+IFERROR(O88/O90,"")</f>
        <v/>
      </c>
    </row>
    <row r="98" ht="13.5" customHeight="1">
      <c r="C98" s="69" t="inlineStr">
        <is>
          <t>Debt Yield (CFO)</t>
        </is>
      </c>
      <c r="D98" s="70" t="n"/>
      <c r="E98" s="70" t="n"/>
      <c r="F98" s="71">
        <f>+F88/Dashboard!$I$10</f>
        <v/>
      </c>
      <c r="G98" s="71">
        <f>+G88/Dashboard!$I$10</f>
        <v/>
      </c>
      <c r="H98" s="71">
        <f>+H88/Dashboard!$I$10</f>
        <v/>
      </c>
      <c r="I98" s="71">
        <f>+I88/Dashboard!$I$10</f>
        <v/>
      </c>
      <c r="J98" s="72">
        <f>+J88/Dashboard!$I$10</f>
        <v/>
      </c>
      <c r="K98" s="71">
        <f>+K88/Dashboard!$I$10</f>
        <v/>
      </c>
      <c r="L98" s="71">
        <f>+L88/Dashboard!$I$10</f>
        <v/>
      </c>
      <c r="M98" s="71">
        <f>+M88/Dashboard!$I$10</f>
        <v/>
      </c>
      <c r="N98" s="71">
        <f>+N88/Dashboard!$I$10</f>
        <v/>
      </c>
      <c r="O98" s="72">
        <f>+O88/Dashboard!$I$10</f>
        <v/>
      </c>
    </row>
    <row r="99" ht="13.5" customHeight="1">
      <c r="C99" s="69" t="inlineStr">
        <is>
          <t xml:space="preserve">Break-Even Ratio </t>
        </is>
      </c>
      <c r="D99" s="70" t="n"/>
      <c r="E99" s="70" t="n"/>
      <c r="F99" s="71">
        <f>+SUM(F96,F78)/F12</f>
        <v/>
      </c>
      <c r="G99" s="71">
        <f>+SUM(G96,G78)/G12</f>
        <v/>
      </c>
      <c r="H99" s="71">
        <f>+SUM(H96,H78)/H12</f>
        <v/>
      </c>
      <c r="I99" s="71">
        <f>+SUM(I96,I78)/I12</f>
        <v/>
      </c>
      <c r="J99" s="72">
        <f>+SUM(J96,J78)/J12</f>
        <v/>
      </c>
      <c r="K99" s="71">
        <f>+SUM(K96,K78)/K12</f>
        <v/>
      </c>
      <c r="L99" s="71">
        <f>+SUM(L96,L78)/L12</f>
        <v/>
      </c>
      <c r="M99" s="71">
        <f>+SUM(M96,M78)/M12</f>
        <v/>
      </c>
      <c r="N99" s="71">
        <f>+SUM(N96,N78)/N12</f>
        <v/>
      </c>
      <c r="O99" s="72">
        <f>+SUM(O96,O78)/O12</f>
        <v/>
      </c>
    </row>
    <row r="100" ht="5.1" customHeight="1">
      <c r="C100" s="69" t="n"/>
      <c r="D100" s="70" t="n"/>
      <c r="E100" s="70" t="n"/>
      <c r="F100" s="70" t="n"/>
      <c r="G100" s="70" t="n"/>
      <c r="H100" s="70" t="n"/>
      <c r="I100" s="70" t="n"/>
      <c r="J100" s="73" t="n"/>
      <c r="K100" s="70" t="n"/>
      <c r="L100" s="70" t="n"/>
      <c r="M100" s="70" t="n"/>
      <c r="N100" s="70" t="n"/>
      <c r="O100" s="73" t="n"/>
    </row>
    <row r="101" ht="13.5" customHeight="1">
      <c r="C101" s="77" t="inlineStr">
        <is>
          <t>Cap Rate (Purchase Price)</t>
        </is>
      </c>
      <c r="D101" s="78" t="n"/>
      <c r="E101" s="78" t="n"/>
      <c r="F101" s="79">
        <f>+F80/Dashboard!$E$32</f>
        <v/>
      </c>
      <c r="G101" s="79">
        <f>+G80/Dashboard!$E$32</f>
        <v/>
      </c>
      <c r="H101" s="79">
        <f>+H80/Dashboard!$E$32</f>
        <v/>
      </c>
      <c r="I101" s="79">
        <f>+I80/Dashboard!$E$32</f>
        <v/>
      </c>
      <c r="J101" s="80">
        <f>+J80/Dashboard!$E$32</f>
        <v/>
      </c>
      <c r="K101" s="79">
        <f>+K80/Dashboard!$E$32</f>
        <v/>
      </c>
      <c r="L101" s="79">
        <f>+L80/Dashboard!$E$32</f>
        <v/>
      </c>
      <c r="M101" s="79">
        <f>+M80/Dashboard!$E$32</f>
        <v/>
      </c>
      <c r="N101" s="79">
        <f>+N80/Dashboard!$E$32</f>
        <v/>
      </c>
      <c r="O101" s="80">
        <f>+O80/Dashboard!$E$32</f>
        <v/>
      </c>
    </row>
    <row r="102" ht="13.5" customHeight="1">
      <c r="C102" s="69" t="inlineStr">
        <is>
          <t>Operating Cash Flow Before Taxes</t>
        </is>
      </c>
      <c r="D102" s="70" t="n"/>
      <c r="E102" s="70" t="n"/>
      <c r="F102" s="600">
        <f>+F80-F90-F91</f>
        <v/>
      </c>
      <c r="G102" s="600">
        <f>+G80-G90-G91</f>
        <v/>
      </c>
      <c r="H102" s="600">
        <f>+H80-H90-H91</f>
        <v/>
      </c>
      <c r="I102" s="600">
        <f>+I80-I90-I91</f>
        <v/>
      </c>
      <c r="J102" s="601">
        <f>+J80-J90-J91</f>
        <v/>
      </c>
      <c r="K102" s="600">
        <f>+K80-K90-K91</f>
        <v/>
      </c>
      <c r="L102" s="600">
        <f>+L80-L90-L91</f>
        <v/>
      </c>
      <c r="M102" s="600">
        <f>+M80-M90-M91</f>
        <v/>
      </c>
      <c r="N102" s="600">
        <f>+N80-N90-N91</f>
        <v/>
      </c>
      <c r="O102" s="601">
        <f>+O80-O90-O91</f>
        <v/>
      </c>
    </row>
    <row r="103" ht="13.5" customHeight="1">
      <c r="C103" s="77" t="inlineStr">
        <is>
          <t>Cash on Cash Return</t>
        </is>
      </c>
      <c r="D103" s="78" t="n"/>
      <c r="E103" s="78" t="n"/>
      <c r="F103" s="79">
        <f>+F102/Dashboard!$I$11</f>
        <v/>
      </c>
      <c r="G103" s="79">
        <f>+G102/Dashboard!$I$11</f>
        <v/>
      </c>
      <c r="H103" s="79">
        <f>+H102/Dashboard!$I$11</f>
        <v/>
      </c>
      <c r="I103" s="79">
        <f>+I102/Dashboard!$I$11</f>
        <v/>
      </c>
      <c r="J103" s="80">
        <f>+J102/Dashboard!$I$11</f>
        <v/>
      </c>
      <c r="K103" s="79">
        <f>+K102/Dashboard!$I$11</f>
        <v/>
      </c>
      <c r="L103" s="79">
        <f>+L102/Dashboard!$I$11</f>
        <v/>
      </c>
      <c r="M103" s="79">
        <f>+M102/Dashboard!$I$11</f>
        <v/>
      </c>
      <c r="N103" s="79">
        <f>+N102/Dashboard!$I$11</f>
        <v/>
      </c>
      <c r="O103" s="80">
        <f>+O102/Dashboard!$I$11</f>
        <v/>
      </c>
    </row>
    <row r="104" ht="13.5" customHeight="1">
      <c r="C104" s="69" t="inlineStr">
        <is>
          <t>General Partner Cash Return</t>
        </is>
      </c>
      <c r="D104" s="84">
        <f>+Dashboard!J58</f>
        <v/>
      </c>
      <c r="E104" s="84" t="n"/>
      <c r="F104" s="600">
        <f>+F102*$D$104</f>
        <v/>
      </c>
      <c r="G104" s="600">
        <f>+G102*$D$104</f>
        <v/>
      </c>
      <c r="H104" s="600">
        <f>+H102*$D$104</f>
        <v/>
      </c>
      <c r="I104" s="600">
        <f>+I102*$D$104</f>
        <v/>
      </c>
      <c r="J104" s="601">
        <f>+J102*$D$104</f>
        <v/>
      </c>
      <c r="K104" s="600">
        <f>+K102*$D$104</f>
        <v/>
      </c>
      <c r="L104" s="600">
        <f>+L102*$D$104</f>
        <v/>
      </c>
      <c r="M104" s="600">
        <f>+M102*$D$104</f>
        <v/>
      </c>
      <c r="N104" s="600">
        <f>+N102*$D$104</f>
        <v/>
      </c>
      <c r="O104" s="601">
        <f>+O102*$D$104</f>
        <v/>
      </c>
    </row>
    <row r="105" ht="13.5" customHeight="1">
      <c r="C105" s="69" t="inlineStr">
        <is>
          <t>Total Limited Partner Cash Return</t>
        </is>
      </c>
      <c r="D105" s="84">
        <f>+Dashboard!J59</f>
        <v/>
      </c>
      <c r="E105" s="84" t="n"/>
      <c r="F105" s="600">
        <f>+F102*$D$105</f>
        <v/>
      </c>
      <c r="G105" s="600">
        <f>+G102*$D$105</f>
        <v/>
      </c>
      <c r="H105" s="600">
        <f>+H102*$D$105</f>
        <v/>
      </c>
      <c r="I105" s="600">
        <f>+I102*$D$105</f>
        <v/>
      </c>
      <c r="J105" s="601">
        <f>+J102*$D$105</f>
        <v/>
      </c>
      <c r="K105" s="600">
        <f>+K102*$D$105</f>
        <v/>
      </c>
      <c r="L105" s="600">
        <f>+L102*$D$105</f>
        <v/>
      </c>
      <c r="M105" s="600">
        <f>+M102*$D$105</f>
        <v/>
      </c>
      <c r="N105" s="600">
        <f>+N102*$D$105</f>
        <v/>
      </c>
      <c r="O105" s="601">
        <f>+O102*$D$105</f>
        <v/>
      </c>
    </row>
    <row r="106" ht="13.5" customHeight="1">
      <c r="C106" s="74" t="inlineStr">
        <is>
          <t>Cash on Cash LP Return</t>
        </is>
      </c>
      <c r="D106" s="75" t="n"/>
      <c r="E106" s="75" t="n"/>
      <c r="F106" s="82">
        <f>+F105/Dashboard!$I$11</f>
        <v/>
      </c>
      <c r="G106" s="82">
        <f>+G105/Dashboard!$I$11</f>
        <v/>
      </c>
      <c r="H106" s="82">
        <f>+H105/Dashboard!$I$11</f>
        <v/>
      </c>
      <c r="I106" s="82">
        <f>+I105/Dashboard!$I$11</f>
        <v/>
      </c>
      <c r="J106" s="83">
        <f>+J105/Dashboard!$I$11</f>
        <v/>
      </c>
      <c r="K106" s="82">
        <f>+K105/Dashboard!$I$11</f>
        <v/>
      </c>
      <c r="L106" s="82">
        <f>+L105/Dashboard!$I$11</f>
        <v/>
      </c>
      <c r="M106" s="82">
        <f>+M105/Dashboard!$I$11</f>
        <v/>
      </c>
      <c r="N106" s="82">
        <f>+N105/Dashboard!$I$11</f>
        <v/>
      </c>
      <c r="O106" s="83">
        <f>+O105/Dashboard!$I$11</f>
        <v/>
      </c>
    </row>
    <row r="107" ht="13.5" customHeight="1">
      <c r="D107" s="28" t="n"/>
      <c r="E107" s="28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</row>
    <row r="108" ht="13.5" customHeight="1">
      <c r="C108" s="257" t="inlineStr">
        <is>
          <t>Return Metrics</t>
        </is>
      </c>
      <c r="D108" s="37" t="n"/>
      <c r="E108" s="583" t="n"/>
      <c r="F108" s="583" t="n"/>
      <c r="G108" s="583" t="n"/>
      <c r="H108" s="583" t="n"/>
      <c r="I108" s="583" t="n"/>
      <c r="J108" s="583" t="n"/>
      <c r="K108" s="583" t="n"/>
      <c r="L108" s="583" t="n"/>
      <c r="M108" s="583" t="n"/>
      <c r="N108" s="583" t="n"/>
      <c r="O108" s="583" t="n"/>
    </row>
    <row r="109" ht="5.1" customHeight="1">
      <c r="D109" s="28" t="n"/>
      <c r="E109" s="28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</row>
    <row r="110" ht="13.5" customHeight="1">
      <c r="C110" s="32" t="inlineStr">
        <is>
          <t>5 Year Hold IRR</t>
        </is>
      </c>
      <c r="D110" s="32" t="n"/>
      <c r="E110" s="602">
        <f>+'Scenario 0'!E111</f>
        <v/>
      </c>
      <c r="F110" s="602">
        <f>+'Scenario 0'!F111</f>
        <v/>
      </c>
      <c r="G110" s="602">
        <f>+'Scenario 0'!G111</f>
        <v/>
      </c>
      <c r="H110" s="602">
        <f>+'Scenario 0'!H111</f>
        <v/>
      </c>
      <c r="I110" s="602">
        <f>+'Scenario 0'!I111</f>
        <v/>
      </c>
      <c r="J110" s="602">
        <f>+'Scenario 0'!J111</f>
        <v/>
      </c>
      <c r="K110" s="602" t="n"/>
      <c r="L110" s="602" t="n"/>
      <c r="M110" s="602" t="n"/>
      <c r="N110" s="602" t="n"/>
      <c r="O110" s="602" t="n"/>
    </row>
    <row r="111" ht="5.1" customHeight="1">
      <c r="C111" s="39" t="n"/>
      <c r="D111" s="109" t="n"/>
      <c r="E111" s="603" t="n"/>
      <c r="F111" s="603" t="n"/>
      <c r="G111" s="603" t="n"/>
      <c r="H111" s="603" t="n"/>
      <c r="I111" s="603" t="n"/>
      <c r="J111" s="603" t="n"/>
    </row>
    <row r="112" ht="13.5" customHeight="1">
      <c r="C112" s="212" t="inlineStr">
        <is>
          <t>Exit Cap Rate Assumption</t>
        </is>
      </c>
      <c r="D112" s="217">
        <f>+Dashboard!$J$54</f>
        <v/>
      </c>
      <c r="E112" s="109" t="n"/>
      <c r="F112" s="603" t="n"/>
      <c r="G112" s="603" t="n"/>
      <c r="H112" s="603" t="n"/>
      <c r="I112" s="603" t="n"/>
      <c r="J112" s="603" t="n"/>
      <c r="K112" s="31" t="n"/>
      <c r="L112" s="31" t="n"/>
      <c r="M112" s="31" t="n"/>
      <c r="N112" s="31" t="n"/>
      <c r="O112" s="31" t="n"/>
    </row>
    <row r="113" ht="5.1" customHeight="1">
      <c r="C113" s="39" t="n"/>
      <c r="D113" s="109" t="n"/>
      <c r="E113" s="109" t="n"/>
      <c r="F113" s="603" t="n"/>
      <c r="G113" s="603" t="n"/>
      <c r="H113" s="603" t="n"/>
      <c r="I113" s="603" t="n"/>
      <c r="J113" s="603" t="n"/>
      <c r="K113" s="31" t="n"/>
      <c r="L113" s="31" t="n"/>
      <c r="M113" s="31" t="n"/>
      <c r="N113" s="31" t="n"/>
      <c r="O113" s="31" t="n"/>
    </row>
    <row r="114" ht="13.5" customHeight="1">
      <c r="C114" s="28" t="inlineStr">
        <is>
          <t>Project Cash Flows (Unleveraged IRR):</t>
        </is>
      </c>
      <c r="D114" s="28" t="n"/>
      <c r="E114" s="28" t="n"/>
      <c r="F114" s="100" t="n"/>
      <c r="G114" s="100" t="n"/>
      <c r="H114" s="100" t="n"/>
      <c r="I114" s="100" t="n"/>
      <c r="J114" s="100" t="n"/>
      <c r="K114" s="31" t="n"/>
      <c r="L114" s="31" t="n"/>
      <c r="M114" s="31" t="n"/>
      <c r="N114" s="31" t="n"/>
      <c r="O114" s="31" t="n"/>
    </row>
    <row r="115" ht="13.5" customHeight="1">
      <c r="C115" s="43" t="inlineStr">
        <is>
          <t>(+) Proceeds from Sale of Property:</t>
        </is>
      </c>
      <c r="D115" s="111" t="n"/>
      <c r="E115" s="111" t="n"/>
      <c r="F115" s="111" t="n">
        <v>0</v>
      </c>
      <c r="G115" s="111" t="n">
        <v>0</v>
      </c>
      <c r="H115" s="111" t="n">
        <v>0</v>
      </c>
      <c r="I115" s="111" t="n">
        <v>0</v>
      </c>
      <c r="J115" s="111">
        <f>+J$80/D$112</f>
        <v/>
      </c>
      <c r="K115" s="31" t="n"/>
      <c r="L115" s="31" t="n"/>
      <c r="M115" s="31" t="n"/>
      <c r="N115" s="31" t="n"/>
      <c r="O115" s="31" t="n"/>
    </row>
    <row r="116" ht="13.5" customHeight="1">
      <c r="C116" s="43" t="inlineStr">
        <is>
          <t>(-) Selling Costs:</t>
        </is>
      </c>
      <c r="D116" s="217">
        <f>+Dashboard!$J$55</f>
        <v/>
      </c>
      <c r="E116" s="112" t="n"/>
      <c r="F116" s="112" t="n">
        <v>0</v>
      </c>
      <c r="G116" s="112" t="n">
        <v>0</v>
      </c>
      <c r="H116" s="112" t="n">
        <v>0</v>
      </c>
      <c r="I116" s="112" t="n">
        <v>0</v>
      </c>
      <c r="J116" s="112">
        <f>-J$115*D$116</f>
        <v/>
      </c>
      <c r="K116" s="31" t="n"/>
      <c r="L116" s="31" t="n"/>
      <c r="M116" s="31" t="n"/>
      <c r="N116" s="31" t="n"/>
      <c r="O116" s="31" t="n"/>
    </row>
    <row r="117" ht="13.5" customHeight="1">
      <c r="C117" s="43" t="inlineStr">
        <is>
          <t>(+) Adjusted NOI (Cash Flows to All Investors):</t>
        </is>
      </c>
      <c r="D117" s="112" t="n"/>
      <c r="E117" s="112" t="n"/>
      <c r="F117" s="23">
        <f>+F$88</f>
        <v/>
      </c>
      <c r="G117" s="23">
        <f>+G$88</f>
        <v/>
      </c>
      <c r="H117" s="23">
        <f>+H$88</f>
        <v/>
      </c>
      <c r="I117" s="23">
        <f>+I$88</f>
        <v/>
      </c>
      <c r="J117" s="23">
        <f>+J$88</f>
        <v/>
      </c>
      <c r="K117" s="31" t="n"/>
      <c r="L117" s="31" t="n"/>
      <c r="M117" s="31" t="n"/>
      <c r="N117" s="31" t="n"/>
      <c r="O117" s="31" t="n"/>
    </row>
    <row r="118" ht="13.5" customHeight="1">
      <c r="C118" s="43" t="inlineStr">
        <is>
          <t>(-) Property Acquisition Price:</t>
        </is>
      </c>
      <c r="E118" s="103">
        <f>-Dashboard!$E$32</f>
        <v/>
      </c>
      <c r="F118" s="112" t="n">
        <v>0</v>
      </c>
      <c r="G118" s="112" t="n">
        <v>0</v>
      </c>
      <c r="H118" s="112" t="n">
        <v>0</v>
      </c>
      <c r="I118" s="112" t="n">
        <v>0</v>
      </c>
      <c r="J118" s="112" t="n">
        <v>0</v>
      </c>
      <c r="K118" s="31" t="n"/>
      <c r="L118" s="31" t="n"/>
      <c r="M118" s="31" t="n"/>
      <c r="N118" s="31" t="n"/>
      <c r="O118" s="31" t="n"/>
    </row>
    <row r="119" ht="13.5" customHeight="1">
      <c r="C119" s="33" t="inlineStr">
        <is>
          <t>Total Project Cash Flows (Unleveraged IRR):</t>
        </is>
      </c>
      <c r="D119" s="38" t="n"/>
      <c r="E119" s="88">
        <f>SUM(E115:E118)</f>
        <v/>
      </c>
      <c r="F119" s="88">
        <f>SUM(F115:F118)</f>
        <v/>
      </c>
      <c r="G119" s="88">
        <f>SUM(G115:G118)</f>
        <v/>
      </c>
      <c r="H119" s="88">
        <f>SUM(H115:H118)</f>
        <v/>
      </c>
      <c r="I119" s="88">
        <f>SUM(I115:I118)</f>
        <v/>
      </c>
      <c r="J119" s="88">
        <f>SUM(J115:J118)</f>
        <v/>
      </c>
      <c r="K119" s="31" t="n"/>
      <c r="L119" s="31" t="n"/>
      <c r="M119" s="31" t="n"/>
      <c r="N119" s="31" t="n"/>
      <c r="O119" s="31" t="n"/>
    </row>
    <row r="120" hidden="1" outlineLevel="1" ht="13.5" customHeight="1">
      <c r="D120" s="28" t="n"/>
      <c r="E120" s="28" t="n"/>
      <c r="F120" s="100">
        <f>+F119-F115</f>
        <v/>
      </c>
      <c r="G120" s="100">
        <f>+G119-G115</f>
        <v/>
      </c>
      <c r="H120" s="100">
        <f>+H119-H115</f>
        <v/>
      </c>
      <c r="I120" s="100">
        <f>+I119-I115</f>
        <v/>
      </c>
      <c r="J120" s="100">
        <f>+J119-J115</f>
        <v/>
      </c>
      <c r="K120" s="31" t="n"/>
      <c r="L120" s="31" t="n"/>
      <c r="M120" s="31" t="n"/>
      <c r="N120" s="31" t="n"/>
      <c r="O120" s="31" t="n"/>
    </row>
    <row r="121" collapsed="1" ht="5.1" customHeight="1">
      <c r="D121" s="28" t="n"/>
      <c r="E121" s="28" t="n"/>
      <c r="F121" s="100" t="n"/>
      <c r="G121" s="100" t="n"/>
      <c r="H121" s="100" t="n"/>
      <c r="I121" s="100" t="n"/>
      <c r="J121" s="100" t="n"/>
      <c r="K121" s="31" t="n"/>
      <c r="L121" s="31" t="n"/>
      <c r="M121" s="31" t="n"/>
      <c r="N121" s="31" t="n"/>
      <c r="O121" s="31" t="n"/>
    </row>
    <row r="122" ht="13.5" customHeight="1">
      <c r="C122" s="113" t="inlineStr">
        <is>
          <t>Unlevered IRR:</t>
        </is>
      </c>
      <c r="D122" s="91" t="n"/>
      <c r="E122" s="114">
        <f>+IRR(E119:J119)</f>
        <v/>
      </c>
      <c r="G122" s="100" t="n"/>
      <c r="H122" s="100" t="n"/>
      <c r="I122" s="100" t="n"/>
      <c r="J122" s="100" t="n"/>
      <c r="K122" s="31" t="n"/>
      <c r="L122" s="31" t="n"/>
      <c r="M122" s="31" t="n"/>
      <c r="N122" s="31" t="n"/>
      <c r="O122" s="31" t="n"/>
    </row>
    <row r="123" ht="13.5" customHeight="1">
      <c r="C123" s="115" t="inlineStr">
        <is>
          <t>Unlevered Cash-on-Cash Multiple:</t>
        </is>
      </c>
      <c r="D123" s="92" t="n"/>
      <c r="E123" s="604">
        <f>+SUM(F115:J117)/-SUM(E118:J118)</f>
        <v/>
      </c>
      <c r="G123" s="100" t="n"/>
      <c r="H123" s="100" t="n"/>
      <c r="I123" s="100" t="n"/>
      <c r="J123" s="100" t="n"/>
      <c r="K123" s="31" t="n"/>
      <c r="L123" s="31" t="n"/>
      <c r="M123" s="31" t="n"/>
      <c r="N123" s="31" t="n"/>
      <c r="O123" s="31" t="n"/>
    </row>
    <row r="124" ht="13.5" customHeight="1">
      <c r="D124" s="28" t="n"/>
      <c r="E124" s="28" t="n"/>
      <c r="F124" s="100" t="n"/>
      <c r="G124" s="100" t="n"/>
      <c r="H124" s="100" t="n"/>
      <c r="I124" s="100" t="n"/>
      <c r="J124" s="100" t="n"/>
      <c r="K124" s="31" t="n"/>
      <c r="L124" s="31" t="n"/>
      <c r="M124" s="31" t="n"/>
      <c r="N124" s="31" t="n"/>
      <c r="O124" s="31" t="n"/>
    </row>
    <row r="125" ht="13.5" customHeight="1">
      <c r="C125" s="28" t="inlineStr">
        <is>
          <t>Cash Flow to Equity Investors (Leveraged IRR):</t>
        </is>
      </c>
      <c r="D125" s="28" t="n"/>
      <c r="E125" s="28" t="n"/>
      <c r="F125" s="100" t="n"/>
      <c r="G125" s="100" t="n"/>
      <c r="H125" s="100" t="n"/>
      <c r="I125" s="100" t="n"/>
      <c r="J125" s="100" t="n"/>
      <c r="K125" s="31" t="n"/>
      <c r="L125" s="31" t="n"/>
      <c r="M125" s="31" t="n"/>
      <c r="N125" s="31" t="n"/>
      <c r="O125" s="31" t="n"/>
    </row>
    <row r="126" ht="13.5" customHeight="1">
      <c r="C126" s="43" t="inlineStr">
        <is>
          <t>(+) Proceeds from Sale of Property:</t>
        </is>
      </c>
      <c r="D126" s="111" t="n"/>
      <c r="E126" s="111" t="n"/>
      <c r="F126" s="111" t="n">
        <v>0</v>
      </c>
      <c r="G126" s="111" t="n">
        <v>0</v>
      </c>
      <c r="H126" s="111" t="n">
        <v>0</v>
      </c>
      <c r="I126" s="111" t="n">
        <v>0</v>
      </c>
      <c r="J126" s="111">
        <f>+J$80/D$112</f>
        <v/>
      </c>
      <c r="K126" s="31" t="n"/>
      <c r="L126" s="31" t="n"/>
      <c r="M126" s="31" t="n"/>
      <c r="N126" s="31" t="n"/>
      <c r="O126" s="31" t="n"/>
    </row>
    <row r="127" ht="13.5" customHeight="1">
      <c r="C127" s="43" t="inlineStr">
        <is>
          <t>(-) Selling Costs:</t>
        </is>
      </c>
      <c r="D127" s="95">
        <f>+D116</f>
        <v/>
      </c>
      <c r="E127" s="112" t="n"/>
      <c r="F127" s="112" t="n">
        <v>0</v>
      </c>
      <c r="G127" s="112" t="n">
        <v>0</v>
      </c>
      <c r="H127" s="112" t="n">
        <v>0</v>
      </c>
      <c r="I127" s="112" t="n">
        <v>0</v>
      </c>
      <c r="J127" s="112">
        <f>-J$126*D$127</f>
        <v/>
      </c>
      <c r="K127" s="31" t="n"/>
      <c r="L127" s="31" t="n"/>
      <c r="M127" s="31" t="n"/>
      <c r="N127" s="31" t="n"/>
      <c r="O127" s="31" t="n"/>
    </row>
    <row r="128" ht="13.5" customHeight="1">
      <c r="C128" s="43" t="inlineStr">
        <is>
          <t>(+) Cash Flows to Equity Investors:</t>
        </is>
      </c>
      <c r="E128" s="112" t="n"/>
      <c r="F128" s="23">
        <f>+F$92</f>
        <v/>
      </c>
      <c r="G128" s="23">
        <f>+G$92</f>
        <v/>
      </c>
      <c r="H128" s="23">
        <f>+H$92</f>
        <v/>
      </c>
      <c r="I128" s="23">
        <f>+I$92</f>
        <v/>
      </c>
      <c r="J128" s="23">
        <f>+J$92</f>
        <v/>
      </c>
      <c r="K128" s="31" t="n"/>
      <c r="L128" s="31" t="n"/>
      <c r="M128" s="31" t="n"/>
      <c r="N128" s="31" t="n"/>
      <c r="O128" s="31" t="n"/>
    </row>
    <row r="129" ht="13.5" customHeight="1">
      <c r="C129" s="43" t="inlineStr">
        <is>
          <t>(-) Debt Principal Repayment Upon Exit:</t>
        </is>
      </c>
      <c r="D129" s="112" t="n"/>
      <c r="E129" s="112" t="n"/>
      <c r="F129" s="112" t="n">
        <v>0</v>
      </c>
      <c r="G129" s="112" t="n">
        <v>0</v>
      </c>
      <c r="H129" s="112" t="n">
        <v>0</v>
      </c>
      <c r="I129" s="112" t="n">
        <v>0</v>
      </c>
      <c r="J129" s="112">
        <f>-J94</f>
        <v/>
      </c>
      <c r="K129" s="31" t="n"/>
      <c r="L129" s="31" t="n"/>
      <c r="M129" s="31" t="n"/>
      <c r="N129" s="31" t="n"/>
      <c r="O129" s="31" t="n"/>
    </row>
    <row r="130" ht="13.5" customHeight="1">
      <c r="C130" s="43" t="inlineStr">
        <is>
          <t>(-) Initial Equity Investment:</t>
        </is>
      </c>
      <c r="D130" s="103" t="n"/>
      <c r="E130" s="103">
        <f>-Dashboard!$I$11</f>
        <v/>
      </c>
      <c r="F130" s="112" t="n">
        <v>0</v>
      </c>
      <c r="G130" s="112" t="n">
        <v>0</v>
      </c>
      <c r="H130" s="112" t="n">
        <v>0</v>
      </c>
      <c r="I130" s="112" t="n">
        <v>0</v>
      </c>
      <c r="J130" s="112" t="n">
        <v>0</v>
      </c>
      <c r="K130" s="31" t="n"/>
      <c r="L130" s="31" t="n"/>
      <c r="M130" s="31" t="n"/>
      <c r="N130" s="31" t="n"/>
      <c r="O130" s="31" t="n"/>
    </row>
    <row r="131" ht="13.5" customHeight="1">
      <c r="C131" s="33" t="inlineStr">
        <is>
          <t>Total Cash Flows to Equity (Leveraged IRR):</t>
        </is>
      </c>
      <c r="D131" s="88" t="n"/>
      <c r="E131" s="88">
        <f>+SUM(E126:E130)</f>
        <v/>
      </c>
      <c r="F131" s="88">
        <f>+SUM(F126:F130)</f>
        <v/>
      </c>
      <c r="G131" s="88">
        <f>+SUM(G126:G130)</f>
        <v/>
      </c>
      <c r="H131" s="88">
        <f>+SUM(H126:H130)</f>
        <v/>
      </c>
      <c r="I131" s="88">
        <f>+SUM(I126:I130)</f>
        <v/>
      </c>
      <c r="J131" s="88">
        <f>+SUM(J126:J130)</f>
        <v/>
      </c>
      <c r="K131" s="31" t="n"/>
      <c r="L131" s="31" t="n"/>
      <c r="M131" s="31" t="n"/>
      <c r="N131" s="31" t="n"/>
      <c r="O131" s="31" t="n"/>
    </row>
    <row r="132" hidden="1" outlineLevel="1" ht="13.5" customHeight="1">
      <c r="C132" s="28" t="n"/>
      <c r="D132" s="99" t="n"/>
      <c r="E132" s="99" t="n"/>
      <c r="F132" s="100">
        <f>+F131-F126</f>
        <v/>
      </c>
      <c r="G132" s="100">
        <f>+G131-G126</f>
        <v/>
      </c>
      <c r="H132" s="100">
        <f>+H131-H126</f>
        <v/>
      </c>
      <c r="I132" s="100">
        <f>+I131-I126</f>
        <v/>
      </c>
      <c r="J132" s="100">
        <f>+J131-SUM(J126,J129)</f>
        <v/>
      </c>
      <c r="K132" s="31" t="n"/>
      <c r="L132" s="31" t="n"/>
      <c r="M132" s="31" t="n"/>
      <c r="N132" s="31" t="n"/>
      <c r="O132" s="31" t="n"/>
    </row>
    <row r="133" collapsed="1" ht="5.1" customHeight="1">
      <c r="D133" s="28" t="n"/>
      <c r="E133" s="28" t="n"/>
      <c r="F133" s="100" t="n"/>
      <c r="G133" s="100" t="n"/>
      <c r="H133" s="100" t="n"/>
      <c r="I133" s="100" t="n"/>
      <c r="J133" s="100" t="n"/>
      <c r="K133" s="31" t="n"/>
      <c r="L133" s="31" t="n"/>
      <c r="M133" s="31" t="n"/>
      <c r="N133" s="31" t="n"/>
      <c r="O133" s="31" t="n"/>
    </row>
    <row r="134" ht="13.5" customHeight="1">
      <c r="C134" s="113" t="inlineStr">
        <is>
          <t>Leveraged Internal Rate of Return (IRR):</t>
        </is>
      </c>
      <c r="D134" s="91" t="n"/>
      <c r="E134" s="114">
        <f>+IRR(E131:J131)</f>
        <v/>
      </c>
      <c r="G134" s="100" t="n"/>
      <c r="H134" s="100" t="n"/>
      <c r="I134" s="100" t="n"/>
      <c r="J134" s="100" t="n"/>
      <c r="K134" s="31" t="n"/>
      <c r="L134" s="31" t="n"/>
      <c r="M134" s="31" t="n"/>
      <c r="N134" s="31" t="n"/>
      <c r="O134" s="31" t="n"/>
    </row>
    <row r="135" ht="13.5" customHeight="1">
      <c r="C135" s="115" t="inlineStr">
        <is>
          <t>Levered Cash-on-Cash Multiple:</t>
        </is>
      </c>
      <c r="D135" s="92" t="n"/>
      <c r="E135" s="604">
        <f>+SUM(F126:J129)/-SUM(E130:J130)</f>
        <v/>
      </c>
      <c r="G135" s="100" t="n"/>
      <c r="H135" s="100" t="n"/>
      <c r="I135" s="100" t="n"/>
      <c r="J135" s="100" t="n"/>
      <c r="K135" s="31" t="n"/>
      <c r="L135" s="31" t="n"/>
      <c r="M135" s="31" t="n"/>
      <c r="N135" s="31" t="n"/>
      <c r="O135" s="31" t="n"/>
    </row>
    <row r="136"/>
    <row r="137" hidden="1" outlineLevel="1" ht="13.5" customHeight="1">
      <c r="C137" s="32" t="inlineStr">
        <is>
          <t>7 Year Hold IRR</t>
        </is>
      </c>
      <c r="D137" s="32" t="n"/>
      <c r="E137" s="602">
        <f>+'Scenario 0'!E138</f>
        <v/>
      </c>
      <c r="F137" s="602">
        <f>+'Scenario 0'!F138</f>
        <v/>
      </c>
      <c r="G137" s="602">
        <f>+'Scenario 0'!G138</f>
        <v/>
      </c>
      <c r="H137" s="602">
        <f>+'Scenario 0'!H138</f>
        <v/>
      </c>
      <c r="I137" s="602">
        <f>+'Scenario 0'!I138</f>
        <v/>
      </c>
      <c r="J137" s="602">
        <f>+'Scenario 0'!J138</f>
        <v/>
      </c>
      <c r="K137" s="602">
        <f>+'Scenario 0'!K138</f>
        <v/>
      </c>
      <c r="L137" s="602">
        <f>+'Scenario 0'!L138</f>
        <v/>
      </c>
      <c r="M137" s="602" t="n"/>
      <c r="N137" s="602" t="n"/>
      <c r="O137" s="602" t="n"/>
    </row>
    <row r="138" hidden="1" outlineLevel="1" ht="5.1" customHeight="1">
      <c r="C138" s="39" t="n"/>
      <c r="D138" s="109" t="n"/>
      <c r="E138" s="603" t="n"/>
      <c r="F138" s="603" t="n"/>
      <c r="G138" s="603" t="n"/>
      <c r="H138" s="603" t="n"/>
      <c r="I138" s="603" t="n"/>
      <c r="J138" s="603" t="n"/>
      <c r="K138" s="603" t="n"/>
      <c r="L138" s="603" t="n"/>
    </row>
    <row r="139" hidden="1" outlineLevel="1" ht="13.5" customHeight="1">
      <c r="C139" s="28" t="inlineStr">
        <is>
          <t>Project Cash Flows (Unleveraged IRR):</t>
        </is>
      </c>
      <c r="D139" s="28" t="n"/>
      <c r="E139" s="28" t="n"/>
      <c r="F139" s="100" t="n"/>
      <c r="G139" s="100" t="n"/>
      <c r="H139" s="100" t="n"/>
      <c r="I139" s="100" t="n"/>
      <c r="J139" s="100" t="n"/>
      <c r="K139" s="100" t="n"/>
      <c r="L139" s="100" t="n"/>
      <c r="M139" s="31" t="n"/>
      <c r="N139" s="31" t="n"/>
      <c r="O139" s="31" t="n"/>
    </row>
    <row r="140" hidden="1" outlineLevel="1" ht="13.5" customHeight="1">
      <c r="C140" s="43" t="inlineStr">
        <is>
          <t>(+) Proceeds from Sale of Property:</t>
        </is>
      </c>
      <c r="D140" s="111" t="n"/>
      <c r="E140" s="111" t="n"/>
      <c r="F140" s="111" t="n">
        <v>0</v>
      </c>
      <c r="G140" s="111" t="n">
        <v>0</v>
      </c>
      <c r="H140" s="111" t="n">
        <v>0</v>
      </c>
      <c r="I140" s="111" t="n">
        <v>0</v>
      </c>
      <c r="J140" s="111" t="n">
        <v>0</v>
      </c>
      <c r="K140" s="111" t="n">
        <v>0</v>
      </c>
      <c r="L140" s="111">
        <f>+L$80/D$112</f>
        <v/>
      </c>
      <c r="M140" s="31" t="n"/>
      <c r="N140" s="31" t="n"/>
      <c r="O140" s="31" t="n"/>
    </row>
    <row r="141" hidden="1" outlineLevel="1" ht="13.5" customHeight="1">
      <c r="C141" s="43" t="inlineStr">
        <is>
          <t>(-) Selling Costs:</t>
        </is>
      </c>
      <c r="D141" s="95">
        <f>+D116</f>
        <v/>
      </c>
      <c r="E141" s="112" t="n"/>
      <c r="F141" s="112" t="n">
        <v>0</v>
      </c>
      <c r="G141" s="112" t="n">
        <v>0</v>
      </c>
      <c r="H141" s="112" t="n">
        <v>0</v>
      </c>
      <c r="I141" s="112" t="n">
        <v>0</v>
      </c>
      <c r="J141" s="112" t="n">
        <v>0</v>
      </c>
      <c r="K141" s="112" t="n">
        <v>0</v>
      </c>
      <c r="L141" s="112">
        <f>-L$140*D$141</f>
        <v/>
      </c>
      <c r="M141" s="31" t="n"/>
      <c r="N141" s="31" t="n"/>
      <c r="O141" s="31" t="n"/>
    </row>
    <row r="142" hidden="1" outlineLevel="1" ht="13.5" customHeight="1">
      <c r="C142" s="43" t="inlineStr">
        <is>
          <t>(+) Adjusted NOI (Cash Flows to All Investors):</t>
        </is>
      </c>
      <c r="D142" s="112" t="n"/>
      <c r="E142" s="112" t="n"/>
      <c r="F142" s="23">
        <f>+F$88</f>
        <v/>
      </c>
      <c r="G142" s="23">
        <f>+G$88</f>
        <v/>
      </c>
      <c r="H142" s="23">
        <f>+H$88</f>
        <v/>
      </c>
      <c r="I142" s="23">
        <f>+I$88</f>
        <v/>
      </c>
      <c r="J142" s="23">
        <f>+J$88</f>
        <v/>
      </c>
      <c r="K142" s="23">
        <f>+K$88</f>
        <v/>
      </c>
      <c r="L142" s="23">
        <f>+L$88</f>
        <v/>
      </c>
      <c r="M142" s="31" t="n"/>
      <c r="N142" s="31" t="n"/>
      <c r="O142" s="31" t="n"/>
    </row>
    <row r="143" hidden="1" outlineLevel="1" ht="13.5" customHeight="1">
      <c r="C143" s="43" t="inlineStr">
        <is>
          <t>(-) Property Acquisition Price:</t>
        </is>
      </c>
      <c r="E143" s="103">
        <f>-Dashboard!$E$32</f>
        <v/>
      </c>
      <c r="F143" s="112" t="n">
        <v>0</v>
      </c>
      <c r="G143" s="112" t="n">
        <v>0</v>
      </c>
      <c r="H143" s="112" t="n">
        <v>0</v>
      </c>
      <c r="I143" s="112" t="n">
        <v>0</v>
      </c>
      <c r="J143" s="112" t="n">
        <v>0</v>
      </c>
      <c r="K143" s="112" t="n">
        <v>0</v>
      </c>
      <c r="L143" s="112" t="n">
        <v>0</v>
      </c>
      <c r="M143" s="31" t="n"/>
      <c r="N143" s="31" t="n"/>
      <c r="O143" s="31" t="n"/>
    </row>
    <row r="144" hidden="1" outlineLevel="1" ht="13.5" customHeight="1">
      <c r="C144" s="33" t="inlineStr">
        <is>
          <t>Total Project Cash Flows (Unleveraged IRR):</t>
        </is>
      </c>
      <c r="D144" s="38" t="n"/>
      <c r="E144" s="88">
        <f>SUM(E140:E143)</f>
        <v/>
      </c>
      <c r="F144" s="88">
        <f>SUM(F140:F143)</f>
        <v/>
      </c>
      <c r="G144" s="88">
        <f>SUM(G140:G143)</f>
        <v/>
      </c>
      <c r="H144" s="88">
        <f>SUM(H140:H143)</f>
        <v/>
      </c>
      <c r="I144" s="88">
        <f>SUM(I140:I143)</f>
        <v/>
      </c>
      <c r="J144" s="88">
        <f>SUM(J140:J143)</f>
        <v/>
      </c>
      <c r="K144" s="88">
        <f>SUM(K140:K143)</f>
        <v/>
      </c>
      <c r="L144" s="88">
        <f>SUM(L140:L143)</f>
        <v/>
      </c>
      <c r="M144" s="31" t="n"/>
      <c r="N144" s="31" t="n"/>
      <c r="O144" s="31" t="n"/>
    </row>
    <row r="145" hidden="1" outlineLevel="2" ht="13.5" customHeight="1">
      <c r="C145" s="28" t="n"/>
      <c r="E145" s="99" t="n"/>
      <c r="F145" s="100">
        <f>+F144-F140</f>
        <v/>
      </c>
      <c r="G145" s="100">
        <f>+G144-G140</f>
        <v/>
      </c>
      <c r="H145" s="100">
        <f>+H144-H140</f>
        <v/>
      </c>
      <c r="I145" s="100">
        <f>+I144-I140</f>
        <v/>
      </c>
      <c r="J145" s="100">
        <f>+J144-J140</f>
        <v/>
      </c>
      <c r="K145" s="100">
        <f>+K144-K140</f>
        <v/>
      </c>
      <c r="L145" s="100">
        <f>+L144-L140</f>
        <v/>
      </c>
      <c r="M145" s="31" t="n"/>
      <c r="N145" s="31" t="n"/>
      <c r="O145" s="31" t="n"/>
    </row>
    <row r="146" hidden="1" outlineLevel="1" collapsed="1" ht="5.1" customHeight="1">
      <c r="D146" s="28" t="n"/>
      <c r="E146" s="28" t="n"/>
      <c r="F146" s="100" t="n"/>
      <c r="G146" s="100" t="n"/>
      <c r="H146" s="100" t="n"/>
      <c r="I146" s="100" t="n"/>
      <c r="J146" s="100" t="n"/>
      <c r="K146" s="100" t="n"/>
      <c r="L146" s="100" t="n"/>
      <c r="M146" s="31" t="n"/>
      <c r="N146" s="31" t="n"/>
      <c r="O146" s="31" t="n"/>
    </row>
    <row r="147" hidden="1" outlineLevel="1" ht="13.5" customHeight="1">
      <c r="C147" s="113" t="inlineStr">
        <is>
          <t>Unlevered IRR:</t>
        </is>
      </c>
      <c r="D147" s="91" t="n"/>
      <c r="E147" s="114">
        <f>+IRR(E144:L144)</f>
        <v/>
      </c>
      <c r="G147" s="100" t="n"/>
      <c r="H147" s="100" t="n"/>
      <c r="I147" s="100" t="n"/>
      <c r="J147" s="100" t="n"/>
      <c r="K147" s="100" t="n"/>
      <c r="L147" s="100" t="n"/>
      <c r="M147" s="31" t="n"/>
      <c r="N147" s="31" t="n"/>
      <c r="O147" s="31" t="n"/>
    </row>
    <row r="148" hidden="1" outlineLevel="1" ht="13.5" customHeight="1">
      <c r="C148" s="115" t="inlineStr">
        <is>
          <t>Unlevered Cash-on-Cash Multiple:</t>
        </is>
      </c>
      <c r="D148" s="92" t="n"/>
      <c r="E148" s="604">
        <f>+SUM(F140:L142)/-SUM(E143:L143)</f>
        <v/>
      </c>
      <c r="G148" s="100" t="n"/>
      <c r="H148" s="100" t="n"/>
      <c r="I148" s="100" t="n"/>
      <c r="J148" s="100" t="n"/>
      <c r="K148" s="100" t="n"/>
      <c r="L148" s="100" t="n"/>
      <c r="M148" s="31" t="n"/>
      <c r="N148" s="31" t="n"/>
      <c r="O148" s="31" t="n"/>
    </row>
    <row r="149" hidden="1" outlineLevel="1" ht="13.5" customHeight="1">
      <c r="D149" s="28" t="n"/>
      <c r="E149" s="28" t="n"/>
      <c r="F149" s="100" t="n"/>
      <c r="G149" s="100" t="n"/>
      <c r="H149" s="100" t="n"/>
      <c r="I149" s="100" t="n"/>
      <c r="J149" s="100" t="n"/>
      <c r="K149" s="100" t="n"/>
      <c r="L149" s="100" t="n"/>
      <c r="M149" s="31" t="n"/>
      <c r="N149" s="31" t="n"/>
      <c r="O149" s="31" t="n"/>
    </row>
    <row r="150" hidden="1" outlineLevel="1" ht="13.5" customHeight="1">
      <c r="C150" s="28" t="inlineStr">
        <is>
          <t>Cash Flow to Equity Investors (Leveraged IRR):</t>
        </is>
      </c>
      <c r="D150" s="28" t="n"/>
      <c r="E150" s="28" t="n"/>
      <c r="F150" s="100" t="n"/>
      <c r="G150" s="100" t="n"/>
      <c r="H150" s="100" t="n"/>
      <c r="I150" s="100" t="n"/>
      <c r="J150" s="100" t="n"/>
      <c r="K150" s="100" t="n"/>
      <c r="L150" s="100" t="n"/>
      <c r="M150" s="31" t="n"/>
      <c r="N150" s="31" t="n"/>
      <c r="O150" s="31" t="n"/>
    </row>
    <row r="151" hidden="1" outlineLevel="1" ht="13.5" customHeight="1">
      <c r="C151" s="43" t="inlineStr">
        <is>
          <t>(+) Proceeds from Sale of Property:</t>
        </is>
      </c>
      <c r="D151" s="111" t="n"/>
      <c r="E151" s="111" t="n"/>
      <c r="F151" s="111" t="n">
        <v>0</v>
      </c>
      <c r="G151" s="111" t="n">
        <v>0</v>
      </c>
      <c r="H151" s="111" t="n">
        <v>0</v>
      </c>
      <c r="I151" s="111" t="n">
        <v>0</v>
      </c>
      <c r="J151" s="111" t="n">
        <v>0</v>
      </c>
      <c r="K151" s="111" t="n">
        <v>0</v>
      </c>
      <c r="L151" s="111">
        <f>+L$80/D$112</f>
        <v/>
      </c>
      <c r="M151" s="31" t="n"/>
      <c r="N151" s="31" t="n"/>
      <c r="O151" s="31" t="n"/>
    </row>
    <row r="152" hidden="1" outlineLevel="1" ht="13.5" customHeight="1">
      <c r="C152" s="43" t="inlineStr">
        <is>
          <t>(-) Selling Costs:</t>
        </is>
      </c>
      <c r="D152" s="95">
        <f>+D116</f>
        <v/>
      </c>
      <c r="E152" s="112" t="n"/>
      <c r="F152" s="112" t="n">
        <v>0</v>
      </c>
      <c r="G152" s="112" t="n">
        <v>0</v>
      </c>
      <c r="H152" s="112" t="n">
        <v>0</v>
      </c>
      <c r="I152" s="112" t="n">
        <v>0</v>
      </c>
      <c r="J152" s="112" t="n">
        <v>0</v>
      </c>
      <c r="K152" s="112" t="n">
        <v>0</v>
      </c>
      <c r="L152" s="112">
        <f>-L$151*D$152</f>
        <v/>
      </c>
      <c r="M152" s="31" t="n"/>
      <c r="N152" s="31" t="n"/>
      <c r="O152" s="31" t="n"/>
    </row>
    <row r="153" hidden="1" outlineLevel="1" ht="13.5" customHeight="1">
      <c r="C153" s="43" t="inlineStr">
        <is>
          <t>(+) Cash Flows to Equity Investors:</t>
        </is>
      </c>
      <c r="E153" s="112" t="n"/>
      <c r="F153" s="23">
        <f>+F$92</f>
        <v/>
      </c>
      <c r="G153" s="23">
        <f>+G$92</f>
        <v/>
      </c>
      <c r="H153" s="23">
        <f>+H$92</f>
        <v/>
      </c>
      <c r="I153" s="23">
        <f>+I$92</f>
        <v/>
      </c>
      <c r="J153" s="23">
        <f>+J$92</f>
        <v/>
      </c>
      <c r="K153" s="23">
        <f>+K$92</f>
        <v/>
      </c>
      <c r="L153" s="23">
        <f>+L$92</f>
        <v/>
      </c>
      <c r="M153" s="31" t="n"/>
      <c r="N153" s="31" t="n"/>
      <c r="O153" s="31" t="n"/>
    </row>
    <row r="154" hidden="1" outlineLevel="1" ht="13.5" customHeight="1">
      <c r="C154" s="43" t="inlineStr">
        <is>
          <t>(-) Debt Principal Repayment Upon Exit:</t>
        </is>
      </c>
      <c r="D154" s="112" t="n"/>
      <c r="E154" s="112" t="n"/>
      <c r="F154" s="112" t="n">
        <v>0</v>
      </c>
      <c r="G154" s="112" t="n">
        <v>0</v>
      </c>
      <c r="H154" s="112" t="n">
        <v>0</v>
      </c>
      <c r="I154" s="112" t="n">
        <v>0</v>
      </c>
      <c r="J154" s="112" t="n">
        <v>0</v>
      </c>
      <c r="K154" s="112" t="n">
        <v>0</v>
      </c>
      <c r="L154" s="112">
        <f>-L94</f>
        <v/>
      </c>
      <c r="M154" s="31" t="n"/>
      <c r="N154" s="31" t="n"/>
      <c r="O154" s="31" t="n"/>
    </row>
    <row r="155" hidden="1" outlineLevel="1" ht="13.5" customHeight="1">
      <c r="C155" s="43" t="inlineStr">
        <is>
          <t>(-) Initial Equity Investment:</t>
        </is>
      </c>
      <c r="D155" s="103" t="n"/>
      <c r="E155" s="103">
        <f>-Dashboard!$I$11</f>
        <v/>
      </c>
      <c r="F155" s="112" t="n">
        <v>0</v>
      </c>
      <c r="G155" s="112" t="n">
        <v>0</v>
      </c>
      <c r="H155" s="112" t="n">
        <v>0</v>
      </c>
      <c r="I155" s="112" t="n">
        <v>0</v>
      </c>
      <c r="J155" s="112" t="n">
        <v>0</v>
      </c>
      <c r="K155" s="112" t="n">
        <v>0</v>
      </c>
      <c r="L155" s="112" t="n">
        <v>0</v>
      </c>
      <c r="M155" s="31" t="n"/>
      <c r="N155" s="31" t="n"/>
      <c r="O155" s="31" t="n"/>
    </row>
    <row r="156" hidden="1" outlineLevel="1" ht="13.5" customHeight="1">
      <c r="C156" s="33" t="inlineStr">
        <is>
          <t>Total Cash Flows to Equity (Leveraged IRR):</t>
        </is>
      </c>
      <c r="D156" s="88" t="n"/>
      <c r="E156" s="88">
        <f>+SUM(E151:E155)</f>
        <v/>
      </c>
      <c r="F156" s="88">
        <f>+SUM(F151:F155)</f>
        <v/>
      </c>
      <c r="G156" s="88">
        <f>+SUM(G151:G155)</f>
        <v/>
      </c>
      <c r="H156" s="88">
        <f>+SUM(H151:H155)</f>
        <v/>
      </c>
      <c r="I156" s="88">
        <f>+SUM(I151:I155)</f>
        <v/>
      </c>
      <c r="J156" s="88">
        <f>+SUM(J151:J155)</f>
        <v/>
      </c>
      <c r="K156" s="88">
        <f>+SUM(K151:K155)</f>
        <v/>
      </c>
      <c r="L156" s="88">
        <f>+SUM(L151:L155)</f>
        <v/>
      </c>
      <c r="M156" s="31" t="n"/>
      <c r="N156" s="31" t="n"/>
      <c r="O156" s="31" t="n"/>
    </row>
    <row r="157" hidden="1" outlineLevel="2" ht="13.5" customHeight="1">
      <c r="C157" s="28" t="n"/>
      <c r="D157" s="99" t="n"/>
      <c r="E157" s="99" t="n"/>
      <c r="F157" s="100">
        <f>+F156-F151</f>
        <v/>
      </c>
      <c r="G157" s="100">
        <f>+G156-G151</f>
        <v/>
      </c>
      <c r="H157" s="100">
        <f>+H156-H151</f>
        <v/>
      </c>
      <c r="I157" s="100">
        <f>+I156-I151</f>
        <v/>
      </c>
      <c r="J157" s="100">
        <f>+J156-J151</f>
        <v/>
      </c>
      <c r="K157" s="100">
        <f>+K156-K151</f>
        <v/>
      </c>
      <c r="L157" s="100">
        <f>+L156-L151</f>
        <v/>
      </c>
      <c r="M157" s="31" t="n"/>
      <c r="N157" s="31" t="n"/>
      <c r="O157" s="31" t="n"/>
    </row>
    <row r="158" hidden="1" outlineLevel="1" collapsed="1" ht="5.1" customHeight="1">
      <c r="D158" s="28" t="n"/>
      <c r="E158" s="28" t="n"/>
      <c r="F158" s="100" t="n"/>
      <c r="G158" s="100" t="n"/>
      <c r="H158" s="100" t="n"/>
      <c r="I158" s="100" t="n"/>
      <c r="J158" s="100" t="n"/>
      <c r="K158" s="100" t="n"/>
      <c r="L158" s="100" t="n"/>
      <c r="M158" s="31" t="n"/>
      <c r="N158" s="31" t="n"/>
      <c r="O158" s="31" t="n"/>
    </row>
    <row r="159" hidden="1" outlineLevel="1" ht="13.5" customHeight="1">
      <c r="C159" s="113" t="inlineStr">
        <is>
          <t>Leveraged Internal Rate of Return (IRR):</t>
        </is>
      </c>
      <c r="D159" s="91" t="n"/>
      <c r="E159" s="114">
        <f>+IRR(E156:L156)</f>
        <v/>
      </c>
      <c r="G159" s="100" t="n"/>
      <c r="H159" s="100" t="n"/>
      <c r="I159" s="100" t="n"/>
      <c r="J159" s="100" t="n"/>
      <c r="K159" s="100" t="n"/>
      <c r="L159" s="100" t="n"/>
      <c r="M159" s="31" t="n"/>
      <c r="N159" s="31" t="n"/>
      <c r="O159" s="31" t="n"/>
    </row>
    <row r="160" hidden="1" outlineLevel="1" ht="13.5" customHeight="1">
      <c r="C160" s="115" t="inlineStr">
        <is>
          <t>Levered Cash-on-Cash Multiple:</t>
        </is>
      </c>
      <c r="D160" s="92" t="n"/>
      <c r="E160" s="604">
        <f>+SUM(F151:L154)/-SUM(E155:L155)</f>
        <v/>
      </c>
      <c r="G160" s="100" t="n"/>
      <c r="H160" s="100" t="n"/>
      <c r="I160" s="100" t="n"/>
      <c r="J160" s="100" t="n"/>
      <c r="K160" s="100" t="n"/>
      <c r="L160" s="100" t="n"/>
      <c r="M160" s="31" t="n"/>
      <c r="N160" s="31" t="n"/>
      <c r="O160" s="31" t="n"/>
    </row>
    <row r="161" hidden="1" outlineLevel="1" ht="13.5" customHeight="1"/>
    <row r="162" hidden="1" outlineLevel="1" ht="13.5" customHeight="1">
      <c r="C162" s="32" t="inlineStr">
        <is>
          <t>10 Year Hold IRR</t>
        </is>
      </c>
      <c r="D162" s="32" t="n"/>
      <c r="E162" s="602">
        <f>+'Scenario 0'!E163</f>
        <v/>
      </c>
      <c r="F162" s="602">
        <f>+'Scenario 0'!F163</f>
        <v/>
      </c>
      <c r="G162" s="602">
        <f>+'Scenario 0'!G163</f>
        <v/>
      </c>
      <c r="H162" s="602">
        <f>+'Scenario 0'!H163</f>
        <v/>
      </c>
      <c r="I162" s="602">
        <f>+'Scenario 0'!I163</f>
        <v/>
      </c>
      <c r="J162" s="602">
        <f>+'Scenario 0'!J163</f>
        <v/>
      </c>
      <c r="K162" s="602">
        <f>+'Scenario 0'!K163</f>
        <v/>
      </c>
      <c r="L162" s="602">
        <f>+'Scenario 0'!L163</f>
        <v/>
      </c>
      <c r="M162" s="602">
        <f>+'Scenario 0'!M163</f>
        <v/>
      </c>
      <c r="N162" s="602">
        <f>+'Scenario 0'!N163</f>
        <v/>
      </c>
      <c r="O162" s="602">
        <f>+'Scenario 0'!O163</f>
        <v/>
      </c>
    </row>
    <row r="163" hidden="1" outlineLevel="1" ht="5.1" customHeight="1">
      <c r="C163" s="39" t="n"/>
      <c r="D163" s="109" t="n"/>
      <c r="E163" s="603" t="n"/>
      <c r="F163" s="603" t="n"/>
      <c r="G163" s="603" t="n"/>
      <c r="H163" s="603" t="n"/>
      <c r="I163" s="603" t="n"/>
      <c r="J163" s="603" t="n"/>
      <c r="K163" s="603" t="n"/>
      <c r="L163" s="603" t="n"/>
      <c r="M163" s="603" t="n"/>
      <c r="N163" s="603" t="n"/>
      <c r="O163" s="603" t="n"/>
    </row>
    <row r="164" hidden="1" outlineLevel="1" ht="13.5" customHeight="1">
      <c r="C164" s="28" t="inlineStr">
        <is>
          <t>Project Cash Flows (Unleveraged IRR):</t>
        </is>
      </c>
      <c r="D164" s="28" t="n"/>
      <c r="E164" s="28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</row>
    <row r="165" hidden="1" outlineLevel="1" ht="13.5" customHeight="1">
      <c r="C165" s="43" t="inlineStr">
        <is>
          <t>(+) Proceeds from Sale of Property:</t>
        </is>
      </c>
      <c r="D165" s="111" t="n"/>
      <c r="E165" s="111" t="n"/>
      <c r="F165" s="111" t="n">
        <v>0</v>
      </c>
      <c r="G165" s="111" t="n">
        <v>0</v>
      </c>
      <c r="H165" s="111" t="n">
        <v>0</v>
      </c>
      <c r="I165" s="111" t="n">
        <v>0</v>
      </c>
      <c r="J165" s="111" t="n">
        <v>0</v>
      </c>
      <c r="K165" s="111" t="n">
        <v>0</v>
      </c>
      <c r="L165" s="111" t="n">
        <v>0</v>
      </c>
      <c r="M165" s="111" t="n">
        <v>0</v>
      </c>
      <c r="N165" s="111" t="n">
        <v>0</v>
      </c>
      <c r="O165" s="111">
        <f>+O$80/D$112</f>
        <v/>
      </c>
    </row>
    <row r="166" hidden="1" outlineLevel="1" ht="13.5" customHeight="1">
      <c r="C166" s="43" t="inlineStr">
        <is>
          <t>(-) Selling Costs:</t>
        </is>
      </c>
      <c r="D166" s="95">
        <f>+D116</f>
        <v/>
      </c>
      <c r="E166" s="112" t="n"/>
      <c r="F166" s="112" t="n">
        <v>0</v>
      </c>
      <c r="G166" s="112" t="n">
        <v>0</v>
      </c>
      <c r="H166" s="112" t="n">
        <v>0</v>
      </c>
      <c r="I166" s="112" t="n">
        <v>0</v>
      </c>
      <c r="J166" s="112" t="n">
        <v>0</v>
      </c>
      <c r="K166" s="112" t="n">
        <v>0</v>
      </c>
      <c r="L166" s="112" t="n">
        <v>0</v>
      </c>
      <c r="M166" s="112" t="n">
        <v>0</v>
      </c>
      <c r="N166" s="112" t="n">
        <v>0</v>
      </c>
      <c r="O166" s="112">
        <f>-O$165*D$166</f>
        <v/>
      </c>
    </row>
    <row r="167" hidden="1" outlineLevel="1" ht="13.5" customHeight="1">
      <c r="C167" s="43" t="inlineStr">
        <is>
          <t>(+) Adjusted NOI (Cash Flows to All Investors):</t>
        </is>
      </c>
      <c r="D167" s="112" t="n"/>
      <c r="E167" s="112" t="n"/>
      <c r="F167" s="23">
        <f>+F$88</f>
        <v/>
      </c>
      <c r="G167" s="23">
        <f>+G$88</f>
        <v/>
      </c>
      <c r="H167" s="23">
        <f>+H$88</f>
        <v/>
      </c>
      <c r="I167" s="23">
        <f>+I$88</f>
        <v/>
      </c>
      <c r="J167" s="23">
        <f>+J$88</f>
        <v/>
      </c>
      <c r="K167" s="23">
        <f>+K$88</f>
        <v/>
      </c>
      <c r="L167" s="23">
        <f>+L$88</f>
        <v/>
      </c>
      <c r="M167" s="23">
        <f>+M$88</f>
        <v/>
      </c>
      <c r="N167" s="23">
        <f>+N$88</f>
        <v/>
      </c>
      <c r="O167" s="23">
        <f>+O$88</f>
        <v/>
      </c>
    </row>
    <row r="168" hidden="1" outlineLevel="1" ht="13.5" customHeight="1">
      <c r="C168" s="43" t="inlineStr">
        <is>
          <t>(-) Property Acquisition Price:</t>
        </is>
      </c>
      <c r="E168" s="103">
        <f>-Dashboard!$E$32</f>
        <v/>
      </c>
      <c r="F168" s="112" t="n">
        <v>0</v>
      </c>
      <c r="G168" s="112" t="n">
        <v>0</v>
      </c>
      <c r="H168" s="112" t="n">
        <v>0</v>
      </c>
      <c r="I168" s="112" t="n">
        <v>0</v>
      </c>
      <c r="J168" s="112" t="n">
        <v>0</v>
      </c>
      <c r="K168" s="112" t="n">
        <v>0</v>
      </c>
      <c r="L168" s="112" t="n">
        <v>0</v>
      </c>
      <c r="M168" s="112" t="n">
        <v>0</v>
      </c>
      <c r="N168" s="112" t="n">
        <v>0</v>
      </c>
      <c r="O168" s="112" t="n">
        <v>0</v>
      </c>
    </row>
    <row r="169" hidden="1" outlineLevel="1" ht="13.5" customHeight="1">
      <c r="C169" s="33" t="inlineStr">
        <is>
          <t>Total Project Cash Flows (Unleveraged IRR):</t>
        </is>
      </c>
      <c r="D169" s="38" t="n"/>
      <c r="E169" s="88">
        <f>SUM(E165:E168)</f>
        <v/>
      </c>
      <c r="F169" s="88">
        <f>SUM(F165:F168)</f>
        <v/>
      </c>
      <c r="G169" s="88">
        <f>SUM(G165:G168)</f>
        <v/>
      </c>
      <c r="H169" s="88">
        <f>SUM(H165:H168)</f>
        <v/>
      </c>
      <c r="I169" s="88">
        <f>SUM(I165:I168)</f>
        <v/>
      </c>
      <c r="J169" s="88">
        <f>SUM(J165:J168)</f>
        <v/>
      </c>
      <c r="K169" s="88">
        <f>SUM(K165:K168)</f>
        <v/>
      </c>
      <c r="L169" s="88">
        <f>SUM(L165:L168)</f>
        <v/>
      </c>
      <c r="M169" s="88">
        <f>SUM(M165:M168)</f>
        <v/>
      </c>
      <c r="N169" s="88">
        <f>SUM(N165:N168)</f>
        <v/>
      </c>
      <c r="O169" s="88">
        <f>SUM(O165:O168)</f>
        <v/>
      </c>
    </row>
    <row r="170" hidden="1" outlineLevel="2" ht="13.5" customHeight="1">
      <c r="C170" s="28" t="n"/>
      <c r="E170" s="99" t="n"/>
      <c r="F170" s="100">
        <f>+F169-F165</f>
        <v/>
      </c>
      <c r="G170" s="100">
        <f>+G169-G165</f>
        <v/>
      </c>
      <c r="H170" s="100">
        <f>+H169-H165</f>
        <v/>
      </c>
      <c r="I170" s="100">
        <f>+I169-I165</f>
        <v/>
      </c>
      <c r="J170" s="100">
        <f>+J169-J165</f>
        <v/>
      </c>
      <c r="K170" s="100">
        <f>+K169-K165</f>
        <v/>
      </c>
      <c r="L170" s="100">
        <f>+L169-L165</f>
        <v/>
      </c>
      <c r="M170" s="100">
        <f>+M169-M165</f>
        <v/>
      </c>
      <c r="N170" s="100">
        <f>+N169-N165</f>
        <v/>
      </c>
      <c r="O170" s="100">
        <f>+O169-O165</f>
        <v/>
      </c>
    </row>
    <row r="171" hidden="1" outlineLevel="1" collapsed="1" ht="5.1" customHeight="1">
      <c r="D171" s="28" t="n"/>
      <c r="E171" s="28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</row>
    <row r="172" hidden="1" outlineLevel="1" ht="13.5" customHeight="1">
      <c r="C172" s="113" t="inlineStr">
        <is>
          <t>Unlevered IRR:</t>
        </is>
      </c>
      <c r="D172" s="91" t="n"/>
      <c r="E172" s="114">
        <f>+IRR(E169:O169)</f>
        <v/>
      </c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</row>
    <row r="173" hidden="1" outlineLevel="1" ht="13.5" customHeight="1">
      <c r="C173" s="115" t="inlineStr">
        <is>
          <t>Unlevered Cash-on-Cash Multiple:</t>
        </is>
      </c>
      <c r="D173" s="92" t="n"/>
      <c r="E173" s="604">
        <f>+SUM(F165:O167)/-SUM(E168:O168)</f>
        <v/>
      </c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</row>
    <row r="174" hidden="1" outlineLevel="1" ht="13.5" customHeight="1">
      <c r="D174" s="28" t="n"/>
      <c r="E174" s="28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</row>
    <row r="175" hidden="1" outlineLevel="1" ht="13.5" customHeight="1">
      <c r="C175" s="28" t="inlineStr">
        <is>
          <t>Cash Flow to Equity Investors (Leveraged IRR):</t>
        </is>
      </c>
      <c r="D175" s="28" t="n"/>
      <c r="E175" s="28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</row>
    <row r="176" hidden="1" outlineLevel="1" ht="13.5" customHeight="1">
      <c r="C176" s="43" t="inlineStr">
        <is>
          <t>(+) Proceeds from Sale of Property:</t>
        </is>
      </c>
      <c r="D176" s="111" t="n"/>
      <c r="E176" s="111" t="n"/>
      <c r="F176" s="111" t="n">
        <v>0</v>
      </c>
      <c r="G176" s="111" t="n">
        <v>0</v>
      </c>
      <c r="H176" s="111" t="n">
        <v>0</v>
      </c>
      <c r="I176" s="111" t="n">
        <v>0</v>
      </c>
      <c r="J176" s="111" t="n">
        <v>0</v>
      </c>
      <c r="K176" s="111" t="n">
        <v>0</v>
      </c>
      <c r="L176" s="111" t="n">
        <v>0</v>
      </c>
      <c r="M176" s="111" t="n">
        <v>0</v>
      </c>
      <c r="N176" s="111" t="n">
        <v>0</v>
      </c>
      <c r="O176" s="111">
        <f>+O$80/D$112</f>
        <v/>
      </c>
    </row>
    <row r="177" hidden="1" outlineLevel="1" ht="13.5" customHeight="1">
      <c r="C177" s="43" t="inlineStr">
        <is>
          <t>(-) Selling Costs:</t>
        </is>
      </c>
      <c r="D177" s="95">
        <f>+D127</f>
        <v/>
      </c>
      <c r="E177" s="112" t="n"/>
      <c r="F177" s="112" t="n">
        <v>0</v>
      </c>
      <c r="G177" s="112" t="n">
        <v>0</v>
      </c>
      <c r="H177" s="112" t="n">
        <v>0</v>
      </c>
      <c r="I177" s="112" t="n">
        <v>0</v>
      </c>
      <c r="J177" s="112" t="n">
        <v>0</v>
      </c>
      <c r="K177" s="112" t="n">
        <v>0</v>
      </c>
      <c r="L177" s="112" t="n">
        <v>0</v>
      </c>
      <c r="M177" s="112" t="n">
        <v>0</v>
      </c>
      <c r="N177" s="112" t="n">
        <v>0</v>
      </c>
      <c r="O177" s="112">
        <f>-O$165*D$166</f>
        <v/>
      </c>
    </row>
    <row r="178" hidden="1" outlineLevel="1" ht="13.5" customHeight="1">
      <c r="C178" s="43" t="inlineStr">
        <is>
          <t>(+) Cash Flows to Equity Investors:</t>
        </is>
      </c>
      <c r="E178" s="112" t="n"/>
      <c r="F178" s="23">
        <f>+F$92</f>
        <v/>
      </c>
      <c r="G178" s="23">
        <f>+G$92</f>
        <v/>
      </c>
      <c r="H178" s="23">
        <f>+H$92</f>
        <v/>
      </c>
      <c r="I178" s="23">
        <f>+I$92</f>
        <v/>
      </c>
      <c r="J178" s="23">
        <f>+J$92</f>
        <v/>
      </c>
      <c r="K178" s="23">
        <f>+K$92</f>
        <v/>
      </c>
      <c r="L178" s="23">
        <f>+L$92</f>
        <v/>
      </c>
      <c r="M178" s="23">
        <f>+M$92</f>
        <v/>
      </c>
      <c r="N178" s="23">
        <f>+N$92</f>
        <v/>
      </c>
      <c r="O178" s="23">
        <f>+O$92</f>
        <v/>
      </c>
    </row>
    <row r="179" hidden="1" outlineLevel="1" ht="13.5" customHeight="1">
      <c r="C179" s="43" t="inlineStr">
        <is>
          <t>(-) Debt Principal Repayment Upon Exit:</t>
        </is>
      </c>
      <c r="D179" s="112" t="n"/>
      <c r="E179" s="112" t="n"/>
      <c r="F179" s="112" t="n">
        <v>0</v>
      </c>
      <c r="G179" s="112" t="n">
        <v>0</v>
      </c>
      <c r="H179" s="112" t="n">
        <v>0</v>
      </c>
      <c r="I179" s="112" t="n">
        <v>0</v>
      </c>
      <c r="J179" s="112" t="n">
        <v>0</v>
      </c>
      <c r="K179" s="112" t="n">
        <v>0</v>
      </c>
      <c r="L179" s="112" t="n">
        <v>0</v>
      </c>
      <c r="M179" s="112" t="n">
        <v>0</v>
      </c>
      <c r="N179" s="112" t="n">
        <v>0</v>
      </c>
      <c r="O179" s="112">
        <f>-O94</f>
        <v/>
      </c>
    </row>
    <row r="180" hidden="1" outlineLevel="1" ht="13.5" customHeight="1">
      <c r="C180" s="43" t="inlineStr">
        <is>
          <t>(-) Initial Equity Investment:</t>
        </is>
      </c>
      <c r="D180" s="103" t="n"/>
      <c r="E180" s="103">
        <f>-Dashboard!$I$11</f>
        <v/>
      </c>
      <c r="F180" s="112" t="n">
        <v>0</v>
      </c>
      <c r="G180" s="112" t="n">
        <v>0</v>
      </c>
      <c r="H180" s="112" t="n">
        <v>0</v>
      </c>
      <c r="I180" s="112" t="n">
        <v>0</v>
      </c>
      <c r="J180" s="112" t="n">
        <v>0</v>
      </c>
      <c r="K180" s="112" t="n">
        <v>0</v>
      </c>
      <c r="L180" s="112" t="n">
        <v>0</v>
      </c>
      <c r="M180" s="112" t="n">
        <v>0</v>
      </c>
      <c r="N180" s="112" t="n">
        <v>0</v>
      </c>
      <c r="O180" s="112" t="n">
        <v>0</v>
      </c>
    </row>
    <row r="181" hidden="1" outlineLevel="1" ht="13.5" customHeight="1">
      <c r="C181" s="33" t="inlineStr">
        <is>
          <t>Total Cash Flows to Equity (Leveraged IRR):</t>
        </is>
      </c>
      <c r="D181" s="88" t="n"/>
      <c r="E181" s="88">
        <f>+SUM(E176:E180)</f>
        <v/>
      </c>
      <c r="F181" s="88">
        <f>+SUM(F176:F180)</f>
        <v/>
      </c>
      <c r="G181" s="88">
        <f>+SUM(G176:G180)</f>
        <v/>
      </c>
      <c r="H181" s="88">
        <f>+SUM(H176:H180)</f>
        <v/>
      </c>
      <c r="I181" s="88">
        <f>+SUM(I176:I180)</f>
        <v/>
      </c>
      <c r="J181" s="88">
        <f>+SUM(J176:J180)</f>
        <v/>
      </c>
      <c r="K181" s="88">
        <f>+SUM(K176:K180)</f>
        <v/>
      </c>
      <c r="L181" s="88">
        <f>+SUM(L176:L180)</f>
        <v/>
      </c>
      <c r="M181" s="88">
        <f>+SUM(M176:M180)</f>
        <v/>
      </c>
      <c r="N181" s="88">
        <f>+SUM(N176:N180)</f>
        <v/>
      </c>
      <c r="O181" s="88">
        <f>+SUM(O176:O180)</f>
        <v/>
      </c>
    </row>
    <row r="182" hidden="1" outlineLevel="2" ht="13.5" customHeight="1">
      <c r="C182" s="28" t="n"/>
      <c r="D182" s="99" t="n"/>
      <c r="E182" s="99" t="n"/>
      <c r="F182" s="100">
        <f>+F181-F176</f>
        <v/>
      </c>
      <c r="G182" s="100">
        <f>+G181-G176</f>
        <v/>
      </c>
      <c r="H182" s="100">
        <f>+H181-H176</f>
        <v/>
      </c>
      <c r="I182" s="100">
        <f>+I181-I176</f>
        <v/>
      </c>
      <c r="J182" s="100">
        <f>+J181-J176</f>
        <v/>
      </c>
      <c r="K182" s="100">
        <f>+K181-K176</f>
        <v/>
      </c>
      <c r="L182" s="100">
        <f>+L181-L176</f>
        <v/>
      </c>
      <c r="M182" s="100">
        <f>+M181-M176</f>
        <v/>
      </c>
      <c r="N182" s="100">
        <f>+N181-N176</f>
        <v/>
      </c>
      <c r="O182" s="100">
        <f>+O181-O176</f>
        <v/>
      </c>
    </row>
    <row r="183" hidden="1" outlineLevel="1" collapsed="1" ht="5.1" customHeight="1">
      <c r="D183" s="28" t="n"/>
      <c r="E183" s="28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</row>
    <row r="184" hidden="1" outlineLevel="1" ht="13.5" customHeight="1">
      <c r="C184" s="113" t="inlineStr">
        <is>
          <t>Leveraged Internal Rate of Return (IRR):</t>
        </is>
      </c>
      <c r="D184" s="91" t="n"/>
      <c r="E184" s="114">
        <f>+IRR(E181:O181)</f>
        <v/>
      </c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</row>
    <row r="185" hidden="1" outlineLevel="1" ht="13.5" customHeight="1">
      <c r="C185" s="115" t="inlineStr">
        <is>
          <t>Levered Cash-on-Cash Multiple:</t>
        </is>
      </c>
      <c r="D185" s="92" t="n"/>
      <c r="E185" s="604">
        <f>+SUM(F176:O179)/-SUM(E180:O180)</f>
        <v/>
      </c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</row>
    <row r="186" collapsed="1" ht="13.5" customHeight="1"/>
  </sheetData>
  <mergeCells count="9">
    <mergeCell ref="H1:H2"/>
    <mergeCell ref="C1:C2"/>
    <mergeCell ref="D1:D2"/>
    <mergeCell ref="G1:G2"/>
    <mergeCell ref="E1:E2"/>
    <mergeCell ref="F1:F2"/>
    <mergeCell ref="I1:I2"/>
    <mergeCell ref="P1:P2"/>
    <mergeCell ref="O1:O2"/>
  </mergeCells>
  <pageMargins left="0.7" right="0.7" top="0.75" bottom="0.75" header="0.3" footer="0.3"/>
  <pageSetup orientation="landscape" scale="17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5"/>
  <sheetViews>
    <sheetView showGridLines="1" view="normal" zoomScale="80" zoomScaleNormal="100" zoomScaleSheetLayoutView="80" workbookViewId="0">
      <selection activeCell="C4" sqref="C4"/>
    </sheetView>
  </sheetViews>
  <sheetFormatPr baseColWidth="8" defaultColWidth="9.140625" defaultRowHeight="13.5" customHeight="1" outlineLevelRow="2"/>
  <cols>
    <col width="11.85546875" customWidth="1" style="13" min="1" max="1"/>
    <col width="1.7109375" customWidth="1" style="13" min="2" max="2"/>
    <col width="36" customWidth="1" style="13" min="3" max="3"/>
    <col width="13.5703125" bestFit="1" customWidth="1" style="13" min="4" max="5"/>
    <col width="13.5703125" customWidth="1" style="13" min="6" max="6"/>
    <col width="13" bestFit="1" customWidth="1" style="13" min="7" max="8"/>
    <col width="13" customWidth="1" style="13" min="9" max="10"/>
    <col hidden="1" outlineLevel="1" width="13" customWidth="1" style="13" min="11" max="15"/>
    <col collapsed="1" width="5.7109375" customWidth="1" style="13" min="16" max="16"/>
    <col width="9.140625" customWidth="1" style="13" min="17" max="16384"/>
  </cols>
  <sheetData>
    <row r="1" ht="15" customHeight="1">
      <c r="C1" s="570" t="inlineStr">
        <is>
          <t>Underwriting Model Scenario 2</t>
        </is>
      </c>
      <c r="D1" s="570" t="n"/>
      <c r="E1" s="570" t="n"/>
      <c r="F1" s="570" t="n"/>
      <c r="G1" s="570" t="n"/>
      <c r="H1" s="570" t="n"/>
      <c r="I1" s="570" t="n"/>
      <c r="J1" s="569" t="n"/>
      <c r="K1" s="569" t="n"/>
      <c r="L1" s="569" t="n"/>
      <c r="M1" s="569" t="n"/>
      <c r="N1" s="569" t="n"/>
      <c r="O1" s="570" t="n"/>
      <c r="P1" s="570" t="n"/>
    </row>
    <row r="2" ht="15.75" customHeight="1" thickBot="1">
      <c r="C2" s="582" t="n"/>
      <c r="D2" s="582" t="n"/>
      <c r="E2" s="582" t="n"/>
      <c r="F2" s="582" t="n"/>
      <c r="G2" s="582" t="n"/>
      <c r="H2" s="582" t="n"/>
      <c r="I2" s="582" t="n"/>
      <c r="J2" s="570" t="n"/>
      <c r="K2" s="570" t="n"/>
      <c r="L2" s="570" t="n"/>
      <c r="M2" s="570" t="n"/>
      <c r="N2" s="570" t="n"/>
      <c r="O2" s="582" t="n"/>
      <c r="P2" s="582" t="n"/>
    </row>
    <row r="3" ht="13.5" customHeight="1" thickTop="1">
      <c r="C3" s="104" t="n"/>
      <c r="D3" s="221" t="inlineStr">
        <is>
          <t>Year</t>
        </is>
      </c>
      <c r="E3" s="221">
        <f>+'Scenario 0'!E3</f>
        <v/>
      </c>
      <c r="F3" s="221">
        <f>+'Scenario 0'!F3</f>
        <v/>
      </c>
      <c r="G3" s="221">
        <f>+'Scenario 0'!G3</f>
        <v/>
      </c>
      <c r="H3" s="221">
        <f>+'Scenario 0'!H3</f>
        <v/>
      </c>
      <c r="I3" s="221">
        <f>+'Scenario 0'!I3</f>
        <v/>
      </c>
      <c r="J3" s="221">
        <f>+'Scenario 0'!J3</f>
        <v/>
      </c>
      <c r="K3" s="221">
        <f>+'Scenario 0'!K3</f>
        <v/>
      </c>
      <c r="L3" s="221">
        <f>+'Scenario 0'!L3</f>
        <v/>
      </c>
      <c r="M3" s="221">
        <f>+'Scenario 0'!M3</f>
        <v/>
      </c>
      <c r="N3" s="221">
        <f>+'Scenario 0'!N3</f>
        <v/>
      </c>
      <c r="O3" s="221">
        <f>+'Scenario 0'!O3</f>
        <v/>
      </c>
      <c r="P3" s="104" t="n"/>
    </row>
    <row r="4" ht="17.45" customHeight="1">
      <c r="C4" s="209">
        <f>'Unit Mix'!$W$3</f>
        <v/>
      </c>
      <c r="D4" s="210" t="n"/>
      <c r="E4" s="37" t="n"/>
      <c r="F4" s="583" t="n"/>
      <c r="G4" s="583" t="n"/>
      <c r="H4" s="583" t="n"/>
      <c r="I4" s="583" t="n"/>
      <c r="J4" s="583" t="n"/>
      <c r="K4" s="583" t="n"/>
      <c r="L4" s="583" t="n"/>
      <c r="M4" s="583" t="n"/>
      <c r="N4" s="583" t="n"/>
      <c r="O4" s="583" t="n"/>
    </row>
    <row r="5" ht="5.1" customHeight="1"/>
    <row r="6" ht="13.5" customHeight="1">
      <c r="C6" s="211" t="inlineStr">
        <is>
          <t>Income Statement</t>
        </is>
      </c>
      <c r="D6" s="36" t="n"/>
      <c r="E6" s="584">
        <f>+'Scenario 0'!E6</f>
        <v/>
      </c>
      <c r="F6" s="584">
        <f>+'Scenario 0'!F6</f>
        <v/>
      </c>
      <c r="G6" s="584">
        <f>+'Scenario 0'!G6</f>
        <v/>
      </c>
      <c r="H6" s="584">
        <f>+'Scenario 0'!H6</f>
        <v/>
      </c>
      <c r="I6" s="584">
        <f>+'Scenario 0'!I6</f>
        <v/>
      </c>
      <c r="J6" s="584">
        <f>+'Scenario 0'!J6</f>
        <v/>
      </c>
      <c r="K6" s="584">
        <f>+'Scenario 0'!K6</f>
        <v/>
      </c>
      <c r="L6" s="584">
        <f>+'Scenario 0'!L6</f>
        <v/>
      </c>
      <c r="M6" s="584">
        <f>+'Scenario 0'!M6</f>
        <v/>
      </c>
      <c r="N6" s="584">
        <f>+'Scenario 0'!N6</f>
        <v/>
      </c>
      <c r="O6" s="584">
        <f>+'Scenario 0'!O6</f>
        <v/>
      </c>
    </row>
    <row r="7" ht="13.5" customHeight="1">
      <c r="C7" s="13" t="inlineStr">
        <is>
          <t>Gross Potential Income</t>
        </is>
      </c>
      <c r="E7" s="249">
        <f>+'Scenario 0'!$E$7</f>
        <v/>
      </c>
      <c r="F7" s="40">
        <f>+'Unit Mix'!AB26</f>
        <v/>
      </c>
      <c r="G7" s="40">
        <f>+'Unit Mix'!AB49</f>
        <v/>
      </c>
      <c r="H7" s="40">
        <f>+'Unit Mix'!AB72</f>
        <v/>
      </c>
      <c r="I7" s="40">
        <f>+'Unit Mix'!AB95</f>
        <v/>
      </c>
      <c r="J7" s="40">
        <f>+'Unit Mix'!AB118</f>
        <v/>
      </c>
      <c r="K7" s="40">
        <f>+'Unit Mix'!AB141</f>
        <v/>
      </c>
      <c r="L7" s="40">
        <f>+'Unit Mix'!AB164</f>
        <v/>
      </c>
      <c r="M7" s="40">
        <f>+'Unit Mix'!AB187</f>
        <v/>
      </c>
      <c r="N7" s="40">
        <f>+'Unit Mix'!AB210</f>
        <v/>
      </c>
      <c r="O7" s="40">
        <f>+'Unit Mix'!AB233</f>
        <v/>
      </c>
    </row>
    <row r="8" ht="13.5" customHeight="1">
      <c r="C8" s="13" t="inlineStr">
        <is>
          <t>Vacancy Factor</t>
        </is>
      </c>
      <c r="D8" s="42">
        <f>+Dashboard!$P$10</f>
        <v/>
      </c>
      <c r="E8" s="605">
        <f>+'Scenario 0'!$E$8</f>
        <v/>
      </c>
      <c r="F8" s="579">
        <f>+F7*$D$8</f>
        <v/>
      </c>
      <c r="G8" s="579">
        <f>+G7*$D$8</f>
        <v/>
      </c>
      <c r="H8" s="579">
        <f>+H7*$D$8</f>
        <v/>
      </c>
      <c r="I8" s="579">
        <f>+I7*$D$8</f>
        <v/>
      </c>
      <c r="J8" s="579">
        <f>+J7*$D$8</f>
        <v/>
      </c>
      <c r="K8" s="579">
        <f>+K7*$D$8</f>
        <v/>
      </c>
      <c r="L8" s="579">
        <f>+L7*$D$8</f>
        <v/>
      </c>
      <c r="M8" s="579">
        <f>+M7*$D$8</f>
        <v/>
      </c>
      <c r="N8" s="579">
        <f>+N7*$D$8</f>
        <v/>
      </c>
      <c r="O8" s="579">
        <f>+O7*$D$8</f>
        <v/>
      </c>
    </row>
    <row r="9" ht="13.5" customHeight="1">
      <c r="C9" s="33" t="inlineStr">
        <is>
          <t>Net Rental Income</t>
        </is>
      </c>
      <c r="D9" s="33" t="n"/>
      <c r="E9" s="224">
        <f>+E7-E8</f>
        <v/>
      </c>
      <c r="F9" s="34">
        <f>+F7-F8</f>
        <v/>
      </c>
      <c r="G9" s="34">
        <f>+G7-G8</f>
        <v/>
      </c>
      <c r="H9" s="34">
        <f>+H7-H8</f>
        <v/>
      </c>
      <c r="I9" s="34">
        <f>+I7-I8</f>
        <v/>
      </c>
      <c r="J9" s="34">
        <f>+J7-J8</f>
        <v/>
      </c>
      <c r="K9" s="34">
        <f>+K7-K8</f>
        <v/>
      </c>
      <c r="L9" s="34">
        <f>+L7-L8</f>
        <v/>
      </c>
      <c r="M9" s="34">
        <f>+M7-M8</f>
        <v/>
      </c>
      <c r="N9" s="34">
        <f>+N7-N8</f>
        <v/>
      </c>
      <c r="O9" s="34">
        <f>+O7-O8</f>
        <v/>
      </c>
    </row>
    <row r="10" ht="5.1" customHeight="1">
      <c r="C10" s="28" t="n"/>
      <c r="D10" s="28" t="n"/>
      <c r="E10" s="225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</row>
    <row r="11" ht="13.5" customHeight="1">
      <c r="C11" s="13" t="inlineStr">
        <is>
          <t>Laundry and Other Income</t>
        </is>
      </c>
      <c r="D11" s="42">
        <f>+Dashboard!$P$14</f>
        <v/>
      </c>
      <c r="E11" s="249">
        <f>+'Scenario 0'!$E$11</f>
        <v/>
      </c>
      <c r="F11" s="103">
        <f>+Dashboard!$O$14</f>
        <v/>
      </c>
      <c r="G11" s="112">
        <f>+F11*(1+$D11)</f>
        <v/>
      </c>
      <c r="H11" s="112">
        <f>+G11*(1+$D11)</f>
        <v/>
      </c>
      <c r="I11" s="112">
        <f>+H11*(1+$D11)</f>
        <v/>
      </c>
      <c r="J11" s="112">
        <f>+I11*(1+$D11)</f>
        <v/>
      </c>
      <c r="K11" s="112">
        <f>+J11*(1+$D11)</f>
        <v/>
      </c>
      <c r="L11" s="112">
        <f>+K11*(1+$D11)</f>
        <v/>
      </c>
      <c r="M11" s="112">
        <f>+L11*(1+$D11)</f>
        <v/>
      </c>
      <c r="N11" s="112">
        <f>+M11*(1+$D11)</f>
        <v/>
      </c>
      <c r="O11" s="112">
        <f>+N11*(1+$D11)</f>
        <v/>
      </c>
    </row>
    <row r="12" ht="13.5" customHeight="1">
      <c r="C12" s="33" t="inlineStr">
        <is>
          <t>Total Gross Income</t>
        </is>
      </c>
      <c r="D12" s="34" t="n"/>
      <c r="E12" s="224">
        <f>+SUM(E9:E11)</f>
        <v/>
      </c>
      <c r="F12" s="34">
        <f>+SUM(F9:F11)</f>
        <v/>
      </c>
      <c r="G12" s="34">
        <f>+SUM(G9:G11)</f>
        <v/>
      </c>
      <c r="H12" s="34">
        <f>+SUM(H9:H11)</f>
        <v/>
      </c>
      <c r="I12" s="34">
        <f>+SUM(I9:I11)</f>
        <v/>
      </c>
      <c r="J12" s="34">
        <f>+SUM(J9:J11)</f>
        <v/>
      </c>
      <c r="K12" s="34">
        <f>+SUM(K9:K11)</f>
        <v/>
      </c>
      <c r="L12" s="34">
        <f>+SUM(L9:L11)</f>
        <v/>
      </c>
      <c r="M12" s="34">
        <f>+SUM(M9:M11)</f>
        <v/>
      </c>
      <c r="N12" s="34">
        <f>+SUM(N9:N11)</f>
        <v/>
      </c>
      <c r="O12" s="34">
        <f>+SUM(O9:O11)</f>
        <v/>
      </c>
    </row>
    <row r="13" ht="13.5" customHeight="1">
      <c r="C13" s="104" t="inlineStr">
        <is>
          <t>Gross Income Growth</t>
        </is>
      </c>
      <c r="D13" s="66" t="n"/>
      <c r="E13" s="259" t="inlineStr">
        <is>
          <t>--</t>
        </is>
      </c>
      <c r="F13" s="105">
        <f>+F12/E12-1</f>
        <v/>
      </c>
      <c r="G13" s="105">
        <f>+G12/F12-1</f>
        <v/>
      </c>
      <c r="H13" s="105">
        <f>+H12/G12-1</f>
        <v/>
      </c>
      <c r="I13" s="105">
        <f>+I12/H12-1</f>
        <v/>
      </c>
      <c r="J13" s="105">
        <f>+J12/I12-1</f>
        <v/>
      </c>
      <c r="K13" s="105">
        <f>+K12/J12-1</f>
        <v/>
      </c>
      <c r="L13" s="105">
        <f>+L12/K12-1</f>
        <v/>
      </c>
      <c r="M13" s="105">
        <f>+M12/L12-1</f>
        <v/>
      </c>
      <c r="N13" s="105">
        <f>+N12/M12-1</f>
        <v/>
      </c>
      <c r="O13" s="105">
        <f>+O12/N12-1</f>
        <v/>
      </c>
    </row>
    <row r="14" ht="5.1" customHeight="1">
      <c r="E14" s="226" t="n"/>
    </row>
    <row r="15" ht="13.5" customHeight="1">
      <c r="C15" s="28" t="inlineStr">
        <is>
          <t>Opertating Expenses</t>
        </is>
      </c>
      <c r="E15" s="226" t="n"/>
    </row>
    <row r="16" hidden="1" outlineLevel="1" ht="5.1" customHeight="1">
      <c r="C16" s="28" t="n"/>
      <c r="E16" s="226" t="n"/>
    </row>
    <row r="17" hidden="1" outlineLevel="1" ht="13.5" customHeight="1">
      <c r="A17" s="132" t="inlineStr">
        <is>
          <t>BAD</t>
        </is>
      </c>
      <c r="C17" s="206" t="n"/>
      <c r="D17" s="205" t="n"/>
      <c r="E17" s="240" t="n"/>
      <c r="F17" s="205" t="n"/>
      <c r="G17" s="205" t="n"/>
      <c r="H17" s="205" t="n"/>
      <c r="I17" s="205" t="n"/>
      <c r="J17" s="205" t="n"/>
      <c r="K17" s="205" t="n"/>
      <c r="L17" s="205" t="n"/>
      <c r="M17" s="205" t="n"/>
      <c r="N17" s="205" t="n"/>
      <c r="O17" s="205" t="n"/>
    </row>
    <row r="18" collapsed="1" ht="13.5" customHeight="1">
      <c r="C18" s="13" t="inlineStr">
        <is>
          <t>Bad Debt</t>
        </is>
      </c>
      <c r="D18" s="42" t="n"/>
      <c r="E18" s="249">
        <f>+'Scenario 0'!E18</f>
        <v/>
      </c>
      <c r="F18" s="40">
        <f>+'Scenario 0'!F18</f>
        <v/>
      </c>
      <c r="G18" s="40">
        <f>+'Scenario 0'!G18</f>
        <v/>
      </c>
      <c r="H18" s="40">
        <f>+'Scenario 0'!H18</f>
        <v/>
      </c>
      <c r="I18" s="40">
        <f>+'Scenario 0'!I18</f>
        <v/>
      </c>
      <c r="J18" s="40">
        <f>+'Scenario 0'!J18</f>
        <v/>
      </c>
      <c r="K18" s="40">
        <f>+'Scenario 0'!K18</f>
        <v/>
      </c>
      <c r="L18" s="40">
        <f>+'Scenario 0'!L18</f>
        <v/>
      </c>
      <c r="M18" s="40">
        <f>+'Scenario 0'!M18</f>
        <v/>
      </c>
      <c r="N18" s="40">
        <f>+'Scenario 0'!N18</f>
        <v/>
      </c>
      <c r="O18" s="40">
        <f>+'Scenario 0'!O18</f>
        <v/>
      </c>
    </row>
    <row r="19" hidden="1" outlineLevel="1" ht="13.5" customHeight="1">
      <c r="D19" s="42" t="n"/>
      <c r="E19" s="249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</row>
    <row r="20" hidden="1" outlineLevel="1" ht="13.5" customHeight="1">
      <c r="A20" s="132" t="inlineStr">
        <is>
          <t>RES</t>
        </is>
      </c>
      <c r="C20" s="206" t="n"/>
      <c r="D20" s="205" t="n"/>
      <c r="E20" s="248" t="n"/>
      <c r="F20" s="200" t="n"/>
      <c r="G20" s="200" t="n"/>
      <c r="H20" s="200" t="n"/>
      <c r="I20" s="200" t="n"/>
      <c r="J20" s="200" t="n"/>
      <c r="K20" s="200" t="n"/>
      <c r="L20" s="200" t="n"/>
      <c r="M20" s="200" t="n"/>
      <c r="N20" s="200" t="n"/>
      <c r="O20" s="200" t="n"/>
    </row>
    <row r="21" hidden="1" outlineLevel="1" ht="13.5" customHeight="1">
      <c r="A21" s="132" t="inlineStr">
        <is>
          <t>COM</t>
        </is>
      </c>
      <c r="C21" s="207" t="n"/>
      <c r="D21" s="205" t="n"/>
      <c r="E21" s="606" t="n"/>
      <c r="F21" s="587" t="n"/>
      <c r="G21" s="587" t="n"/>
      <c r="H21" s="587" t="n"/>
      <c r="I21" s="587" t="n"/>
      <c r="J21" s="587" t="n"/>
      <c r="K21" s="587" t="n"/>
      <c r="L21" s="587" t="n"/>
      <c r="M21" s="587" t="n"/>
      <c r="N21" s="587" t="n"/>
      <c r="O21" s="587" t="n"/>
    </row>
    <row r="22" collapsed="1" ht="13.5" customHeight="1">
      <c r="C22" s="13" t="inlineStr">
        <is>
          <t>Total Replacement Reserves</t>
        </is>
      </c>
      <c r="E22" s="592">
        <f>+'Scenario 0'!E22</f>
        <v/>
      </c>
      <c r="F22" s="593">
        <f>+'Scenario 0'!F22</f>
        <v/>
      </c>
      <c r="G22" s="593">
        <f>+'Scenario 0'!G22</f>
        <v/>
      </c>
      <c r="H22" s="593">
        <f>+'Scenario 0'!H22</f>
        <v/>
      </c>
      <c r="I22" s="593">
        <f>+'Scenario 0'!I22</f>
        <v/>
      </c>
      <c r="J22" s="593">
        <f>+'Scenario 0'!J22</f>
        <v/>
      </c>
      <c r="K22" s="593">
        <f>+'Scenario 0'!K22</f>
        <v/>
      </c>
      <c r="L22" s="593">
        <f>+'Scenario 0'!L22</f>
        <v/>
      </c>
      <c r="M22" s="593">
        <f>+'Scenario 0'!M22</f>
        <v/>
      </c>
      <c r="N22" s="593">
        <f>+'Scenario 0'!N22</f>
        <v/>
      </c>
      <c r="O22" s="593">
        <f>+'Scenario 0'!O22</f>
        <v/>
      </c>
    </row>
    <row r="23" hidden="1" outlineLevel="1" ht="13.5" customHeight="1">
      <c r="E23" s="592" t="n"/>
      <c r="F23" s="593" t="n"/>
      <c r="G23" s="593" t="n"/>
      <c r="H23" s="593" t="n"/>
      <c r="I23" s="593" t="n"/>
      <c r="J23" s="593" t="n"/>
      <c r="K23" s="593" t="n"/>
      <c r="L23" s="593" t="n"/>
      <c r="M23" s="593" t="n"/>
      <c r="N23" s="593" t="n"/>
      <c r="O23" s="593" t="n"/>
    </row>
    <row r="24" hidden="1" outlineLevel="1" ht="13.5" customHeight="1">
      <c r="A24" s="132" t="inlineStr">
        <is>
          <t>MAN</t>
        </is>
      </c>
      <c r="C24" s="206" t="n"/>
      <c r="D24" s="199" t="n"/>
      <c r="E24" s="248" t="n"/>
      <c r="F24" s="200" t="n"/>
      <c r="G24" s="200" t="n"/>
      <c r="H24" s="200" t="n"/>
      <c r="I24" s="200" t="n"/>
      <c r="J24" s="200" t="n"/>
      <c r="K24" s="200" t="n"/>
      <c r="L24" s="200" t="n"/>
      <c r="M24" s="200" t="n"/>
      <c r="N24" s="200" t="n"/>
      <c r="O24" s="200" t="n"/>
    </row>
    <row r="25" hidden="1" outlineLevel="1" ht="13.5" customHeight="1">
      <c r="A25" s="132" t="inlineStr">
        <is>
          <t>ASS</t>
        </is>
      </c>
      <c r="C25" s="207" t="n"/>
      <c r="D25" s="199" t="n"/>
      <c r="E25" s="606" t="n"/>
      <c r="F25" s="587" t="n"/>
      <c r="G25" s="587" t="n"/>
      <c r="H25" s="587" t="n"/>
      <c r="I25" s="587" t="n"/>
      <c r="J25" s="587" t="n"/>
      <c r="K25" s="587" t="n"/>
      <c r="L25" s="587" t="n"/>
      <c r="M25" s="587" t="n"/>
      <c r="N25" s="587" t="n"/>
      <c r="O25" s="587" t="n"/>
    </row>
    <row r="26" hidden="1" outlineLevel="1" ht="13.5" customHeight="1">
      <c r="A26" s="132" t="inlineStr">
        <is>
          <t>PAY</t>
        </is>
      </c>
      <c r="C26" s="207" t="n"/>
      <c r="D26" s="199" t="n"/>
      <c r="E26" s="606" t="n"/>
      <c r="F26" s="587" t="n"/>
      <c r="G26" s="587" t="n"/>
      <c r="H26" s="587" t="n"/>
      <c r="I26" s="587" t="n"/>
      <c r="J26" s="587" t="n"/>
      <c r="K26" s="587" t="n"/>
      <c r="L26" s="587" t="n"/>
      <c r="M26" s="587" t="n"/>
      <c r="N26" s="587" t="n"/>
      <c r="O26" s="587" t="n"/>
    </row>
    <row r="27" hidden="1" outlineLevel="1" ht="13.5" customHeight="1">
      <c r="A27" s="132" t="inlineStr">
        <is>
          <t>MAIT</t>
        </is>
      </c>
      <c r="C27" s="207" t="n"/>
      <c r="D27" s="199" t="n"/>
      <c r="E27" s="606" t="n"/>
      <c r="F27" s="587" t="n"/>
      <c r="G27" s="587" t="n"/>
      <c r="H27" s="587" t="n"/>
      <c r="I27" s="587" t="n"/>
      <c r="J27" s="587" t="n"/>
      <c r="K27" s="587" t="n"/>
      <c r="L27" s="587" t="n"/>
      <c r="M27" s="587" t="n"/>
      <c r="N27" s="587" t="n"/>
      <c r="O27" s="587" t="n"/>
    </row>
    <row r="28" collapsed="1" ht="13.5" customHeight="1">
      <c r="C28" s="13" t="inlineStr">
        <is>
          <t>Payroll</t>
        </is>
      </c>
      <c r="E28" s="592">
        <f>+'Scenario 0'!E29</f>
        <v/>
      </c>
      <c r="F28" s="593">
        <f>+'Scenario 0'!F29</f>
        <v/>
      </c>
      <c r="G28" s="593">
        <f>+'Scenario 0'!G29</f>
        <v/>
      </c>
      <c r="H28" s="593">
        <f>+'Scenario 0'!H29</f>
        <v/>
      </c>
      <c r="I28" s="593">
        <f>+'Scenario 0'!I29</f>
        <v/>
      </c>
      <c r="J28" s="593">
        <f>+'Scenario 0'!J29</f>
        <v/>
      </c>
      <c r="K28" s="593">
        <f>+'Scenario 0'!K29</f>
        <v/>
      </c>
      <c r="L28" s="593">
        <f>+'Scenario 0'!L29</f>
        <v/>
      </c>
      <c r="M28" s="593">
        <f>+'Scenario 0'!M29</f>
        <v/>
      </c>
      <c r="N28" s="593">
        <f>+'Scenario 0'!N29</f>
        <v/>
      </c>
      <c r="O28" s="593">
        <f>+'Scenario 0'!O29</f>
        <v/>
      </c>
    </row>
    <row r="29" hidden="1" outlineLevel="1" ht="13.5" customHeight="1">
      <c r="E29" s="592" t="n"/>
      <c r="F29" s="593" t="n"/>
      <c r="G29" s="593" t="n"/>
      <c r="H29" s="593" t="n"/>
      <c r="I29" s="593" t="n"/>
      <c r="J29" s="593" t="n"/>
      <c r="K29" s="593" t="n"/>
      <c r="L29" s="593" t="n"/>
      <c r="M29" s="593" t="n"/>
      <c r="N29" s="593" t="n"/>
      <c r="O29" s="593" t="n"/>
    </row>
    <row r="30" hidden="1" outlineLevel="1" ht="13.5" customHeight="1">
      <c r="A30" s="132" t="inlineStr">
        <is>
          <t>MGMT</t>
        </is>
      </c>
      <c r="C30" s="208" t="n"/>
      <c r="D30" s="199" t="n"/>
      <c r="E30" s="248" t="n"/>
      <c r="F30" s="200" t="n"/>
      <c r="G30" s="200" t="n"/>
      <c r="H30" s="200" t="n"/>
      <c r="I30" s="200" t="n"/>
      <c r="J30" s="200" t="n"/>
      <c r="K30" s="200" t="n"/>
      <c r="L30" s="200" t="n"/>
      <c r="M30" s="200" t="n"/>
      <c r="N30" s="200" t="n"/>
      <c r="O30" s="200" t="n"/>
    </row>
    <row r="31" hidden="1" outlineLevel="1" ht="13.5" customHeight="1">
      <c r="A31" s="132" t="inlineStr">
        <is>
          <t>LEGAL</t>
        </is>
      </c>
      <c r="C31" s="208" t="n"/>
      <c r="D31" s="199" t="n"/>
      <c r="E31" s="606" t="n"/>
      <c r="F31" s="591" t="n"/>
      <c r="G31" s="587" t="n"/>
      <c r="H31" s="587" t="n"/>
      <c r="I31" s="587" t="n"/>
      <c r="J31" s="587" t="n"/>
      <c r="K31" s="587" t="n"/>
      <c r="L31" s="587" t="n"/>
      <c r="M31" s="587" t="n"/>
      <c r="N31" s="587" t="n"/>
      <c r="O31" s="587" t="n"/>
    </row>
    <row r="32" hidden="1" outlineLevel="1" ht="13.5" customHeight="1">
      <c r="A32" s="132" t="inlineStr">
        <is>
          <t>OFF</t>
        </is>
      </c>
      <c r="C32" s="208" t="n"/>
      <c r="D32" s="199" t="n"/>
      <c r="E32" s="606" t="n"/>
      <c r="F32" s="591" t="n"/>
      <c r="G32" s="587" t="n"/>
      <c r="H32" s="587" t="n"/>
      <c r="I32" s="587" t="n"/>
      <c r="J32" s="587" t="n"/>
      <c r="K32" s="587" t="n"/>
      <c r="L32" s="587" t="n"/>
      <c r="M32" s="587" t="n"/>
      <c r="N32" s="587" t="n"/>
      <c r="O32" s="587" t="n"/>
    </row>
    <row r="33" hidden="1" outlineLevel="1" ht="13.5" customHeight="1">
      <c r="A33" s="132" t="inlineStr">
        <is>
          <t>TRAVEL</t>
        </is>
      </c>
      <c r="C33" s="208" t="n"/>
      <c r="D33" s="199" t="n"/>
      <c r="E33" s="606" t="n"/>
      <c r="F33" s="591" t="n"/>
      <c r="G33" s="587" t="n"/>
      <c r="H33" s="587" t="n"/>
      <c r="I33" s="587" t="n"/>
      <c r="J33" s="587" t="n"/>
      <c r="K33" s="587" t="n"/>
      <c r="L33" s="587" t="n"/>
      <c r="M33" s="587" t="n"/>
      <c r="N33" s="587" t="n"/>
      <c r="O33" s="587" t="n"/>
    </row>
    <row r="34" hidden="1" outlineLevel="1" ht="13.5" customHeight="1">
      <c r="A34" s="132" t="inlineStr">
        <is>
          <t>AUD</t>
        </is>
      </c>
      <c r="C34" s="208" t="n"/>
      <c r="D34" s="199" t="n"/>
      <c r="E34" s="606" t="n"/>
      <c r="F34" s="591" t="n"/>
      <c r="G34" s="587" t="n"/>
      <c r="H34" s="587" t="n"/>
      <c r="I34" s="587" t="n"/>
      <c r="J34" s="587" t="n"/>
      <c r="K34" s="587" t="n"/>
      <c r="L34" s="587" t="n"/>
      <c r="M34" s="587" t="n"/>
      <c r="N34" s="587" t="n"/>
      <c r="O34" s="587" t="n"/>
    </row>
    <row r="35" hidden="1" outlineLevel="1" ht="13.5" customHeight="1">
      <c r="A35" s="132" t="inlineStr">
        <is>
          <t>ADV</t>
        </is>
      </c>
      <c r="C35" s="208" t="n"/>
      <c r="D35" s="199" t="n"/>
      <c r="E35" s="606" t="n"/>
      <c r="F35" s="591" t="n"/>
      <c r="G35" s="587" t="n"/>
      <c r="H35" s="587" t="n"/>
      <c r="I35" s="587" t="n"/>
      <c r="J35" s="587" t="n"/>
      <c r="K35" s="587" t="n"/>
      <c r="L35" s="587" t="n"/>
      <c r="M35" s="587" t="n"/>
      <c r="N35" s="587" t="n"/>
      <c r="O35" s="587" t="n"/>
    </row>
    <row r="36" hidden="1" outlineLevel="1" ht="13.5" customHeight="1">
      <c r="A36" s="132" t="inlineStr">
        <is>
          <t>TRAIN</t>
        </is>
      </c>
      <c r="C36" s="208" t="n"/>
      <c r="D36" s="199" t="n"/>
      <c r="E36" s="606" t="n"/>
      <c r="F36" s="591" t="n"/>
      <c r="G36" s="587" t="n"/>
      <c r="H36" s="587" t="n"/>
      <c r="I36" s="587" t="n"/>
      <c r="J36" s="587" t="n"/>
      <c r="K36" s="587" t="n"/>
      <c r="L36" s="587" t="n"/>
      <c r="M36" s="587" t="n"/>
      <c r="N36" s="587" t="n"/>
      <c r="O36" s="587" t="n"/>
    </row>
    <row r="37" hidden="1" outlineLevel="1" ht="13.5" customHeight="1">
      <c r="A37" s="132" t="inlineStr">
        <is>
          <t>BANK</t>
        </is>
      </c>
      <c r="C37" s="208" t="n"/>
      <c r="D37" s="199" t="n"/>
      <c r="E37" s="606" t="n"/>
      <c r="F37" s="591" t="n"/>
      <c r="G37" s="587" t="n"/>
      <c r="H37" s="587" t="n"/>
      <c r="I37" s="587" t="n"/>
      <c r="J37" s="587" t="n"/>
      <c r="K37" s="587" t="n"/>
      <c r="L37" s="587" t="n"/>
      <c r="M37" s="587" t="n"/>
      <c r="N37" s="587" t="n"/>
      <c r="O37" s="587" t="n"/>
    </row>
    <row r="38" hidden="1" outlineLevel="1" ht="13.5" customHeight="1">
      <c r="A38" s="132" t="inlineStr">
        <is>
          <t>BOOK</t>
        </is>
      </c>
      <c r="C38" s="208" t="n"/>
      <c r="D38" s="199" t="n"/>
      <c r="E38" s="606" t="n"/>
      <c r="F38" s="591" t="n"/>
      <c r="G38" s="587" t="n"/>
      <c r="H38" s="587" t="n"/>
      <c r="I38" s="587" t="n"/>
      <c r="J38" s="587" t="n"/>
      <c r="K38" s="587" t="n"/>
      <c r="L38" s="587" t="n"/>
      <c r="M38" s="587" t="n"/>
      <c r="N38" s="587" t="n"/>
      <c r="O38" s="587" t="n"/>
    </row>
    <row r="39" hidden="1" outlineLevel="1" ht="13.5" customHeight="1">
      <c r="A39" s="132" t="inlineStr">
        <is>
          <t>PAYSERV</t>
        </is>
      </c>
      <c r="C39" s="208" t="n"/>
      <c r="D39" s="199" t="n"/>
      <c r="E39" s="606" t="n"/>
      <c r="F39" s="591" t="n"/>
      <c r="G39" s="587" t="n"/>
      <c r="H39" s="587" t="n"/>
      <c r="I39" s="587" t="n"/>
      <c r="J39" s="587" t="n"/>
      <c r="K39" s="587" t="n"/>
      <c r="L39" s="587" t="n"/>
      <c r="M39" s="587" t="n"/>
      <c r="N39" s="587" t="n"/>
      <c r="O39" s="587" t="n"/>
    </row>
    <row r="40" hidden="1" outlineLevel="1" ht="13.5" customHeight="1">
      <c r="A40" s="132" t="inlineStr">
        <is>
          <t>UNIT</t>
        </is>
      </c>
      <c r="C40" s="208" t="n"/>
      <c r="D40" s="199" t="n"/>
      <c r="E40" s="606" t="n"/>
      <c r="F40" s="591" t="n"/>
      <c r="G40" s="587" t="n"/>
      <c r="H40" s="587" t="n"/>
      <c r="I40" s="587" t="n"/>
      <c r="J40" s="587" t="n"/>
      <c r="K40" s="587" t="n"/>
      <c r="L40" s="587" t="n"/>
      <c r="M40" s="587" t="n"/>
      <c r="N40" s="587" t="n"/>
      <c r="O40" s="587" t="n"/>
    </row>
    <row r="41" hidden="1" outlineLevel="1" ht="13.5" customHeight="1">
      <c r="A41" s="132" t="inlineStr">
        <is>
          <t>MISCAD</t>
        </is>
      </c>
      <c r="C41" s="208" t="n"/>
      <c r="D41" s="199" t="n"/>
      <c r="E41" s="606" t="n"/>
      <c r="F41" s="591" t="n"/>
      <c r="G41" s="587" t="n"/>
      <c r="H41" s="587" t="n"/>
      <c r="I41" s="587" t="n"/>
      <c r="J41" s="587" t="n"/>
      <c r="K41" s="587" t="n"/>
      <c r="L41" s="587" t="n"/>
      <c r="M41" s="587" t="n"/>
      <c r="N41" s="587" t="n"/>
      <c r="O41" s="587" t="n"/>
    </row>
    <row r="42" collapsed="1" ht="13.5" customHeight="1">
      <c r="C42" s="13" t="inlineStr">
        <is>
          <t>Admin Expenses</t>
        </is>
      </c>
      <c r="E42" s="592">
        <f>+'Scenario 0'!E43</f>
        <v/>
      </c>
      <c r="F42" s="593">
        <f>+'Scenario 0'!F43</f>
        <v/>
      </c>
      <c r="G42" s="593">
        <f>+'Scenario 0'!G43</f>
        <v/>
      </c>
      <c r="H42" s="593">
        <f>+'Scenario 0'!H43</f>
        <v/>
      </c>
      <c r="I42" s="593">
        <f>+'Scenario 0'!I43</f>
        <v/>
      </c>
      <c r="J42" s="593">
        <f>+'Scenario 0'!J43</f>
        <v/>
      </c>
      <c r="K42" s="593">
        <f>+'Scenario 0'!K43</f>
        <v/>
      </c>
      <c r="L42" s="593">
        <f>+'Scenario 0'!L43</f>
        <v/>
      </c>
      <c r="M42" s="593">
        <f>+'Scenario 0'!M43</f>
        <v/>
      </c>
      <c r="N42" s="593">
        <f>+'Scenario 0'!N43</f>
        <v/>
      </c>
      <c r="O42" s="593">
        <f>+'Scenario 0'!O43</f>
        <v/>
      </c>
    </row>
    <row r="43" hidden="1" outlineLevel="1" ht="13.5" customHeight="1">
      <c r="E43" s="592" t="n"/>
      <c r="F43" s="593" t="n"/>
      <c r="G43" s="593" t="n"/>
      <c r="H43" s="593" t="n"/>
      <c r="I43" s="593" t="n"/>
      <c r="J43" s="593" t="n"/>
      <c r="K43" s="593" t="n"/>
      <c r="L43" s="593" t="n"/>
      <c r="M43" s="593" t="n"/>
      <c r="N43" s="593" t="n"/>
      <c r="O43" s="593" t="n"/>
    </row>
    <row r="44" hidden="1" outlineLevel="1" ht="13.5" customHeight="1">
      <c r="A44" s="132" t="inlineStr">
        <is>
          <t>ELEC</t>
        </is>
      </c>
      <c r="C44" s="206" t="n"/>
      <c r="D44" s="199" t="n"/>
      <c r="E44" s="248" t="n"/>
      <c r="F44" s="200" t="n"/>
      <c r="G44" s="587" t="n"/>
      <c r="H44" s="587" t="n"/>
      <c r="I44" s="587" t="n"/>
      <c r="J44" s="587" t="n"/>
      <c r="K44" s="587" t="n"/>
      <c r="L44" s="587" t="n"/>
      <c r="M44" s="587" t="n"/>
      <c r="N44" s="587" t="n"/>
      <c r="O44" s="587" t="n"/>
    </row>
    <row r="45" hidden="1" outlineLevel="1" ht="13.5" customHeight="1">
      <c r="A45" s="132" t="inlineStr">
        <is>
          <t>VAC</t>
        </is>
      </c>
      <c r="C45" s="207" t="n"/>
      <c r="D45" s="199" t="n"/>
      <c r="E45" s="606" t="n"/>
      <c r="F45" s="591" t="n"/>
      <c r="G45" s="587" t="n"/>
      <c r="H45" s="587" t="n"/>
      <c r="I45" s="587" t="n"/>
      <c r="J45" s="587" t="n"/>
      <c r="K45" s="587" t="n"/>
      <c r="L45" s="587" t="n"/>
      <c r="M45" s="587" t="n"/>
      <c r="N45" s="587" t="n"/>
      <c r="O45" s="587" t="n"/>
    </row>
    <row r="46" hidden="1" outlineLevel="1" ht="13.5" customHeight="1">
      <c r="A46" s="132" t="inlineStr">
        <is>
          <t>WS</t>
        </is>
      </c>
      <c r="C46" s="207" t="n"/>
      <c r="D46" s="199" t="n"/>
      <c r="E46" s="606" t="n"/>
      <c r="F46" s="591" t="n"/>
      <c r="G46" s="587" t="n"/>
      <c r="H46" s="587" t="n"/>
      <c r="I46" s="587" t="n"/>
      <c r="J46" s="587" t="n"/>
      <c r="K46" s="587" t="n"/>
      <c r="L46" s="587" t="n"/>
      <c r="M46" s="587" t="n"/>
      <c r="N46" s="587" t="n"/>
      <c r="O46" s="587" t="n"/>
    </row>
    <row r="47" hidden="1" outlineLevel="1" ht="13.5" customHeight="1">
      <c r="A47" s="132" t="inlineStr">
        <is>
          <t>GAS</t>
        </is>
      </c>
      <c r="C47" s="207" t="n"/>
      <c r="D47" s="199" t="n"/>
      <c r="E47" s="606" t="n"/>
      <c r="F47" s="591" t="n"/>
      <c r="G47" s="587" t="n"/>
      <c r="H47" s="587" t="n"/>
      <c r="I47" s="587" t="n"/>
      <c r="J47" s="587" t="n"/>
      <c r="K47" s="587" t="n"/>
      <c r="L47" s="587" t="n"/>
      <c r="M47" s="587" t="n"/>
      <c r="N47" s="587" t="n"/>
      <c r="O47" s="587" t="n"/>
    </row>
    <row r="48" hidden="1" outlineLevel="1" ht="13.5" customHeight="1">
      <c r="A48" s="132" t="inlineStr">
        <is>
          <t>CABLE</t>
        </is>
      </c>
      <c r="C48" s="207" t="n"/>
      <c r="D48" s="199" t="n"/>
      <c r="E48" s="606" t="n"/>
      <c r="F48" s="591" t="n"/>
      <c r="G48" s="587" t="n"/>
      <c r="H48" s="587" t="n"/>
      <c r="I48" s="587" t="n"/>
      <c r="J48" s="587" t="n"/>
      <c r="K48" s="587" t="n"/>
      <c r="L48" s="587" t="n"/>
      <c r="M48" s="587" t="n"/>
      <c r="N48" s="587" t="n"/>
      <c r="O48" s="587" t="n"/>
    </row>
    <row r="49" hidden="1" outlineLevel="1" ht="13.5" customHeight="1">
      <c r="A49" s="132" t="inlineStr">
        <is>
          <t>TRASH</t>
        </is>
      </c>
      <c r="C49" s="207" t="n"/>
      <c r="D49" s="199" t="n"/>
      <c r="E49" s="606" t="n"/>
      <c r="F49" s="591" t="n"/>
      <c r="G49" s="587" t="n"/>
      <c r="H49" s="587" t="n"/>
      <c r="I49" s="587" t="n"/>
      <c r="J49" s="587" t="n"/>
      <c r="K49" s="587" t="n"/>
      <c r="L49" s="587" t="n"/>
      <c r="M49" s="587" t="n"/>
      <c r="N49" s="587" t="n"/>
      <c r="O49" s="587" t="n"/>
    </row>
    <row r="50" collapsed="1" ht="13.5" customHeight="1">
      <c r="C50" s="13" t="inlineStr">
        <is>
          <t>Utility Expenses</t>
        </is>
      </c>
      <c r="E50" s="592">
        <f>+'Scenario 0'!E51</f>
        <v/>
      </c>
      <c r="F50" s="593">
        <f>+'Scenario 0'!F51</f>
        <v/>
      </c>
      <c r="G50" s="593">
        <f>+'Scenario 0'!G51</f>
        <v/>
      </c>
      <c r="H50" s="593">
        <f>+'Scenario 0'!H51</f>
        <v/>
      </c>
      <c r="I50" s="593">
        <f>+'Scenario 0'!I51</f>
        <v/>
      </c>
      <c r="J50" s="593">
        <f>+'Scenario 0'!J51</f>
        <v/>
      </c>
      <c r="K50" s="593">
        <f>+'Scenario 0'!K51</f>
        <v/>
      </c>
      <c r="L50" s="593">
        <f>+'Scenario 0'!L51</f>
        <v/>
      </c>
      <c r="M50" s="593">
        <f>+'Scenario 0'!M51</f>
        <v/>
      </c>
      <c r="N50" s="593">
        <f>+'Scenario 0'!N51</f>
        <v/>
      </c>
      <c r="O50" s="593">
        <f>+'Scenario 0'!O51</f>
        <v/>
      </c>
    </row>
    <row r="51" hidden="1" outlineLevel="1" ht="13.5" customHeight="1">
      <c r="E51" s="592" t="n"/>
      <c r="F51" s="593" t="n"/>
      <c r="G51" s="593" t="n"/>
      <c r="H51" s="593" t="n"/>
      <c r="I51" s="593" t="n"/>
      <c r="J51" s="593" t="n"/>
      <c r="K51" s="593" t="n"/>
      <c r="L51" s="593" t="n"/>
      <c r="M51" s="593" t="n"/>
      <c r="N51" s="593" t="n"/>
      <c r="O51" s="593" t="n"/>
    </row>
    <row r="52" hidden="1" outlineLevel="1" ht="13.5" customHeight="1">
      <c r="A52" s="132" t="inlineStr">
        <is>
          <t>RM</t>
        </is>
      </c>
      <c r="C52" s="206" t="n"/>
      <c r="D52" s="199" t="n"/>
      <c r="E52" s="248" t="n"/>
      <c r="F52" s="200" t="n"/>
      <c r="G52" s="587" t="n"/>
      <c r="H52" s="587" t="n"/>
      <c r="I52" s="587" t="n"/>
      <c r="J52" s="587" t="n"/>
      <c r="K52" s="587" t="n"/>
      <c r="L52" s="587" t="n"/>
      <c r="M52" s="587" t="n"/>
      <c r="N52" s="587" t="n"/>
      <c r="O52" s="587" t="n"/>
    </row>
    <row r="53" hidden="1" outlineLevel="1" ht="13.5" customHeight="1">
      <c r="A53" s="132" t="inlineStr">
        <is>
          <t>TURN</t>
        </is>
      </c>
      <c r="C53" s="207" t="n"/>
      <c r="D53" s="199" t="n"/>
      <c r="E53" s="606" t="n"/>
      <c r="F53" s="591" t="n"/>
      <c r="G53" s="587" t="n"/>
      <c r="H53" s="587" t="n"/>
      <c r="I53" s="587" t="n"/>
      <c r="J53" s="587" t="n"/>
      <c r="K53" s="587" t="n"/>
      <c r="L53" s="587" t="n"/>
      <c r="M53" s="587" t="n"/>
      <c r="N53" s="587" t="n"/>
      <c r="O53" s="587" t="n"/>
    </row>
    <row r="54" hidden="1" outlineLevel="1" ht="13.5" customHeight="1">
      <c r="A54" s="132" t="inlineStr">
        <is>
          <t>SUPP</t>
        </is>
      </c>
      <c r="C54" s="207" t="n"/>
      <c r="D54" s="199" t="n"/>
      <c r="E54" s="606" t="n"/>
      <c r="F54" s="591" t="n"/>
      <c r="G54" s="587" t="n"/>
      <c r="H54" s="587" t="n"/>
      <c r="I54" s="587" t="n"/>
      <c r="J54" s="587" t="n"/>
      <c r="K54" s="587" t="n"/>
      <c r="L54" s="587" t="n"/>
      <c r="M54" s="587" t="n"/>
      <c r="N54" s="587" t="n"/>
      <c r="O54" s="587" t="n"/>
    </row>
    <row r="55" hidden="1" outlineLevel="1" ht="13.5" customHeight="1">
      <c r="A55" s="132" t="inlineStr">
        <is>
          <t>APP</t>
        </is>
      </c>
      <c r="C55" s="207" t="n"/>
      <c r="D55" s="199" t="n"/>
      <c r="E55" s="606" t="n"/>
      <c r="F55" s="591" t="n"/>
      <c r="G55" s="587" t="n"/>
      <c r="H55" s="587" t="n"/>
      <c r="I55" s="587" t="n"/>
      <c r="J55" s="587" t="n"/>
      <c r="K55" s="587" t="n"/>
      <c r="L55" s="587" t="n"/>
      <c r="M55" s="587" t="n"/>
      <c r="N55" s="587" t="n"/>
      <c r="O55" s="587" t="n"/>
    </row>
    <row r="56" hidden="1" outlineLevel="1" ht="13.5" customHeight="1">
      <c r="A56" s="132" t="inlineStr">
        <is>
          <t>HP</t>
        </is>
      </c>
      <c r="C56" s="207" t="n"/>
      <c r="D56" s="199" t="n"/>
      <c r="E56" s="606" t="n"/>
      <c r="F56" s="591" t="n"/>
      <c r="G56" s="587" t="n"/>
      <c r="H56" s="587" t="n"/>
      <c r="I56" s="587" t="n"/>
      <c r="J56" s="587" t="n"/>
      <c r="K56" s="587" t="n"/>
      <c r="L56" s="587" t="n"/>
      <c r="M56" s="587" t="n"/>
      <c r="N56" s="587" t="n"/>
      <c r="O56" s="587" t="n"/>
    </row>
    <row r="57" hidden="1" outlineLevel="1" ht="13.5" customHeight="1">
      <c r="A57" s="13" t="inlineStr">
        <is>
          <t>CONC</t>
        </is>
      </c>
      <c r="C57" s="207" t="n"/>
      <c r="D57" s="199" t="n"/>
      <c r="E57" s="606" t="n"/>
      <c r="F57" s="591" t="n"/>
      <c r="G57" s="587" t="n"/>
      <c r="H57" s="587" t="n"/>
      <c r="I57" s="587" t="n"/>
      <c r="J57" s="587" t="n"/>
      <c r="K57" s="587" t="n"/>
      <c r="L57" s="587" t="n"/>
      <c r="M57" s="587" t="n"/>
      <c r="N57" s="587" t="n"/>
      <c r="O57" s="587" t="n"/>
    </row>
    <row r="58" collapsed="1" ht="13.5" customHeight="1">
      <c r="C58" s="13" t="inlineStr">
        <is>
          <t>Operating and Maint.</t>
        </is>
      </c>
      <c r="E58" s="592">
        <f>+'Scenario 0'!E59</f>
        <v/>
      </c>
      <c r="F58" s="593">
        <f>+'Scenario 0'!F59</f>
        <v/>
      </c>
      <c r="G58" s="593">
        <f>+'Scenario 0'!G59</f>
        <v/>
      </c>
      <c r="H58" s="593">
        <f>+'Scenario 0'!H59</f>
        <v/>
      </c>
      <c r="I58" s="593">
        <f>+'Scenario 0'!I59</f>
        <v/>
      </c>
      <c r="J58" s="593">
        <f>+'Scenario 0'!J59</f>
        <v/>
      </c>
      <c r="K58" s="593">
        <f>+'Scenario 0'!K59</f>
        <v/>
      </c>
      <c r="L58" s="593">
        <f>+'Scenario 0'!L59</f>
        <v/>
      </c>
      <c r="M58" s="593">
        <f>+'Scenario 0'!M59</f>
        <v/>
      </c>
      <c r="N58" s="593">
        <f>+'Scenario 0'!N59</f>
        <v/>
      </c>
      <c r="O58" s="593">
        <f>+'Scenario 0'!O59</f>
        <v/>
      </c>
    </row>
    <row r="59" hidden="1" outlineLevel="1" ht="13.5" customHeight="1">
      <c r="E59" s="592" t="n"/>
      <c r="F59" s="593" t="n"/>
      <c r="G59" s="593" t="n"/>
      <c r="H59" s="593" t="n"/>
      <c r="I59" s="593" t="n"/>
      <c r="J59" s="593" t="n"/>
      <c r="K59" s="593" t="n"/>
      <c r="L59" s="593" t="n"/>
      <c r="M59" s="593" t="n"/>
      <c r="N59" s="593" t="n"/>
      <c r="O59" s="593" t="n"/>
    </row>
    <row r="60" hidden="1" outlineLevel="1" ht="13.5" customHeight="1">
      <c r="A60" s="132" t="inlineStr">
        <is>
          <t>LAND</t>
        </is>
      </c>
      <c r="C60" s="206" t="n"/>
      <c r="D60" s="199" t="n"/>
      <c r="E60" s="248" t="n"/>
      <c r="F60" s="200" t="n"/>
      <c r="G60" s="200" t="n"/>
      <c r="H60" s="200" t="n"/>
      <c r="I60" s="200" t="n"/>
      <c r="J60" s="200" t="n"/>
      <c r="K60" s="200" t="n"/>
      <c r="L60" s="200" t="n"/>
      <c r="M60" s="200" t="n"/>
      <c r="N60" s="200" t="n"/>
      <c r="O60" s="200" t="n"/>
    </row>
    <row r="61" hidden="1" outlineLevel="1" ht="13.5" customHeight="1">
      <c r="A61" s="132" t="inlineStr">
        <is>
          <t>FIRE</t>
        </is>
      </c>
      <c r="C61" s="207" t="n"/>
      <c r="D61" s="199" t="n"/>
      <c r="E61" s="606" t="n"/>
      <c r="F61" s="591" t="n"/>
      <c r="G61" s="587" t="n"/>
      <c r="H61" s="587" t="n"/>
      <c r="I61" s="587" t="n"/>
      <c r="J61" s="587" t="n"/>
      <c r="K61" s="587" t="n"/>
      <c r="L61" s="587" t="n"/>
      <c r="M61" s="587" t="n"/>
      <c r="N61" s="587" t="n"/>
      <c r="O61" s="587" t="n"/>
    </row>
    <row r="62" hidden="1" outlineLevel="1" ht="13.5" customHeight="1">
      <c r="A62" s="132" t="inlineStr">
        <is>
          <t>SEC</t>
        </is>
      </c>
      <c r="C62" s="207" t="n"/>
      <c r="D62" s="199" t="n"/>
      <c r="E62" s="606" t="n"/>
      <c r="F62" s="591" t="n"/>
      <c r="G62" s="587" t="n"/>
      <c r="H62" s="587" t="n"/>
      <c r="I62" s="587" t="n"/>
      <c r="J62" s="587" t="n"/>
      <c r="K62" s="587" t="n"/>
      <c r="L62" s="587" t="n"/>
      <c r="M62" s="587" t="n"/>
      <c r="N62" s="587" t="n"/>
      <c r="O62" s="587" t="n"/>
    </row>
    <row r="63" hidden="1" outlineLevel="1" ht="13.5" customHeight="1">
      <c r="A63" s="132" t="inlineStr">
        <is>
          <t>PEST</t>
        </is>
      </c>
      <c r="C63" s="207" t="n"/>
      <c r="D63" s="199" t="n"/>
      <c r="E63" s="606" t="n"/>
      <c r="F63" s="591" t="n"/>
      <c r="G63" s="587" t="n"/>
      <c r="H63" s="587" t="n"/>
      <c r="I63" s="587" t="n"/>
      <c r="J63" s="587" t="n"/>
      <c r="K63" s="587" t="n"/>
      <c r="L63" s="587" t="n"/>
      <c r="M63" s="587" t="n"/>
      <c r="N63" s="587" t="n"/>
      <c r="O63" s="587" t="n"/>
    </row>
    <row r="64" hidden="1" outlineLevel="1" ht="13.5" customHeight="1">
      <c r="A64" s="132" t="inlineStr">
        <is>
          <t>CON</t>
        </is>
      </c>
      <c r="C64" s="207" t="n"/>
      <c r="D64" s="199" t="n"/>
      <c r="E64" s="606" t="n"/>
      <c r="F64" s="591" t="n"/>
      <c r="G64" s="587" t="n"/>
      <c r="H64" s="587" t="n"/>
      <c r="I64" s="587" t="n"/>
      <c r="J64" s="587" t="n"/>
      <c r="K64" s="587" t="n"/>
      <c r="L64" s="587" t="n"/>
      <c r="M64" s="587" t="n"/>
      <c r="N64" s="587" t="n"/>
      <c r="O64" s="587" t="n"/>
    </row>
    <row r="65" hidden="1" outlineLevel="1" ht="13.5" customHeight="1">
      <c r="A65" s="132" t="inlineStr">
        <is>
          <t>ELEV</t>
        </is>
      </c>
      <c r="C65" s="207" t="n"/>
      <c r="D65" s="199" t="n"/>
      <c r="E65" s="606" t="n"/>
      <c r="F65" s="591" t="n"/>
      <c r="G65" s="587" t="n"/>
      <c r="H65" s="587" t="n"/>
      <c r="I65" s="587" t="n"/>
      <c r="J65" s="587" t="n"/>
      <c r="K65" s="587" t="n"/>
      <c r="L65" s="587" t="n"/>
      <c r="M65" s="587" t="n"/>
      <c r="N65" s="587" t="n"/>
      <c r="O65" s="587" t="n"/>
    </row>
    <row r="66" hidden="1" outlineLevel="1" ht="13.5" customHeight="1">
      <c r="A66" s="132" t="inlineStr">
        <is>
          <t>SNOW</t>
        </is>
      </c>
      <c r="C66" s="207" t="n"/>
      <c r="D66" s="199" t="n"/>
      <c r="E66" s="606" t="n"/>
      <c r="F66" s="591" t="n"/>
      <c r="G66" s="587" t="n"/>
      <c r="H66" s="587" t="n"/>
      <c r="I66" s="587" t="n"/>
      <c r="J66" s="587" t="n"/>
      <c r="K66" s="587" t="n"/>
      <c r="L66" s="587" t="n"/>
      <c r="M66" s="587" t="n"/>
      <c r="N66" s="587" t="n"/>
      <c r="O66" s="587" t="n"/>
    </row>
    <row r="67" hidden="1" outlineLevel="1" ht="13.5" customHeight="1">
      <c r="A67" s="132" t="inlineStr">
        <is>
          <t>MISCOP</t>
        </is>
      </c>
      <c r="C67" s="207" t="n"/>
      <c r="D67" s="199" t="n"/>
      <c r="E67" s="606" t="n"/>
      <c r="F67" s="591" t="n"/>
      <c r="G67" s="587" t="n"/>
      <c r="H67" s="587" t="n"/>
      <c r="I67" s="587" t="n"/>
      <c r="J67" s="587" t="n"/>
      <c r="K67" s="587" t="n"/>
      <c r="L67" s="587" t="n"/>
      <c r="M67" s="587" t="n"/>
      <c r="N67" s="587" t="n"/>
      <c r="O67" s="587" t="n"/>
    </row>
    <row r="68" collapsed="1" ht="13.5" customHeight="1">
      <c r="C68" s="13" t="inlineStr">
        <is>
          <t>Contract Expenses</t>
        </is>
      </c>
      <c r="E68" s="592">
        <f>+'Scenario 0'!E69</f>
        <v/>
      </c>
      <c r="F68" s="593">
        <f>+'Scenario 0'!F69</f>
        <v/>
      </c>
      <c r="G68" s="593">
        <f>+'Scenario 0'!G69</f>
        <v/>
      </c>
      <c r="H68" s="593">
        <f>+'Scenario 0'!H69</f>
        <v/>
      </c>
      <c r="I68" s="593">
        <f>+'Scenario 0'!I69</f>
        <v/>
      </c>
      <c r="J68" s="593">
        <f>+'Scenario 0'!J69</f>
        <v/>
      </c>
      <c r="K68" s="593">
        <f>+'Scenario 0'!K69</f>
        <v/>
      </c>
      <c r="L68" s="593">
        <f>+'Scenario 0'!L69</f>
        <v/>
      </c>
      <c r="M68" s="593">
        <f>+'Scenario 0'!M69</f>
        <v/>
      </c>
      <c r="N68" s="593">
        <f>+'Scenario 0'!N69</f>
        <v/>
      </c>
      <c r="O68" s="593">
        <f>+'Scenario 0'!O69</f>
        <v/>
      </c>
    </row>
    <row r="69" hidden="1" outlineLevel="1" ht="13.5" customHeight="1">
      <c r="E69" s="592" t="n"/>
      <c r="F69" s="593" t="n"/>
      <c r="G69" s="593" t="n"/>
      <c r="H69" s="593" t="n"/>
      <c r="I69" s="593" t="n"/>
      <c r="J69" s="593" t="n"/>
      <c r="K69" s="593" t="n"/>
      <c r="L69" s="593" t="n"/>
      <c r="M69" s="593" t="n"/>
      <c r="N69" s="593" t="n"/>
      <c r="O69" s="593" t="n"/>
    </row>
    <row r="70" hidden="1" outlineLevel="1" ht="13.5" customHeight="1">
      <c r="A70" s="132" t="inlineStr">
        <is>
          <t>RETAX</t>
        </is>
      </c>
      <c r="C70" s="207" t="n"/>
      <c r="D70" s="199" t="n"/>
      <c r="E70" s="248" t="n"/>
      <c r="F70" s="200" t="n"/>
      <c r="G70" s="200" t="n"/>
      <c r="H70" s="200" t="n"/>
      <c r="I70" s="200" t="n"/>
      <c r="J70" s="200" t="n"/>
      <c r="K70" s="200" t="n"/>
      <c r="L70" s="200" t="n"/>
      <c r="M70" s="200" t="n"/>
      <c r="N70" s="200" t="n"/>
      <c r="O70" s="200" t="n"/>
    </row>
    <row r="71" hidden="1" outlineLevel="1" ht="13.5" customHeight="1">
      <c r="A71" s="132" t="inlineStr">
        <is>
          <t>INS</t>
        </is>
      </c>
      <c r="C71" s="207" t="n"/>
      <c r="D71" s="199" t="n"/>
      <c r="E71" s="606" t="n"/>
      <c r="F71" s="591" t="n"/>
      <c r="G71" s="587" t="n"/>
      <c r="H71" s="587" t="n"/>
      <c r="I71" s="587" t="n"/>
      <c r="J71" s="587" t="n"/>
      <c r="K71" s="587" t="n"/>
      <c r="L71" s="587" t="n"/>
      <c r="M71" s="587" t="n"/>
      <c r="N71" s="587" t="n"/>
      <c r="O71" s="587" t="n"/>
    </row>
    <row r="72" hidden="1" outlineLevel="1" ht="13.5" customHeight="1">
      <c r="A72" s="132" t="inlineStr">
        <is>
          <t>WORKCOMP</t>
        </is>
      </c>
      <c r="C72" s="207" t="n"/>
      <c r="D72" s="199" t="n"/>
      <c r="E72" s="606" t="n"/>
      <c r="F72" s="591" t="n"/>
      <c r="G72" s="587" t="n"/>
      <c r="H72" s="587" t="n"/>
      <c r="I72" s="587" t="n"/>
      <c r="J72" s="587" t="n"/>
      <c r="K72" s="587" t="n"/>
      <c r="L72" s="587" t="n"/>
      <c r="M72" s="587" t="n"/>
      <c r="N72" s="587" t="n"/>
      <c r="O72" s="587" t="n"/>
    </row>
    <row r="73" hidden="1" outlineLevel="1" ht="13.5" customHeight="1">
      <c r="A73" s="132" t="inlineStr">
        <is>
          <t>HEALTH</t>
        </is>
      </c>
      <c r="C73" s="207" t="n"/>
      <c r="D73" s="199" t="n"/>
      <c r="E73" s="606" t="n"/>
      <c r="F73" s="591" t="n"/>
      <c r="G73" s="587" t="n"/>
      <c r="H73" s="587" t="n"/>
      <c r="I73" s="587" t="n"/>
      <c r="J73" s="587" t="n"/>
      <c r="K73" s="587" t="n"/>
      <c r="L73" s="587" t="n"/>
      <c r="M73" s="587" t="n"/>
      <c r="N73" s="587" t="n"/>
      <c r="O73" s="587" t="n"/>
    </row>
    <row r="74" hidden="1" outlineLevel="1" ht="13.5" customHeight="1">
      <c r="A74" s="132" t="inlineStr">
        <is>
          <t>PTAX</t>
        </is>
      </c>
      <c r="C74" s="207" t="n"/>
      <c r="D74" s="199" t="n"/>
      <c r="E74" s="606" t="n"/>
      <c r="F74" s="591" t="n"/>
      <c r="G74" s="587" t="n"/>
      <c r="H74" s="587" t="n"/>
      <c r="I74" s="587" t="n"/>
      <c r="J74" s="587" t="n"/>
      <c r="K74" s="587" t="n"/>
      <c r="L74" s="587" t="n"/>
      <c r="M74" s="587" t="n"/>
      <c r="N74" s="587" t="n"/>
      <c r="O74" s="587" t="n"/>
    </row>
    <row r="75" hidden="1" outlineLevel="1" ht="13.5" customHeight="1">
      <c r="A75" s="132" t="inlineStr">
        <is>
          <t>MISCTAX</t>
        </is>
      </c>
      <c r="C75" s="207" t="n"/>
      <c r="D75" s="199" t="n"/>
      <c r="E75" s="606" t="n"/>
      <c r="F75" s="591" t="n"/>
      <c r="G75" s="587" t="n"/>
      <c r="H75" s="587" t="n"/>
      <c r="I75" s="587" t="n"/>
      <c r="J75" s="587" t="n"/>
      <c r="K75" s="587" t="n"/>
      <c r="L75" s="587" t="n"/>
      <c r="M75" s="587" t="n"/>
      <c r="N75" s="587" t="n"/>
      <c r="O75" s="587" t="n"/>
    </row>
    <row r="76" collapsed="1" ht="13.5" customHeight="1">
      <c r="C76" s="13" t="inlineStr">
        <is>
          <t>Total Taxes and Insurance Expenses</t>
        </is>
      </c>
      <c r="E76" s="592">
        <f>+'Scenario 0'!E77</f>
        <v/>
      </c>
      <c r="F76" s="593">
        <f>+'Scenario 0'!F77</f>
        <v/>
      </c>
      <c r="G76" s="593">
        <f>+'Scenario 0'!G77</f>
        <v/>
      </c>
      <c r="H76" s="593">
        <f>+'Scenario 0'!H77</f>
        <v/>
      </c>
      <c r="I76" s="593">
        <f>+'Scenario 0'!I77</f>
        <v/>
      </c>
      <c r="J76" s="593">
        <f>+'Scenario 0'!J77</f>
        <v/>
      </c>
      <c r="K76" s="593">
        <f>+'Scenario 0'!K77</f>
        <v/>
      </c>
      <c r="L76" s="593">
        <f>+'Scenario 0'!L77</f>
        <v/>
      </c>
      <c r="M76" s="593">
        <f>+'Scenario 0'!M77</f>
        <v/>
      </c>
      <c r="N76" s="593">
        <f>+'Scenario 0'!N77</f>
        <v/>
      </c>
      <c r="O76" s="593">
        <f>+'Scenario 0'!O77</f>
        <v/>
      </c>
    </row>
    <row r="77" ht="5.1" customHeight="1">
      <c r="E77" s="589" t="n"/>
      <c r="F77" s="590" t="n"/>
      <c r="G77" s="590" t="n"/>
      <c r="H77" s="590" t="n"/>
      <c r="I77" s="590" t="n"/>
      <c r="J77" s="590" t="n"/>
      <c r="K77" s="590" t="n"/>
      <c r="L77" s="590" t="n"/>
      <c r="M77" s="590" t="n"/>
      <c r="N77" s="590" t="n"/>
      <c r="O77" s="590" t="n"/>
    </row>
    <row r="78" ht="13.5" customHeight="1">
      <c r="C78" s="33" t="inlineStr">
        <is>
          <t>Total Operating Expenses</t>
        </is>
      </c>
      <c r="D78" s="34" t="n"/>
      <c r="E78" s="224">
        <f>+SUM(E18,E22,E28,E42,E50,E58,E68,E76,)</f>
        <v/>
      </c>
      <c r="F78" s="34">
        <f>+SUM(F18,F22,F28,F42,F50,F58,F68,F76,)</f>
        <v/>
      </c>
      <c r="G78" s="34">
        <f>+SUM(G18,G22,G28,G42,G50,G58,G68,G76,)</f>
        <v/>
      </c>
      <c r="H78" s="34">
        <f>+SUM(H18,H22,H28,H42,H50,H58,H68,H76,)</f>
        <v/>
      </c>
      <c r="I78" s="34">
        <f>+SUM(I18,I22,I28,I42,I50,I58,I68,I76,)</f>
        <v/>
      </c>
      <c r="J78" s="34">
        <f>+SUM(J18,J22,J28,J42,J50,J58,J68,J76,)</f>
        <v/>
      </c>
      <c r="K78" s="34">
        <f>+SUM(K18,K22,K28,K42,K50,K58,K68,K76,)</f>
        <v/>
      </c>
      <c r="L78" s="34">
        <f>+SUM(L18,L22,L28,L42,L50,L58,L68,L76,)</f>
        <v/>
      </c>
      <c r="M78" s="34">
        <f>+SUM(M18,M22,M28,M42,M50,M58,M68,M76,)</f>
        <v/>
      </c>
      <c r="N78" s="34">
        <f>+SUM(N18,N22,N28,N42,N50,N58,N68,N76,)</f>
        <v/>
      </c>
      <c r="O78" s="34">
        <f>+SUM(O18,O22,O28,O42,O50,O58,O68,O76,)</f>
        <v/>
      </c>
    </row>
    <row r="79" ht="5.1" customHeight="1">
      <c r="E79" s="232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</row>
    <row r="80" ht="13.5" customHeight="1">
      <c r="C80" s="33" t="inlineStr">
        <is>
          <t xml:space="preserve">Net Operating Income </t>
        </is>
      </c>
      <c r="D80" s="34" t="n"/>
      <c r="E80" s="224">
        <f>+E12-E78</f>
        <v/>
      </c>
      <c r="F80" s="34">
        <f>+F12-F78</f>
        <v/>
      </c>
      <c r="G80" s="34">
        <f>+G12-G78</f>
        <v/>
      </c>
      <c r="H80" s="34">
        <f>+H12-H78</f>
        <v/>
      </c>
      <c r="I80" s="34">
        <f>+I12-I78</f>
        <v/>
      </c>
      <c r="J80" s="34">
        <f>+J12-J78</f>
        <v/>
      </c>
      <c r="K80" s="34">
        <f>+K12-K78</f>
        <v/>
      </c>
      <c r="L80" s="34">
        <f>+L12-L78</f>
        <v/>
      </c>
      <c r="M80" s="34">
        <f>+M12-M78</f>
        <v/>
      </c>
      <c r="N80" s="34">
        <f>+N12-N78</f>
        <v/>
      </c>
      <c r="O80" s="34">
        <f>+O12-O78</f>
        <v/>
      </c>
    </row>
    <row r="81" ht="13.5" customHeight="1">
      <c r="C81" s="104" t="inlineStr">
        <is>
          <t>NOI Margin</t>
        </is>
      </c>
      <c r="D81" s="66" t="n"/>
      <c r="E81" s="233">
        <f>+IFERROR(E80/E12,"--")</f>
        <v/>
      </c>
      <c r="F81" s="105">
        <f>+F80/F12</f>
        <v/>
      </c>
      <c r="G81" s="105">
        <f>+G80/G12</f>
        <v/>
      </c>
      <c r="H81" s="105">
        <f>+H80/H12</f>
        <v/>
      </c>
      <c r="I81" s="105">
        <f>+I80/I12</f>
        <v/>
      </c>
      <c r="J81" s="105">
        <f>+J80/J12</f>
        <v/>
      </c>
      <c r="K81" s="105">
        <f>+K80/K12</f>
        <v/>
      </c>
      <c r="L81" s="105">
        <f>+L80/L12</f>
        <v/>
      </c>
      <c r="M81" s="105">
        <f>+M80/M12</f>
        <v/>
      </c>
      <c r="N81" s="105">
        <f>+N80/N12</f>
        <v/>
      </c>
      <c r="O81" s="105">
        <f>+O80/O12</f>
        <v/>
      </c>
    </row>
    <row r="82" ht="5.1" customHeight="1">
      <c r="C82" s="28" t="n"/>
      <c r="D82" s="66" t="n"/>
      <c r="E82" s="225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</row>
    <row r="83" hidden="1" outlineLevel="1" ht="13.5" customHeight="1">
      <c r="C83" s="28" t="inlineStr">
        <is>
          <t>Capital Expenditures</t>
        </is>
      </c>
      <c r="D83" s="66" t="n"/>
      <c r="E83" s="225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</row>
    <row r="84" hidden="1" outlineLevel="1" ht="13.5" customHeight="1">
      <c r="C84" s="13" t="inlineStr">
        <is>
          <t>Other CapEx</t>
        </is>
      </c>
      <c r="E84" s="594" t="n"/>
      <c r="F84" s="595" t="n"/>
      <c r="G84" s="595" t="n"/>
      <c r="H84" s="595" t="n"/>
      <c r="I84" s="595" t="n"/>
      <c r="J84" s="595" t="n"/>
      <c r="K84" s="595" t="n"/>
      <c r="L84" s="595" t="n"/>
      <c r="M84" s="595" t="n"/>
      <c r="N84" s="595" t="n"/>
      <c r="O84" s="595" t="n"/>
    </row>
    <row r="85" hidden="1" outlineLevel="1" ht="13.5" customHeight="1">
      <c r="C85" s="13" t="inlineStr">
        <is>
          <t>Capital Reserve</t>
        </is>
      </c>
      <c r="E85" s="594" t="n"/>
      <c r="F85" s="595" t="n"/>
      <c r="G85" s="595" t="n"/>
      <c r="H85" s="595" t="n"/>
      <c r="I85" s="595" t="n"/>
      <c r="J85" s="595" t="n"/>
      <c r="K85" s="595" t="n"/>
      <c r="L85" s="595" t="n"/>
      <c r="M85" s="595" t="n"/>
      <c r="N85" s="595" t="n"/>
      <c r="O85" s="595" t="n"/>
    </row>
    <row r="86" hidden="1" outlineLevel="1" ht="13.5" customHeight="1">
      <c r="C86" s="33" t="inlineStr">
        <is>
          <t>Total Capital Expenditures</t>
        </is>
      </c>
      <c r="D86" s="34" t="n"/>
      <c r="E86" s="224">
        <f>+SUM(E84:E85)</f>
        <v/>
      </c>
      <c r="F86" s="34">
        <f>+SUM(F84:F85)</f>
        <v/>
      </c>
      <c r="G86" s="34">
        <f>+SUM(G84:G85)</f>
        <v/>
      </c>
      <c r="H86" s="34">
        <f>+SUM(H84:H85)</f>
        <v/>
      </c>
      <c r="I86" s="34">
        <f>+SUM(I84:I85)</f>
        <v/>
      </c>
      <c r="J86" s="34">
        <f>+SUM(J84:J85)</f>
        <v/>
      </c>
      <c r="K86" s="34">
        <f>+SUM(K84:K85)</f>
        <v/>
      </c>
      <c r="L86" s="34">
        <f>+SUM(L84:L85)</f>
        <v/>
      </c>
      <c r="M86" s="34">
        <f>+SUM(M84:M85)</f>
        <v/>
      </c>
      <c r="N86" s="34">
        <f>+SUM(N84:N85)</f>
        <v/>
      </c>
      <c r="O86" s="34">
        <f>+SUM(O84:O85)</f>
        <v/>
      </c>
    </row>
    <row r="87" collapsed="1" ht="5.1" customHeight="1">
      <c r="C87" s="28" t="n"/>
      <c r="D87" s="66" t="n"/>
      <c r="E87" s="225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</row>
    <row r="88" ht="13.5" customHeight="1" thickBot="1">
      <c r="C88" s="89" t="inlineStr">
        <is>
          <t>Cash Flow from Operations (Adj. NOI)</t>
        </is>
      </c>
      <c r="D88" s="89" t="n"/>
      <c r="E88" s="235">
        <f>+E80-E86</f>
        <v/>
      </c>
      <c r="F88" s="90">
        <f>+F80-F86</f>
        <v/>
      </c>
      <c r="G88" s="90">
        <f>+G80-G86</f>
        <v/>
      </c>
      <c r="H88" s="90">
        <f>+H80-H86</f>
        <v/>
      </c>
      <c r="I88" s="90">
        <f>+I80-I86</f>
        <v/>
      </c>
      <c r="J88" s="90">
        <f>+J80-J86</f>
        <v/>
      </c>
      <c r="K88" s="90">
        <f>+K80-K86</f>
        <v/>
      </c>
      <c r="L88" s="90">
        <f>+L80-L86</f>
        <v/>
      </c>
      <c r="M88" s="90">
        <f>+M80-M86</f>
        <v/>
      </c>
      <c r="N88" s="90">
        <f>+N80-N86</f>
        <v/>
      </c>
      <c r="O88" s="90">
        <f>+O80-O86</f>
        <v/>
      </c>
    </row>
    <row r="89" ht="5.1" customHeight="1" thickTop="1">
      <c r="C89" s="28" t="n"/>
      <c r="D89" s="28" t="n"/>
      <c r="E89" s="236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</row>
    <row r="90" ht="13.5" customHeight="1">
      <c r="C90" s="13" t="inlineStr">
        <is>
          <t>Debt Service</t>
        </is>
      </c>
      <c r="D90" s="28" t="n"/>
      <c r="E90" s="237" t="inlineStr">
        <is>
          <t>--</t>
        </is>
      </c>
      <c r="F90" s="103">
        <f>+Dashboard!$I$10*Dashboard!$E$50</f>
        <v/>
      </c>
      <c r="G90" s="112">
        <f>+F90</f>
        <v/>
      </c>
      <c r="H90" s="112">
        <f>+G90</f>
        <v/>
      </c>
      <c r="I90" s="112">
        <f>+H90</f>
        <v/>
      </c>
      <c r="J90" s="112">
        <f>+I90</f>
        <v/>
      </c>
      <c r="K90" s="112">
        <f>+J90</f>
        <v/>
      </c>
      <c r="L90" s="112">
        <f>+K90</f>
        <v/>
      </c>
      <c r="M90" s="112">
        <f>+L90</f>
        <v/>
      </c>
      <c r="N90" s="112">
        <f>+M90</f>
        <v/>
      </c>
      <c r="O90" s="112">
        <f>+N90</f>
        <v/>
      </c>
    </row>
    <row r="91" ht="13.5" customHeight="1">
      <c r="C91" s="13" t="inlineStr">
        <is>
          <t>Principal Repayment</t>
        </is>
      </c>
      <c r="D91" s="28" t="n"/>
      <c r="E91" s="238" t="inlineStr">
        <is>
          <t>--</t>
        </is>
      </c>
      <c r="F91" s="103">
        <f>IF(F$6&lt;=Dashboard!$E$56,0,-PPMT(Dashboard!$E$50,'Scenario 2'!F3-'Scenario 2'!$E3,Dashboard!$E$55,Dashboard!$D$49))</f>
        <v/>
      </c>
      <c r="G91" s="112">
        <f>IF(G$6&lt;=Dashboard!$E$56,0,-PPMT(Dashboard!$E$50,'Scenario 2'!G3-'Scenario 2'!$E3,Dashboard!$E$55,Dashboard!$D$49))</f>
        <v/>
      </c>
      <c r="H91" s="112">
        <f>IF(H$6&lt;=Dashboard!$E$56,0,-PPMT(Dashboard!$E$50,'Scenario 2'!H3-'Scenario 2'!$E3,Dashboard!$E$55,Dashboard!$D$49))</f>
        <v/>
      </c>
      <c r="I91" s="112">
        <f>IF(I$6&lt;=Dashboard!$E$56,0,-PPMT(Dashboard!$E$50,'Scenario 2'!I3-'Scenario 2'!$E3,Dashboard!$E$55,Dashboard!$D$49))</f>
        <v/>
      </c>
      <c r="J91" s="112">
        <f>IF(J$6&lt;=Dashboard!$E$56,0,-PPMT(Dashboard!$E$50,'Scenario 2'!J3-'Scenario 2'!$E3,Dashboard!$E$55,Dashboard!$D$49))</f>
        <v/>
      </c>
      <c r="K91" s="112">
        <f>IF(K$6&lt;=Dashboard!$E$56,0,-PPMT(Dashboard!$E$50,'Scenario 2'!K3-'Scenario 2'!$E3,Dashboard!$E$55,Dashboard!$D$49))</f>
        <v/>
      </c>
      <c r="L91" s="112">
        <f>IF(L$6&lt;=Dashboard!$E$56,0,-PPMT(Dashboard!$E$50,'Scenario 2'!L3-'Scenario 2'!$E3,Dashboard!$E$55,Dashboard!$D$49))</f>
        <v/>
      </c>
      <c r="M91" s="112">
        <f>IF(M$6&lt;=Dashboard!$E$56,0,-PPMT(Dashboard!$E$50,'Scenario 2'!M3-'Scenario 2'!$E3,Dashboard!$E$55,Dashboard!$D$49))</f>
        <v/>
      </c>
      <c r="N91" s="112">
        <f>IF(N$6&lt;=Dashboard!$E$56,0,-PPMT(Dashboard!$E$50,'Scenario 2'!N3-'Scenario 2'!$E3,Dashboard!$E$55,Dashboard!$D$49))</f>
        <v/>
      </c>
      <c r="O91" s="112">
        <f>IF(O$6&lt;=Dashboard!$E$56,0,-PPMT(Dashboard!$E$50,'Scenario 2'!O3-'Scenario 2'!$E3,Dashboard!$E$55,Dashboard!$D$49))</f>
        <v/>
      </c>
    </row>
    <row r="92" ht="13.5" customHeight="1" thickBot="1">
      <c r="C92" s="89" t="inlineStr">
        <is>
          <t>Cash Flow After Financing (CF to Equity Investors)</t>
        </is>
      </c>
      <c r="D92" s="89" t="n"/>
      <c r="E92" s="239" t="inlineStr">
        <is>
          <t>--</t>
        </is>
      </c>
      <c r="F92" s="90">
        <f>+F88-F90</f>
        <v/>
      </c>
      <c r="G92" s="90">
        <f>+G88-G90</f>
        <v/>
      </c>
      <c r="H92" s="90">
        <f>+H88-H90</f>
        <v/>
      </c>
      <c r="I92" s="90">
        <f>+I88-I90</f>
        <v/>
      </c>
      <c r="J92" s="90">
        <f>+J88-J90</f>
        <v/>
      </c>
      <c r="K92" s="90">
        <f>+K88-K90</f>
        <v/>
      </c>
      <c r="L92" s="90">
        <f>+L88-L90</f>
        <v/>
      </c>
      <c r="M92" s="90">
        <f>+M88-M90</f>
        <v/>
      </c>
      <c r="N92" s="90">
        <f>+N88-N90</f>
        <v/>
      </c>
      <c r="O92" s="90">
        <f>+O88-O90</f>
        <v/>
      </c>
    </row>
    <row r="93" ht="13.5" customHeight="1" thickTop="1">
      <c r="D93" s="28" t="n"/>
      <c r="E93" s="28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</row>
    <row r="94" ht="13.5" customHeight="1" thickBot="1">
      <c r="C94" s="89" t="inlineStr">
        <is>
          <t>Ending Debt Balance</t>
        </is>
      </c>
      <c r="D94" s="89" t="n"/>
      <c r="E94" s="89" t="n"/>
      <c r="F94" s="90">
        <f>+Dashboard!$D$49-SUM('Scenario 2'!$F$91:F91)</f>
        <v/>
      </c>
      <c r="G94" s="90">
        <f>+Dashboard!$D$49-SUM('Scenario 2'!$F$91:G91)</f>
        <v/>
      </c>
      <c r="H94" s="90">
        <f>+Dashboard!$D$49-SUM('Scenario 2'!$F$91:H91)</f>
        <v/>
      </c>
      <c r="I94" s="90">
        <f>+Dashboard!$D$49-SUM('Scenario 2'!$F$91:I91)</f>
        <v/>
      </c>
      <c r="J94" s="90">
        <f>+Dashboard!$D$49-SUM('Scenario 2'!$F$91:J91)</f>
        <v/>
      </c>
      <c r="K94" s="90">
        <f>+Dashboard!$D$49-SUM('Scenario 2'!$F$91:K91)</f>
        <v/>
      </c>
      <c r="L94" s="90">
        <f>+Dashboard!$D$49-SUM('Scenario 2'!$F$91:L91)</f>
        <v/>
      </c>
      <c r="M94" s="90">
        <f>+Dashboard!$D$49-SUM('Scenario 2'!$F$91:M91)</f>
        <v/>
      </c>
      <c r="N94" s="90">
        <f>+Dashboard!$D$49-SUM('Scenario 2'!$F$91:N91)</f>
        <v/>
      </c>
      <c r="O94" s="90">
        <f>+Dashboard!$D$49-SUM('Scenario 2'!$F$91:O91)</f>
        <v/>
      </c>
    </row>
    <row r="95" ht="13.5" customHeight="1" thickTop="1">
      <c r="D95" s="28" t="n"/>
      <c r="E95" s="28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</row>
    <row r="96" ht="13.5" customHeight="1">
      <c r="C96" s="67" t="inlineStr">
        <is>
          <t>DSCR (NOI)</t>
        </is>
      </c>
      <c r="D96" s="68" t="n"/>
      <c r="E96" s="68" t="n"/>
      <c r="F96" s="596">
        <f>+IFERROR(F80/F90,"")</f>
        <v/>
      </c>
      <c r="G96" s="596">
        <f>+IFERROR(G80/G90,"")</f>
        <v/>
      </c>
      <c r="H96" s="596">
        <f>+IFERROR(H80/H90,"")</f>
        <v/>
      </c>
      <c r="I96" s="596">
        <f>+IFERROR(I80/I90,"")</f>
        <v/>
      </c>
      <c r="J96" s="597">
        <f>+IFERROR(J80/J90,"")</f>
        <v/>
      </c>
      <c r="K96" s="596">
        <f>+IFERROR(K80/K90,"")</f>
        <v/>
      </c>
      <c r="L96" s="596">
        <f>+IFERROR(L80/L90,"")</f>
        <v/>
      </c>
      <c r="M96" s="596">
        <f>+IFERROR(M80/M90,"")</f>
        <v/>
      </c>
      <c r="N96" s="596">
        <f>+IFERROR(N80/N90,"")</f>
        <v/>
      </c>
      <c r="O96" s="597">
        <f>+IFERROR(O80/O90,"")</f>
        <v/>
      </c>
    </row>
    <row r="97" ht="13.5" customHeight="1">
      <c r="C97" s="69" t="inlineStr">
        <is>
          <t>DSCR (CFO)</t>
        </is>
      </c>
      <c r="D97" s="70" t="n"/>
      <c r="E97" s="70" t="n"/>
      <c r="F97" s="598">
        <f>+IFERROR(F88/F90,"")</f>
        <v/>
      </c>
      <c r="G97" s="598">
        <f>+IFERROR(G88/G90,"")</f>
        <v/>
      </c>
      <c r="H97" s="598">
        <f>+IFERROR(H88/H90,"")</f>
        <v/>
      </c>
      <c r="I97" s="598">
        <f>+IFERROR(I88/I90,"")</f>
        <v/>
      </c>
      <c r="J97" s="599">
        <f>+IFERROR(J88/J90,"")</f>
        <v/>
      </c>
      <c r="K97" s="598">
        <f>+IFERROR(K88/K90,"")</f>
        <v/>
      </c>
      <c r="L97" s="598">
        <f>+IFERROR(L88/L90,"")</f>
        <v/>
      </c>
      <c r="M97" s="598">
        <f>+IFERROR(M88/M90,"")</f>
        <v/>
      </c>
      <c r="N97" s="598">
        <f>+IFERROR(N88/N90,"")</f>
        <v/>
      </c>
      <c r="O97" s="599">
        <f>+IFERROR(O88/O90,"")</f>
        <v/>
      </c>
    </row>
    <row r="98" ht="13.5" customHeight="1">
      <c r="C98" s="69" t="inlineStr">
        <is>
          <t>Debt Yield (CFO)</t>
        </is>
      </c>
      <c r="D98" s="70" t="n"/>
      <c r="E98" s="70" t="n"/>
      <c r="F98" s="71">
        <f>+F88/Dashboard!$I$10</f>
        <v/>
      </c>
      <c r="G98" s="71">
        <f>+G88/Dashboard!$I$10</f>
        <v/>
      </c>
      <c r="H98" s="71">
        <f>+H88/Dashboard!$I$10</f>
        <v/>
      </c>
      <c r="I98" s="71">
        <f>+I88/Dashboard!$I$10</f>
        <v/>
      </c>
      <c r="J98" s="72">
        <f>+J88/Dashboard!$I$10</f>
        <v/>
      </c>
      <c r="K98" s="71">
        <f>+K88/Dashboard!$I$10</f>
        <v/>
      </c>
      <c r="L98" s="71">
        <f>+L88/Dashboard!$I$10</f>
        <v/>
      </c>
      <c r="M98" s="71">
        <f>+M88/Dashboard!$I$10</f>
        <v/>
      </c>
      <c r="N98" s="71">
        <f>+N88/Dashboard!$I$10</f>
        <v/>
      </c>
      <c r="O98" s="72">
        <f>+O88/Dashboard!$I$10</f>
        <v/>
      </c>
    </row>
    <row r="99" ht="13.5" customHeight="1">
      <c r="C99" s="69" t="inlineStr">
        <is>
          <t xml:space="preserve">Break-Even Ratio </t>
        </is>
      </c>
      <c r="D99" s="70" t="n"/>
      <c r="E99" s="70" t="n"/>
      <c r="F99" s="71">
        <f>+SUM(F96,F78)/F12</f>
        <v/>
      </c>
      <c r="G99" s="71">
        <f>+SUM(G96,G78)/G12</f>
        <v/>
      </c>
      <c r="H99" s="71">
        <f>+SUM(H96,H78)/H12</f>
        <v/>
      </c>
      <c r="I99" s="71">
        <f>+SUM(I96,I78)/I12</f>
        <v/>
      </c>
      <c r="J99" s="72">
        <f>+SUM(J96,J78)/J12</f>
        <v/>
      </c>
      <c r="K99" s="71">
        <f>+SUM(K96,K78)/K12</f>
        <v/>
      </c>
      <c r="L99" s="71">
        <f>+SUM(L96,L78)/L12</f>
        <v/>
      </c>
      <c r="M99" s="71">
        <f>+SUM(M96,M78)/M12</f>
        <v/>
      </c>
      <c r="N99" s="71">
        <f>+SUM(N96,N78)/N12</f>
        <v/>
      </c>
      <c r="O99" s="72">
        <f>+SUM(O96,O78)/O12</f>
        <v/>
      </c>
    </row>
    <row r="100" ht="5.1" customHeight="1">
      <c r="C100" s="69" t="n"/>
      <c r="D100" s="70" t="n"/>
      <c r="E100" s="70" t="n"/>
      <c r="F100" s="70" t="n"/>
      <c r="G100" s="70" t="n"/>
      <c r="H100" s="70" t="n"/>
      <c r="I100" s="70" t="n"/>
      <c r="J100" s="73" t="n"/>
      <c r="K100" s="70" t="n"/>
      <c r="L100" s="70" t="n"/>
      <c r="M100" s="70" t="n"/>
      <c r="N100" s="70" t="n"/>
      <c r="O100" s="73" t="n"/>
    </row>
    <row r="101" ht="13.5" customHeight="1">
      <c r="C101" s="77" t="inlineStr">
        <is>
          <t>Cap Rate (Purchase Price)</t>
        </is>
      </c>
      <c r="D101" s="78" t="n"/>
      <c r="E101" s="78" t="n"/>
      <c r="F101" s="79">
        <f>+F80/Dashboard!$E$32</f>
        <v/>
      </c>
      <c r="G101" s="79">
        <f>+G80/Dashboard!$E$32</f>
        <v/>
      </c>
      <c r="H101" s="79">
        <f>+H80/Dashboard!$E$32</f>
        <v/>
      </c>
      <c r="I101" s="79">
        <f>+I80/Dashboard!$E$32</f>
        <v/>
      </c>
      <c r="J101" s="80">
        <f>+J80/Dashboard!$E$32</f>
        <v/>
      </c>
      <c r="K101" s="79">
        <f>+K80/Dashboard!$E$32</f>
        <v/>
      </c>
      <c r="L101" s="79">
        <f>+L80/Dashboard!$E$32</f>
        <v/>
      </c>
      <c r="M101" s="79">
        <f>+M80/Dashboard!$E$32</f>
        <v/>
      </c>
      <c r="N101" s="79">
        <f>+N80/Dashboard!$E$32</f>
        <v/>
      </c>
      <c r="O101" s="80">
        <f>+O80/Dashboard!$E$32</f>
        <v/>
      </c>
    </row>
    <row r="102" ht="13.5" customHeight="1">
      <c r="C102" s="69" t="inlineStr">
        <is>
          <t>Operating Cash Flow Before Taxes</t>
        </is>
      </c>
      <c r="D102" s="70" t="n"/>
      <c r="E102" s="70" t="n"/>
      <c r="F102" s="600">
        <f>+F80-F90-F91</f>
        <v/>
      </c>
      <c r="G102" s="600">
        <f>+G80-G90-G91</f>
        <v/>
      </c>
      <c r="H102" s="600">
        <f>+H80-H90-H91</f>
        <v/>
      </c>
      <c r="I102" s="600">
        <f>+I80-I90-I91</f>
        <v/>
      </c>
      <c r="J102" s="601">
        <f>+J80-J90-J91</f>
        <v/>
      </c>
      <c r="K102" s="600">
        <f>+K80-K90-K91</f>
        <v/>
      </c>
      <c r="L102" s="600">
        <f>+L80-L90-L91</f>
        <v/>
      </c>
      <c r="M102" s="600">
        <f>+M80-M90-M91</f>
        <v/>
      </c>
      <c r="N102" s="600">
        <f>+N80-N90-N91</f>
        <v/>
      </c>
      <c r="O102" s="601">
        <f>+O80-O90-O91</f>
        <v/>
      </c>
    </row>
    <row r="103" ht="13.5" customHeight="1">
      <c r="C103" s="77" t="inlineStr">
        <is>
          <t>Cash on Cash Return</t>
        </is>
      </c>
      <c r="D103" s="78" t="n"/>
      <c r="E103" s="78" t="n"/>
      <c r="F103" s="79">
        <f>+F102/Dashboard!$I$11</f>
        <v/>
      </c>
      <c r="G103" s="79">
        <f>+G102/Dashboard!$I$11</f>
        <v/>
      </c>
      <c r="H103" s="79">
        <f>+H102/Dashboard!$I$11</f>
        <v/>
      </c>
      <c r="I103" s="79">
        <f>+I102/Dashboard!$I$11</f>
        <v/>
      </c>
      <c r="J103" s="80">
        <f>+J102/Dashboard!$I$11</f>
        <v/>
      </c>
      <c r="K103" s="79">
        <f>+K102/Dashboard!$I$11</f>
        <v/>
      </c>
      <c r="L103" s="79">
        <f>+L102/Dashboard!$I$11</f>
        <v/>
      </c>
      <c r="M103" s="79">
        <f>+M102/Dashboard!$I$11</f>
        <v/>
      </c>
      <c r="N103" s="79">
        <f>+N102/Dashboard!$I$11</f>
        <v/>
      </c>
      <c r="O103" s="80">
        <f>+O102/Dashboard!$I$11</f>
        <v/>
      </c>
    </row>
    <row r="104" ht="13.5" customHeight="1">
      <c r="C104" s="69" t="inlineStr">
        <is>
          <t>General Partner Cash Return</t>
        </is>
      </c>
      <c r="D104" s="84">
        <f>+Dashboard!J58</f>
        <v/>
      </c>
      <c r="E104" s="84" t="n"/>
      <c r="F104" s="600">
        <f>+F102*$D$104</f>
        <v/>
      </c>
      <c r="G104" s="600">
        <f>+G102*$D$104</f>
        <v/>
      </c>
      <c r="H104" s="600">
        <f>+H102*$D$104</f>
        <v/>
      </c>
      <c r="I104" s="600">
        <f>+I102*$D$104</f>
        <v/>
      </c>
      <c r="J104" s="601">
        <f>+J102*$D$104</f>
        <v/>
      </c>
      <c r="K104" s="600">
        <f>+K102*$D$104</f>
        <v/>
      </c>
      <c r="L104" s="600">
        <f>+L102*$D$104</f>
        <v/>
      </c>
      <c r="M104" s="600">
        <f>+M102*$D$104</f>
        <v/>
      </c>
      <c r="N104" s="600">
        <f>+N102*$D$104</f>
        <v/>
      </c>
      <c r="O104" s="601">
        <f>+O102*$D$104</f>
        <v/>
      </c>
    </row>
    <row r="105" ht="13.5" customHeight="1">
      <c r="C105" s="69" t="inlineStr">
        <is>
          <t>Total Limited Partner Cash Return</t>
        </is>
      </c>
      <c r="D105" s="84">
        <f>+Dashboard!J59</f>
        <v/>
      </c>
      <c r="E105" s="84" t="n"/>
      <c r="F105" s="600">
        <f>+F102*$D$105</f>
        <v/>
      </c>
      <c r="G105" s="600">
        <f>+G102*$D$105</f>
        <v/>
      </c>
      <c r="H105" s="600">
        <f>+H102*$D$105</f>
        <v/>
      </c>
      <c r="I105" s="600">
        <f>+I102*$D$105</f>
        <v/>
      </c>
      <c r="J105" s="601">
        <f>+J102*$D$105</f>
        <v/>
      </c>
      <c r="K105" s="600">
        <f>+K102*$D$105</f>
        <v/>
      </c>
      <c r="L105" s="600">
        <f>+L102*$D$105</f>
        <v/>
      </c>
      <c r="M105" s="600">
        <f>+M102*$D$105</f>
        <v/>
      </c>
      <c r="N105" s="600">
        <f>+N102*$D$105</f>
        <v/>
      </c>
      <c r="O105" s="601">
        <f>+O102*$D$105</f>
        <v/>
      </c>
    </row>
    <row r="106" ht="13.5" customHeight="1">
      <c r="C106" s="74" t="inlineStr">
        <is>
          <t>Cash on Cash LP Return</t>
        </is>
      </c>
      <c r="D106" s="75" t="n"/>
      <c r="E106" s="75" t="n"/>
      <c r="F106" s="82">
        <f>+F105/Dashboard!$I$11</f>
        <v/>
      </c>
      <c r="G106" s="82">
        <f>+G105/Dashboard!$I$11</f>
        <v/>
      </c>
      <c r="H106" s="82">
        <f>+H105/Dashboard!$I$11</f>
        <v/>
      </c>
      <c r="I106" s="82">
        <f>+I105/Dashboard!$I$11</f>
        <v/>
      </c>
      <c r="J106" s="83">
        <f>+J105/Dashboard!$I$11</f>
        <v/>
      </c>
      <c r="K106" s="82">
        <f>+K105/Dashboard!$I$11</f>
        <v/>
      </c>
      <c r="L106" s="82">
        <f>+L105/Dashboard!$I$11</f>
        <v/>
      </c>
      <c r="M106" s="82">
        <f>+M105/Dashboard!$I$11</f>
        <v/>
      </c>
      <c r="N106" s="82">
        <f>+N105/Dashboard!$I$11</f>
        <v/>
      </c>
      <c r="O106" s="83">
        <f>+O105/Dashboard!$I$11</f>
        <v/>
      </c>
    </row>
    <row r="107" ht="13.5" customHeight="1">
      <c r="D107" s="28" t="n"/>
      <c r="E107" s="28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</row>
    <row r="108" ht="13.5" customHeight="1">
      <c r="C108" s="257" t="inlineStr">
        <is>
          <t>Return Metrics</t>
        </is>
      </c>
      <c r="D108" s="37" t="n"/>
      <c r="E108" s="583" t="n"/>
      <c r="F108" s="583" t="n"/>
      <c r="G108" s="583" t="n"/>
      <c r="H108" s="583" t="n"/>
      <c r="I108" s="583" t="n"/>
      <c r="J108" s="583" t="n"/>
      <c r="K108" s="583" t="n"/>
      <c r="L108" s="583" t="n"/>
      <c r="M108" s="583" t="n"/>
      <c r="N108" s="583" t="n"/>
      <c r="O108" s="583" t="n"/>
    </row>
    <row r="109" ht="5.1" customHeight="1">
      <c r="D109" s="28" t="n"/>
      <c r="E109" s="28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</row>
    <row r="110" ht="13.5" customHeight="1">
      <c r="C110" s="32" t="inlineStr">
        <is>
          <t>5 Year Hold IRR</t>
        </is>
      </c>
      <c r="D110" s="32" t="n"/>
      <c r="E110" s="602">
        <f>+'Scenario 0'!E111</f>
        <v/>
      </c>
      <c r="F110" s="602">
        <f>+'Scenario 0'!F111</f>
        <v/>
      </c>
      <c r="G110" s="602">
        <f>+'Scenario 0'!G111</f>
        <v/>
      </c>
      <c r="H110" s="602">
        <f>+'Scenario 0'!H111</f>
        <v/>
      </c>
      <c r="I110" s="602">
        <f>+'Scenario 0'!I111</f>
        <v/>
      </c>
      <c r="J110" s="602">
        <f>+'Scenario 0'!J111</f>
        <v/>
      </c>
      <c r="K110" s="602" t="n"/>
      <c r="L110" s="602" t="n"/>
      <c r="M110" s="602" t="n"/>
      <c r="N110" s="602" t="n"/>
      <c r="O110" s="602" t="n"/>
    </row>
    <row r="111" ht="5.1" customHeight="1">
      <c r="C111" s="39" t="n"/>
      <c r="D111" s="109" t="n"/>
      <c r="E111" s="603" t="n"/>
      <c r="F111" s="603" t="n"/>
      <c r="G111" s="603" t="n"/>
      <c r="H111" s="603" t="n"/>
      <c r="I111" s="603" t="n"/>
      <c r="J111" s="603" t="n"/>
    </row>
    <row r="112" ht="13.5" customHeight="1">
      <c r="C112" s="212" t="inlineStr">
        <is>
          <t>Exit Cap Rate Assumption</t>
        </is>
      </c>
      <c r="D112" s="217">
        <f>+Dashboard!$J$54</f>
        <v/>
      </c>
      <c r="E112" s="109" t="n"/>
      <c r="F112" s="603" t="n"/>
      <c r="G112" s="603" t="n"/>
      <c r="H112" s="603" t="n"/>
      <c r="I112" s="603" t="n"/>
      <c r="J112" s="603" t="n"/>
      <c r="K112" s="31" t="n"/>
      <c r="L112" s="31" t="n"/>
      <c r="M112" s="31" t="n"/>
      <c r="N112" s="31" t="n"/>
      <c r="O112" s="31" t="n"/>
    </row>
    <row r="113" ht="5.1" customHeight="1">
      <c r="C113" s="39" t="n"/>
      <c r="D113" s="109" t="n"/>
      <c r="E113" s="109" t="n"/>
      <c r="F113" s="603" t="n"/>
      <c r="G113" s="603" t="n"/>
      <c r="H113" s="603" t="n"/>
      <c r="I113" s="603" t="n"/>
      <c r="J113" s="603" t="n"/>
      <c r="K113" s="31" t="n"/>
      <c r="L113" s="31" t="n"/>
      <c r="M113" s="31" t="n"/>
      <c r="N113" s="31" t="n"/>
      <c r="O113" s="31" t="n"/>
    </row>
    <row r="114" ht="13.5" customHeight="1">
      <c r="C114" s="28" t="inlineStr">
        <is>
          <t>Project Cash Flows (Unleveraged IRR):</t>
        </is>
      </c>
      <c r="D114" s="28" t="n"/>
      <c r="E114" s="28" t="n"/>
      <c r="F114" s="100" t="n"/>
      <c r="G114" s="100" t="n"/>
      <c r="H114" s="100" t="n"/>
      <c r="I114" s="100" t="n"/>
      <c r="J114" s="100" t="n"/>
      <c r="K114" s="31" t="n"/>
      <c r="L114" s="31" t="n"/>
      <c r="M114" s="31" t="n"/>
      <c r="N114" s="31" t="n"/>
      <c r="O114" s="31" t="n"/>
    </row>
    <row r="115" ht="13.5" customHeight="1">
      <c r="C115" s="43" t="inlineStr">
        <is>
          <t>(+) Proceeds from Sale of Property:</t>
        </is>
      </c>
      <c r="D115" s="111" t="n"/>
      <c r="E115" s="111" t="n"/>
      <c r="F115" s="111" t="n">
        <v>0</v>
      </c>
      <c r="G115" s="111" t="n">
        <v>0</v>
      </c>
      <c r="H115" s="111" t="n">
        <v>0</v>
      </c>
      <c r="I115" s="111" t="n">
        <v>0</v>
      </c>
      <c r="J115" s="111">
        <f>+J$80/D$112</f>
        <v/>
      </c>
      <c r="K115" s="31" t="n"/>
      <c r="L115" s="31" t="n"/>
      <c r="M115" s="31" t="n"/>
      <c r="N115" s="31" t="n"/>
      <c r="O115" s="31" t="n"/>
    </row>
    <row r="116" ht="13.5" customHeight="1">
      <c r="C116" s="43" t="inlineStr">
        <is>
          <t>(-) Selling Costs:</t>
        </is>
      </c>
      <c r="D116" s="217">
        <f>+Dashboard!$J$55</f>
        <v/>
      </c>
      <c r="E116" s="112" t="n"/>
      <c r="F116" s="112" t="n">
        <v>0</v>
      </c>
      <c r="G116" s="112" t="n">
        <v>0</v>
      </c>
      <c r="H116" s="112" t="n">
        <v>0</v>
      </c>
      <c r="I116" s="112" t="n">
        <v>0</v>
      </c>
      <c r="J116" s="112">
        <f>-J$115*D$116</f>
        <v/>
      </c>
      <c r="K116" s="31" t="n"/>
      <c r="L116" s="31" t="n"/>
      <c r="M116" s="31" t="n"/>
      <c r="N116" s="31" t="n"/>
      <c r="O116" s="31" t="n"/>
    </row>
    <row r="117" ht="13.5" customHeight="1">
      <c r="C117" s="43" t="inlineStr">
        <is>
          <t>(+) Adjusted NOI (Cash Flows to All Investors):</t>
        </is>
      </c>
      <c r="D117" s="112" t="n"/>
      <c r="E117" s="112" t="n"/>
      <c r="F117" s="23">
        <f>+F$88</f>
        <v/>
      </c>
      <c r="G117" s="23">
        <f>+G$88</f>
        <v/>
      </c>
      <c r="H117" s="23">
        <f>+H$88</f>
        <v/>
      </c>
      <c r="I117" s="23">
        <f>+I$88</f>
        <v/>
      </c>
      <c r="J117" s="23">
        <f>+J$88</f>
        <v/>
      </c>
      <c r="K117" s="31" t="n"/>
      <c r="L117" s="31" t="n"/>
      <c r="M117" s="31" t="n"/>
      <c r="N117" s="31" t="n"/>
      <c r="O117" s="31" t="n"/>
    </row>
    <row r="118" ht="13.5" customHeight="1">
      <c r="C118" s="43" t="inlineStr">
        <is>
          <t>(-) Property Acquisition Price:</t>
        </is>
      </c>
      <c r="E118" s="103">
        <f>-Dashboard!$E$32</f>
        <v/>
      </c>
      <c r="F118" s="112" t="n">
        <v>0</v>
      </c>
      <c r="G118" s="112" t="n">
        <v>0</v>
      </c>
      <c r="H118" s="112" t="n">
        <v>0</v>
      </c>
      <c r="I118" s="112" t="n">
        <v>0</v>
      </c>
      <c r="J118" s="112" t="n">
        <v>0</v>
      </c>
      <c r="K118" s="31" t="n"/>
      <c r="L118" s="31" t="n"/>
      <c r="M118" s="31" t="n"/>
      <c r="N118" s="31" t="n"/>
      <c r="O118" s="31" t="n"/>
    </row>
    <row r="119" ht="13.5" customHeight="1">
      <c r="C119" s="33" t="inlineStr">
        <is>
          <t>Total Project Cash Flows (Unleveraged IRR):</t>
        </is>
      </c>
      <c r="D119" s="38" t="n"/>
      <c r="E119" s="88">
        <f>SUM(E115:E118)</f>
        <v/>
      </c>
      <c r="F119" s="88">
        <f>SUM(F115:F118)</f>
        <v/>
      </c>
      <c r="G119" s="88">
        <f>SUM(G115:G118)</f>
        <v/>
      </c>
      <c r="H119" s="88">
        <f>SUM(H115:H118)</f>
        <v/>
      </c>
      <c r="I119" s="88">
        <f>SUM(I115:I118)</f>
        <v/>
      </c>
      <c r="J119" s="88">
        <f>SUM(J115:J118)</f>
        <v/>
      </c>
      <c r="K119" s="31" t="n"/>
      <c r="L119" s="31" t="n"/>
      <c r="M119" s="31" t="n"/>
      <c r="N119" s="31" t="n"/>
      <c r="O119" s="31" t="n"/>
    </row>
    <row r="120" hidden="1" outlineLevel="1" ht="13.5" customHeight="1">
      <c r="C120" s="28" t="n"/>
      <c r="E120" s="99" t="n"/>
      <c r="F120" s="100">
        <f>+F119-F115</f>
        <v/>
      </c>
      <c r="G120" s="100">
        <f>+G119-G115</f>
        <v/>
      </c>
      <c r="H120" s="100">
        <f>+H119-H115</f>
        <v/>
      </c>
      <c r="I120" s="100">
        <f>+I119-I115</f>
        <v/>
      </c>
      <c r="J120" s="100">
        <f>+J119-J115</f>
        <v/>
      </c>
      <c r="K120" s="31" t="n"/>
      <c r="L120" s="31" t="n"/>
      <c r="M120" s="31" t="n"/>
      <c r="N120" s="31" t="n"/>
      <c r="O120" s="31" t="n"/>
    </row>
    <row r="121" collapsed="1" ht="5.1" customHeight="1">
      <c r="D121" s="28" t="n"/>
      <c r="E121" s="28" t="n"/>
      <c r="F121" s="100" t="n"/>
      <c r="G121" s="100" t="n"/>
      <c r="H121" s="100" t="n"/>
      <c r="I121" s="100" t="n"/>
      <c r="J121" s="100" t="n"/>
      <c r="K121" s="31" t="n"/>
      <c r="L121" s="31" t="n"/>
      <c r="M121" s="31" t="n"/>
      <c r="N121" s="31" t="n"/>
      <c r="O121" s="31" t="n"/>
    </row>
    <row r="122" ht="13.5" customHeight="1">
      <c r="C122" s="113" t="inlineStr">
        <is>
          <t>Unlevered IRR:</t>
        </is>
      </c>
      <c r="D122" s="91" t="n"/>
      <c r="E122" s="114">
        <f>+IRR(E119:J119)</f>
        <v/>
      </c>
      <c r="G122" s="100" t="n"/>
      <c r="H122" s="100" t="n"/>
      <c r="I122" s="100" t="n"/>
      <c r="J122" s="100" t="n"/>
      <c r="K122" s="31" t="n"/>
      <c r="L122" s="31" t="n"/>
      <c r="M122" s="31" t="n"/>
      <c r="N122" s="31" t="n"/>
      <c r="O122" s="31" t="n"/>
    </row>
    <row r="123" ht="13.5" customHeight="1">
      <c r="C123" s="115" t="inlineStr">
        <is>
          <t>Unlevered Cash-on-Cash Multiple:</t>
        </is>
      </c>
      <c r="D123" s="92" t="n"/>
      <c r="E123" s="604">
        <f>+SUM(F115:J117)/-SUM(E118:J118)</f>
        <v/>
      </c>
      <c r="G123" s="100" t="n"/>
      <c r="H123" s="100" t="n"/>
      <c r="I123" s="100" t="n"/>
      <c r="J123" s="100" t="n"/>
      <c r="K123" s="31" t="n"/>
      <c r="L123" s="31" t="n"/>
      <c r="M123" s="31" t="n"/>
      <c r="N123" s="31" t="n"/>
      <c r="O123" s="31" t="n"/>
    </row>
    <row r="124" ht="13.5" customHeight="1">
      <c r="D124" s="28" t="n"/>
      <c r="E124" s="28" t="n"/>
      <c r="F124" s="100" t="n"/>
      <c r="G124" s="100" t="n"/>
      <c r="H124" s="100" t="n"/>
      <c r="I124" s="100" t="n"/>
      <c r="J124" s="100" t="n"/>
      <c r="K124" s="31" t="n"/>
      <c r="L124" s="31" t="n"/>
      <c r="M124" s="31" t="n"/>
      <c r="N124" s="31" t="n"/>
      <c r="O124" s="31" t="n"/>
    </row>
    <row r="125" ht="13.5" customHeight="1">
      <c r="C125" s="28" t="inlineStr">
        <is>
          <t>Cash Flow to Equity Investors (Leveraged IRR):</t>
        </is>
      </c>
      <c r="D125" s="28" t="n"/>
      <c r="E125" s="28" t="n"/>
      <c r="F125" s="100" t="n"/>
      <c r="G125" s="100" t="n"/>
      <c r="H125" s="100" t="n"/>
      <c r="I125" s="100" t="n"/>
      <c r="J125" s="100" t="n"/>
      <c r="K125" s="31" t="n"/>
      <c r="L125" s="31" t="n"/>
      <c r="M125" s="31" t="n"/>
      <c r="N125" s="31" t="n"/>
      <c r="O125" s="31" t="n"/>
    </row>
    <row r="126" ht="13.5" customHeight="1">
      <c r="C126" s="43" t="inlineStr">
        <is>
          <t>(+) Proceeds from Sale of Property:</t>
        </is>
      </c>
      <c r="D126" s="111" t="n"/>
      <c r="E126" s="111" t="n"/>
      <c r="F126" s="111" t="n">
        <v>0</v>
      </c>
      <c r="G126" s="111" t="n">
        <v>0</v>
      </c>
      <c r="H126" s="111" t="n">
        <v>0</v>
      </c>
      <c r="I126" s="111" t="n">
        <v>0</v>
      </c>
      <c r="J126" s="111">
        <f>+J$80/D$112</f>
        <v/>
      </c>
      <c r="K126" s="31" t="n"/>
      <c r="L126" s="31" t="n"/>
      <c r="M126" s="31" t="n"/>
      <c r="N126" s="31" t="n"/>
      <c r="O126" s="31" t="n"/>
    </row>
    <row r="127" ht="13.5" customHeight="1">
      <c r="C127" s="43" t="inlineStr">
        <is>
          <t>(-) Selling Costs:</t>
        </is>
      </c>
      <c r="D127" s="95">
        <f>+D116</f>
        <v/>
      </c>
      <c r="E127" s="112" t="n"/>
      <c r="F127" s="112" t="n">
        <v>0</v>
      </c>
      <c r="G127" s="112" t="n">
        <v>0</v>
      </c>
      <c r="H127" s="112" t="n">
        <v>0</v>
      </c>
      <c r="I127" s="112" t="n">
        <v>0</v>
      </c>
      <c r="J127" s="112">
        <f>-J$126*D$127</f>
        <v/>
      </c>
      <c r="K127" s="31" t="n"/>
      <c r="L127" s="31" t="n"/>
      <c r="M127" s="31" t="n"/>
      <c r="N127" s="31" t="n"/>
      <c r="O127" s="31" t="n"/>
    </row>
    <row r="128" ht="13.5" customHeight="1">
      <c r="C128" s="43" t="inlineStr">
        <is>
          <t>(+) Cash Flows to Equity Investors:</t>
        </is>
      </c>
      <c r="E128" s="112" t="n"/>
      <c r="F128" s="23">
        <f>+F$92</f>
        <v/>
      </c>
      <c r="G128" s="23">
        <f>+G$92</f>
        <v/>
      </c>
      <c r="H128" s="23">
        <f>+H$92</f>
        <v/>
      </c>
      <c r="I128" s="23">
        <f>+I$92</f>
        <v/>
      </c>
      <c r="J128" s="23">
        <f>+J$92</f>
        <v/>
      </c>
      <c r="K128" s="31" t="n"/>
      <c r="L128" s="31" t="n"/>
      <c r="M128" s="31" t="n"/>
      <c r="N128" s="31" t="n"/>
      <c r="O128" s="31" t="n"/>
    </row>
    <row r="129" ht="13.5" customHeight="1">
      <c r="C129" s="43" t="inlineStr">
        <is>
          <t>(-) Debt Principal Repayment Upon Exit:</t>
        </is>
      </c>
      <c r="D129" s="112" t="n"/>
      <c r="E129" s="112" t="n"/>
      <c r="F129" s="112" t="n">
        <v>0</v>
      </c>
      <c r="G129" s="112" t="n">
        <v>0</v>
      </c>
      <c r="H129" s="112" t="n">
        <v>0</v>
      </c>
      <c r="I129" s="112" t="n">
        <v>0</v>
      </c>
      <c r="J129" s="112">
        <f>-J94</f>
        <v/>
      </c>
      <c r="K129" s="31" t="n"/>
      <c r="L129" s="31" t="n"/>
      <c r="M129" s="31" t="n"/>
      <c r="N129" s="31" t="n"/>
      <c r="O129" s="31" t="n"/>
    </row>
    <row r="130" ht="13.5" customHeight="1">
      <c r="C130" s="43" t="inlineStr">
        <is>
          <t>(-) Initial Equity Investment:</t>
        </is>
      </c>
      <c r="D130" s="103" t="n"/>
      <c r="E130" s="103">
        <f>-Dashboard!$I$11</f>
        <v/>
      </c>
      <c r="F130" s="112" t="n">
        <v>0</v>
      </c>
      <c r="G130" s="112" t="n">
        <v>0</v>
      </c>
      <c r="H130" s="112" t="n">
        <v>0</v>
      </c>
      <c r="I130" s="112" t="n">
        <v>0</v>
      </c>
      <c r="J130" s="112" t="n">
        <v>0</v>
      </c>
      <c r="K130" s="31" t="n"/>
      <c r="L130" s="31" t="n"/>
      <c r="M130" s="31" t="n"/>
      <c r="N130" s="31" t="n"/>
      <c r="O130" s="31" t="n"/>
    </row>
    <row r="131" ht="13.5" customHeight="1">
      <c r="C131" s="33" t="inlineStr">
        <is>
          <t>Total Cash Flows to Equity (Leveraged IRR):</t>
        </is>
      </c>
      <c r="D131" s="88" t="n"/>
      <c r="E131" s="88">
        <f>+SUM(E126:E130)</f>
        <v/>
      </c>
      <c r="F131" s="88">
        <f>+SUM(F126:F130)</f>
        <v/>
      </c>
      <c r="G131" s="88">
        <f>+SUM(G126:G130)</f>
        <v/>
      </c>
      <c r="H131" s="88">
        <f>+SUM(H126:H130)</f>
        <v/>
      </c>
      <c r="I131" s="88">
        <f>+SUM(I126:I130)</f>
        <v/>
      </c>
      <c r="J131" s="88">
        <f>+SUM(J126:J130)</f>
        <v/>
      </c>
      <c r="K131" s="31" t="n"/>
      <c r="L131" s="31" t="n"/>
      <c r="M131" s="31" t="n"/>
      <c r="N131" s="31" t="n"/>
      <c r="O131" s="31" t="n"/>
    </row>
    <row r="132" hidden="1" outlineLevel="1" ht="13.5" customHeight="1">
      <c r="C132" s="28" t="n"/>
      <c r="D132" s="99" t="n"/>
      <c r="E132" s="99" t="n"/>
      <c r="F132" s="100">
        <f>+F131-F126</f>
        <v/>
      </c>
      <c r="G132" s="100">
        <f>+G131-G126</f>
        <v/>
      </c>
      <c r="H132" s="100">
        <f>+H131-H126</f>
        <v/>
      </c>
      <c r="I132" s="100">
        <f>+I131-I126</f>
        <v/>
      </c>
      <c r="J132" s="100">
        <f>+J131-SUM(J126,J129)</f>
        <v/>
      </c>
      <c r="K132" s="31" t="n"/>
      <c r="L132" s="31" t="n"/>
      <c r="M132" s="31" t="n"/>
      <c r="N132" s="31" t="n"/>
      <c r="O132" s="31" t="n"/>
    </row>
    <row r="133" collapsed="1" ht="5.1" customHeight="1">
      <c r="D133" s="28" t="n"/>
      <c r="E133" s="28" t="n"/>
      <c r="F133" s="100" t="n"/>
      <c r="G133" s="100" t="n"/>
      <c r="H133" s="100" t="n"/>
      <c r="I133" s="100" t="n"/>
      <c r="J133" s="100" t="n"/>
      <c r="K133" s="31" t="n"/>
      <c r="L133" s="31" t="n"/>
      <c r="M133" s="31" t="n"/>
      <c r="N133" s="31" t="n"/>
      <c r="O133" s="31" t="n"/>
    </row>
    <row r="134" ht="13.5" customHeight="1">
      <c r="C134" s="113" t="inlineStr">
        <is>
          <t>Leveraged Internal Rate of Return (IRR):</t>
        </is>
      </c>
      <c r="D134" s="91" t="n"/>
      <c r="E134" s="114">
        <f>+IRR(E131:J131)</f>
        <v/>
      </c>
      <c r="G134" s="100" t="n"/>
      <c r="H134" s="100" t="n"/>
      <c r="I134" s="100" t="n"/>
      <c r="J134" s="100" t="n"/>
      <c r="K134" s="31" t="n"/>
      <c r="L134" s="31" t="n"/>
      <c r="M134" s="31" t="n"/>
      <c r="N134" s="31" t="n"/>
      <c r="O134" s="31" t="n"/>
    </row>
    <row r="135" ht="13.5" customHeight="1">
      <c r="C135" s="115" t="inlineStr">
        <is>
          <t>Levered Cash-on-Cash Multiple:</t>
        </is>
      </c>
      <c r="D135" s="92" t="n"/>
      <c r="E135" s="604">
        <f>+SUM(F126:J129)/-SUM(E130:J130)</f>
        <v/>
      </c>
      <c r="G135" s="100" t="n"/>
      <c r="H135" s="100" t="n"/>
      <c r="I135" s="100" t="n"/>
      <c r="J135" s="100" t="n"/>
      <c r="K135" s="31" t="n"/>
      <c r="L135" s="31" t="n"/>
      <c r="M135" s="31" t="n"/>
      <c r="N135" s="31" t="n"/>
      <c r="O135" s="31" t="n"/>
    </row>
    <row r="136"/>
    <row r="137" hidden="1" outlineLevel="1" ht="13.5" customHeight="1">
      <c r="C137" s="32" t="inlineStr">
        <is>
          <t>7 Year Hold IRR</t>
        </is>
      </c>
      <c r="D137" s="32" t="n"/>
      <c r="E137" s="602">
        <f>+'Scenario 0'!E138</f>
        <v/>
      </c>
      <c r="F137" s="602">
        <f>+'Scenario 0'!F138</f>
        <v/>
      </c>
      <c r="G137" s="602">
        <f>+'Scenario 0'!G138</f>
        <v/>
      </c>
      <c r="H137" s="602">
        <f>+'Scenario 0'!H138</f>
        <v/>
      </c>
      <c r="I137" s="602">
        <f>+'Scenario 0'!I138</f>
        <v/>
      </c>
      <c r="J137" s="602">
        <f>+'Scenario 0'!J138</f>
        <v/>
      </c>
      <c r="K137" s="602">
        <f>+'Scenario 0'!K138</f>
        <v/>
      </c>
      <c r="L137" s="602">
        <f>+'Scenario 0'!L138</f>
        <v/>
      </c>
      <c r="M137" s="602" t="n"/>
      <c r="N137" s="602" t="n"/>
      <c r="O137" s="602" t="n"/>
    </row>
    <row r="138" hidden="1" outlineLevel="1" ht="5.1" customHeight="1">
      <c r="C138" s="39" t="n"/>
      <c r="D138" s="109" t="n"/>
      <c r="E138" s="603" t="n"/>
      <c r="F138" s="603" t="n"/>
      <c r="G138" s="603" t="n"/>
      <c r="H138" s="603" t="n"/>
      <c r="I138" s="603" t="n"/>
      <c r="J138" s="603" t="n"/>
      <c r="K138" s="603" t="n"/>
      <c r="L138" s="603" t="n"/>
    </row>
    <row r="139" hidden="1" outlineLevel="1" ht="13.5" customHeight="1">
      <c r="C139" s="28" t="inlineStr">
        <is>
          <t>Project Cash Flows (Unleveraged IRR):</t>
        </is>
      </c>
      <c r="D139" s="28" t="n"/>
      <c r="E139" s="28" t="n"/>
      <c r="F139" s="100" t="n"/>
      <c r="G139" s="100" t="n"/>
      <c r="H139" s="100" t="n"/>
      <c r="I139" s="100" t="n"/>
      <c r="J139" s="100" t="n"/>
      <c r="K139" s="100" t="n"/>
      <c r="L139" s="100" t="n"/>
      <c r="M139" s="31" t="n"/>
      <c r="N139" s="31" t="n"/>
      <c r="O139" s="31" t="n"/>
    </row>
    <row r="140" hidden="1" outlineLevel="1" ht="13.5" customHeight="1">
      <c r="C140" s="43" t="inlineStr">
        <is>
          <t>(+) Proceeds from Sale of Property:</t>
        </is>
      </c>
      <c r="D140" s="111" t="n"/>
      <c r="E140" s="111" t="n"/>
      <c r="F140" s="111" t="n">
        <v>0</v>
      </c>
      <c r="G140" s="111" t="n">
        <v>0</v>
      </c>
      <c r="H140" s="111" t="n">
        <v>0</v>
      </c>
      <c r="I140" s="111" t="n">
        <v>0</v>
      </c>
      <c r="J140" s="111" t="n">
        <v>0</v>
      </c>
      <c r="K140" s="111" t="n">
        <v>0</v>
      </c>
      <c r="L140" s="111">
        <f>+L$80/D$112</f>
        <v/>
      </c>
      <c r="M140" s="31" t="n"/>
      <c r="N140" s="31" t="n"/>
      <c r="O140" s="31" t="n"/>
    </row>
    <row r="141" hidden="1" outlineLevel="1" ht="13.5" customHeight="1">
      <c r="C141" s="43" t="inlineStr">
        <is>
          <t>(-) Selling Costs:</t>
        </is>
      </c>
      <c r="D141" s="95">
        <f>+D116</f>
        <v/>
      </c>
      <c r="E141" s="112" t="n"/>
      <c r="F141" s="112" t="n">
        <v>0</v>
      </c>
      <c r="G141" s="112" t="n">
        <v>0</v>
      </c>
      <c r="H141" s="112" t="n">
        <v>0</v>
      </c>
      <c r="I141" s="112" t="n">
        <v>0</v>
      </c>
      <c r="J141" s="112" t="n">
        <v>0</v>
      </c>
      <c r="K141" s="112" t="n">
        <v>0</v>
      </c>
      <c r="L141" s="112">
        <f>-L$140*D$141</f>
        <v/>
      </c>
      <c r="M141" s="31" t="n"/>
      <c r="N141" s="31" t="n"/>
      <c r="O141" s="31" t="n"/>
    </row>
    <row r="142" hidden="1" outlineLevel="1" ht="13.5" customHeight="1">
      <c r="C142" s="43" t="inlineStr">
        <is>
          <t>(+) Adjusted NOI (Cash Flows to All Investors):</t>
        </is>
      </c>
      <c r="D142" s="112" t="n"/>
      <c r="E142" s="112" t="n"/>
      <c r="F142" s="23">
        <f>+F$88</f>
        <v/>
      </c>
      <c r="G142" s="23">
        <f>+G$88</f>
        <v/>
      </c>
      <c r="H142" s="23">
        <f>+H$88</f>
        <v/>
      </c>
      <c r="I142" s="23">
        <f>+I$88</f>
        <v/>
      </c>
      <c r="J142" s="23">
        <f>+J$88</f>
        <v/>
      </c>
      <c r="K142" s="23">
        <f>+K$88</f>
        <v/>
      </c>
      <c r="L142" s="23">
        <f>+L$88</f>
        <v/>
      </c>
      <c r="M142" s="31" t="n"/>
      <c r="N142" s="31" t="n"/>
      <c r="O142" s="31" t="n"/>
    </row>
    <row r="143" hidden="1" outlineLevel="1" ht="13.5" customHeight="1">
      <c r="C143" s="43" t="inlineStr">
        <is>
          <t>(-) Property Acquisition Price:</t>
        </is>
      </c>
      <c r="E143" s="103">
        <f>-Dashboard!$E$32</f>
        <v/>
      </c>
      <c r="F143" s="112" t="n">
        <v>0</v>
      </c>
      <c r="G143" s="112" t="n">
        <v>0</v>
      </c>
      <c r="H143" s="112" t="n">
        <v>0</v>
      </c>
      <c r="I143" s="112" t="n">
        <v>0</v>
      </c>
      <c r="J143" s="112" t="n">
        <v>0</v>
      </c>
      <c r="K143" s="112" t="n">
        <v>0</v>
      </c>
      <c r="L143" s="112" t="n">
        <v>0</v>
      </c>
      <c r="M143" s="31" t="n"/>
      <c r="N143" s="31" t="n"/>
      <c r="O143" s="31" t="n"/>
    </row>
    <row r="144" hidden="1" outlineLevel="1" ht="13.5" customHeight="1">
      <c r="C144" s="33" t="inlineStr">
        <is>
          <t>Total Project Cash Flows (Unleveraged IRR):</t>
        </is>
      </c>
      <c r="D144" s="38" t="n"/>
      <c r="E144" s="88">
        <f>SUM(E140:E143)</f>
        <v/>
      </c>
      <c r="F144" s="88">
        <f>SUM(F140:F143)</f>
        <v/>
      </c>
      <c r="G144" s="88">
        <f>SUM(G140:G143)</f>
        <v/>
      </c>
      <c r="H144" s="88">
        <f>SUM(H140:H143)</f>
        <v/>
      </c>
      <c r="I144" s="88">
        <f>SUM(I140:I143)</f>
        <v/>
      </c>
      <c r="J144" s="88">
        <f>SUM(J140:J143)</f>
        <v/>
      </c>
      <c r="K144" s="88">
        <f>SUM(K140:K143)</f>
        <v/>
      </c>
      <c r="L144" s="88">
        <f>SUM(L140:L143)</f>
        <v/>
      </c>
      <c r="M144" s="31" t="n"/>
      <c r="N144" s="31" t="n"/>
      <c r="O144" s="31" t="n"/>
    </row>
    <row r="145" hidden="1" outlineLevel="2" ht="13.5" customHeight="1">
      <c r="C145" s="28" t="n"/>
      <c r="E145" s="99" t="n"/>
      <c r="F145" s="100">
        <f>+F144-F140</f>
        <v/>
      </c>
      <c r="G145" s="100">
        <f>+G144-G140</f>
        <v/>
      </c>
      <c r="H145" s="100">
        <f>+H144-H140</f>
        <v/>
      </c>
      <c r="I145" s="100">
        <f>+I144-I140</f>
        <v/>
      </c>
      <c r="J145" s="100">
        <f>+J144-J140</f>
        <v/>
      </c>
      <c r="K145" s="100">
        <f>+K144-K140</f>
        <v/>
      </c>
      <c r="L145" s="100">
        <f>+L144-L140</f>
        <v/>
      </c>
      <c r="M145" s="31" t="n"/>
      <c r="N145" s="31" t="n"/>
      <c r="O145" s="31" t="n"/>
    </row>
    <row r="146" hidden="1" outlineLevel="1" collapsed="1" ht="5.1" customHeight="1">
      <c r="D146" s="28" t="n"/>
      <c r="E146" s="28" t="n"/>
      <c r="F146" s="100" t="n"/>
      <c r="G146" s="100" t="n"/>
      <c r="H146" s="100" t="n"/>
      <c r="I146" s="100" t="n"/>
      <c r="J146" s="100" t="n"/>
      <c r="K146" s="100" t="n"/>
      <c r="L146" s="100" t="n"/>
      <c r="M146" s="31" t="n"/>
      <c r="N146" s="31" t="n"/>
      <c r="O146" s="31" t="n"/>
    </row>
    <row r="147" hidden="1" outlineLevel="1" ht="13.5" customHeight="1">
      <c r="C147" s="113" t="inlineStr">
        <is>
          <t>Unlevered IRR:</t>
        </is>
      </c>
      <c r="D147" s="91" t="n"/>
      <c r="E147" s="114">
        <f>+IRR(E144:L144)</f>
        <v/>
      </c>
      <c r="G147" s="100" t="n"/>
      <c r="H147" s="100" t="n"/>
      <c r="I147" s="100" t="n"/>
      <c r="J147" s="100" t="n"/>
      <c r="K147" s="100" t="n"/>
      <c r="L147" s="100" t="n"/>
      <c r="M147" s="31" t="n"/>
      <c r="N147" s="31" t="n"/>
      <c r="O147" s="31" t="n"/>
    </row>
    <row r="148" hidden="1" outlineLevel="1" ht="13.5" customHeight="1">
      <c r="C148" s="115" t="inlineStr">
        <is>
          <t>Unlevered Cash-on-Cash Multiple:</t>
        </is>
      </c>
      <c r="D148" s="92" t="n"/>
      <c r="E148" s="604">
        <f>+SUM(F140:L142)/-SUM(E143:L143)</f>
        <v/>
      </c>
      <c r="G148" s="100" t="n"/>
      <c r="H148" s="100" t="n"/>
      <c r="I148" s="100" t="n"/>
      <c r="J148" s="100" t="n"/>
      <c r="K148" s="100" t="n"/>
      <c r="L148" s="100" t="n"/>
      <c r="M148" s="31" t="n"/>
      <c r="N148" s="31" t="n"/>
      <c r="O148" s="31" t="n"/>
    </row>
    <row r="149" hidden="1" outlineLevel="1" ht="13.5" customHeight="1">
      <c r="D149" s="28" t="n"/>
      <c r="E149" s="28" t="n"/>
      <c r="F149" s="100" t="n"/>
      <c r="G149" s="100" t="n"/>
      <c r="H149" s="100" t="n"/>
      <c r="I149" s="100" t="n"/>
      <c r="J149" s="100" t="n"/>
      <c r="K149" s="100" t="n"/>
      <c r="L149" s="100" t="n"/>
      <c r="M149" s="31" t="n"/>
      <c r="N149" s="31" t="n"/>
      <c r="O149" s="31" t="n"/>
    </row>
    <row r="150" hidden="1" outlineLevel="1" ht="13.5" customHeight="1">
      <c r="C150" s="28" t="inlineStr">
        <is>
          <t>Cash Flow to Equity Investors (Leveraged IRR):</t>
        </is>
      </c>
      <c r="D150" s="28" t="n"/>
      <c r="E150" s="28" t="n"/>
      <c r="F150" s="100" t="n"/>
      <c r="G150" s="100" t="n"/>
      <c r="H150" s="100" t="n"/>
      <c r="I150" s="100" t="n"/>
      <c r="J150" s="100" t="n"/>
      <c r="K150" s="100" t="n"/>
      <c r="L150" s="100" t="n"/>
      <c r="M150" s="31" t="n"/>
      <c r="N150" s="31" t="n"/>
      <c r="O150" s="31" t="n"/>
    </row>
    <row r="151" hidden="1" outlineLevel="1" ht="13.5" customHeight="1">
      <c r="C151" s="43" t="inlineStr">
        <is>
          <t>(+) Proceeds from Sale of Property:</t>
        </is>
      </c>
      <c r="D151" s="111" t="n"/>
      <c r="E151" s="111" t="n"/>
      <c r="F151" s="111" t="n">
        <v>0</v>
      </c>
      <c r="G151" s="111" t="n">
        <v>0</v>
      </c>
      <c r="H151" s="111" t="n">
        <v>0</v>
      </c>
      <c r="I151" s="111" t="n">
        <v>0</v>
      </c>
      <c r="J151" s="111" t="n">
        <v>0</v>
      </c>
      <c r="K151" s="111" t="n">
        <v>0</v>
      </c>
      <c r="L151" s="111">
        <f>+L$80/D$112</f>
        <v/>
      </c>
      <c r="M151" s="31" t="n"/>
      <c r="N151" s="31" t="n"/>
      <c r="O151" s="31" t="n"/>
    </row>
    <row r="152" hidden="1" outlineLevel="1" ht="13.5" customHeight="1">
      <c r="C152" s="43" t="inlineStr">
        <is>
          <t>(-) Selling Costs:</t>
        </is>
      </c>
      <c r="D152" s="95">
        <f>+D116</f>
        <v/>
      </c>
      <c r="E152" s="112" t="n"/>
      <c r="F152" s="112" t="n">
        <v>0</v>
      </c>
      <c r="G152" s="112" t="n">
        <v>0</v>
      </c>
      <c r="H152" s="112" t="n">
        <v>0</v>
      </c>
      <c r="I152" s="112" t="n">
        <v>0</v>
      </c>
      <c r="J152" s="112" t="n">
        <v>0</v>
      </c>
      <c r="K152" s="112" t="n">
        <v>0</v>
      </c>
      <c r="L152" s="112">
        <f>-L$151*D$152</f>
        <v/>
      </c>
      <c r="M152" s="31" t="n"/>
      <c r="N152" s="31" t="n"/>
      <c r="O152" s="31" t="n"/>
    </row>
    <row r="153" hidden="1" outlineLevel="1" ht="13.5" customHeight="1">
      <c r="C153" s="43" t="inlineStr">
        <is>
          <t>(+) Cash Flows to Equity Investors:</t>
        </is>
      </c>
      <c r="E153" s="112" t="n"/>
      <c r="F153" s="23">
        <f>+F$92</f>
        <v/>
      </c>
      <c r="G153" s="23">
        <f>+G$92</f>
        <v/>
      </c>
      <c r="H153" s="23">
        <f>+H$92</f>
        <v/>
      </c>
      <c r="I153" s="23">
        <f>+I$92</f>
        <v/>
      </c>
      <c r="J153" s="23">
        <f>+J$92</f>
        <v/>
      </c>
      <c r="K153" s="23">
        <f>+K$92</f>
        <v/>
      </c>
      <c r="L153" s="23">
        <f>+L$92</f>
        <v/>
      </c>
      <c r="M153" s="31" t="n"/>
      <c r="N153" s="31" t="n"/>
      <c r="O153" s="31" t="n"/>
    </row>
    <row r="154" hidden="1" outlineLevel="1" ht="13.5" customHeight="1">
      <c r="C154" s="43" t="inlineStr">
        <is>
          <t>(-) Debt Principal Repayment Upon Exit:</t>
        </is>
      </c>
      <c r="D154" s="112" t="n"/>
      <c r="E154" s="112" t="n"/>
      <c r="F154" s="112" t="n">
        <v>0</v>
      </c>
      <c r="G154" s="112" t="n">
        <v>0</v>
      </c>
      <c r="H154" s="112" t="n">
        <v>0</v>
      </c>
      <c r="I154" s="112" t="n">
        <v>0</v>
      </c>
      <c r="J154" s="112" t="n">
        <v>0</v>
      </c>
      <c r="K154" s="112" t="n">
        <v>0</v>
      </c>
      <c r="L154" s="112">
        <f>-L94</f>
        <v/>
      </c>
      <c r="M154" s="31" t="n"/>
      <c r="N154" s="31" t="n"/>
      <c r="O154" s="31" t="n"/>
    </row>
    <row r="155" hidden="1" outlineLevel="1" ht="13.5" customHeight="1">
      <c r="C155" s="43" t="inlineStr">
        <is>
          <t>(-) Initial Equity Investment:</t>
        </is>
      </c>
      <c r="D155" s="103" t="n"/>
      <c r="E155" s="103">
        <f>-Dashboard!$I$11</f>
        <v/>
      </c>
      <c r="F155" s="112" t="n">
        <v>0</v>
      </c>
      <c r="G155" s="112" t="n">
        <v>0</v>
      </c>
      <c r="H155" s="112" t="n">
        <v>0</v>
      </c>
      <c r="I155" s="112" t="n">
        <v>0</v>
      </c>
      <c r="J155" s="112" t="n">
        <v>0</v>
      </c>
      <c r="K155" s="112" t="n">
        <v>0</v>
      </c>
      <c r="L155" s="112" t="n">
        <v>0</v>
      </c>
      <c r="M155" s="31" t="n"/>
      <c r="N155" s="31" t="n"/>
      <c r="O155" s="31" t="n"/>
    </row>
    <row r="156" hidden="1" outlineLevel="1" ht="13.5" customHeight="1">
      <c r="C156" s="33" t="inlineStr">
        <is>
          <t>Total Cash Flows to Equity (Leveraged IRR):</t>
        </is>
      </c>
      <c r="D156" s="88" t="n"/>
      <c r="E156" s="88">
        <f>+SUM(E151:E155)</f>
        <v/>
      </c>
      <c r="F156" s="88">
        <f>+SUM(F151:F155)</f>
        <v/>
      </c>
      <c r="G156" s="88">
        <f>+SUM(G151:G155)</f>
        <v/>
      </c>
      <c r="H156" s="88">
        <f>+SUM(H151:H155)</f>
        <v/>
      </c>
      <c r="I156" s="88">
        <f>+SUM(I151:I155)</f>
        <v/>
      </c>
      <c r="J156" s="88">
        <f>+SUM(J151:J155)</f>
        <v/>
      </c>
      <c r="K156" s="88">
        <f>+SUM(K151:K155)</f>
        <v/>
      </c>
      <c r="L156" s="88">
        <f>+SUM(L151:L155)</f>
        <v/>
      </c>
      <c r="M156" s="31" t="n"/>
      <c r="N156" s="31" t="n"/>
      <c r="O156" s="31" t="n"/>
    </row>
    <row r="157" hidden="1" outlineLevel="2" ht="13.5" customHeight="1">
      <c r="C157" s="28" t="n"/>
      <c r="D157" s="99" t="n"/>
      <c r="E157" s="99" t="n"/>
      <c r="F157" s="100">
        <f>+F156-F151</f>
        <v/>
      </c>
      <c r="G157" s="100">
        <f>+G156-G151</f>
        <v/>
      </c>
      <c r="H157" s="100">
        <f>+H156-H151</f>
        <v/>
      </c>
      <c r="I157" s="100">
        <f>+I156-I151</f>
        <v/>
      </c>
      <c r="J157" s="100">
        <f>+J156-J151</f>
        <v/>
      </c>
      <c r="K157" s="100">
        <f>+K156-K151</f>
        <v/>
      </c>
      <c r="L157" s="100">
        <f>+L156-L151</f>
        <v/>
      </c>
      <c r="M157" s="31" t="n"/>
      <c r="N157" s="31" t="n"/>
      <c r="O157" s="31" t="n"/>
    </row>
    <row r="158" hidden="1" outlineLevel="1" collapsed="1" ht="5.1" customHeight="1">
      <c r="D158" s="28" t="n"/>
      <c r="E158" s="28" t="n"/>
      <c r="F158" s="100" t="n"/>
      <c r="G158" s="100" t="n"/>
      <c r="H158" s="100" t="n"/>
      <c r="I158" s="100" t="n"/>
      <c r="J158" s="100" t="n"/>
      <c r="K158" s="100" t="n"/>
      <c r="L158" s="100" t="n"/>
      <c r="M158" s="31" t="n"/>
      <c r="N158" s="31" t="n"/>
      <c r="O158" s="31" t="n"/>
    </row>
    <row r="159" hidden="1" outlineLevel="1" ht="13.5" customHeight="1">
      <c r="C159" s="113" t="inlineStr">
        <is>
          <t>Leveraged Internal Rate of Return (IRR):</t>
        </is>
      </c>
      <c r="D159" s="91" t="n"/>
      <c r="E159" s="114">
        <f>+IRR(E156:L156)</f>
        <v/>
      </c>
      <c r="G159" s="100" t="n"/>
      <c r="H159" s="100" t="n"/>
      <c r="I159" s="100" t="n"/>
      <c r="J159" s="100" t="n"/>
      <c r="K159" s="100" t="n"/>
      <c r="L159" s="100" t="n"/>
      <c r="M159" s="31" t="n"/>
      <c r="N159" s="31" t="n"/>
      <c r="O159" s="31" t="n"/>
    </row>
    <row r="160" hidden="1" outlineLevel="1" ht="13.5" customHeight="1">
      <c r="C160" s="115" t="inlineStr">
        <is>
          <t>Levered Cash-on-Cash Multiple:</t>
        </is>
      </c>
      <c r="D160" s="92" t="n"/>
      <c r="E160" s="604">
        <f>+SUM(F151:L154)/-SUM(E155:L155)</f>
        <v/>
      </c>
      <c r="G160" s="100" t="n"/>
      <c r="H160" s="100" t="n"/>
      <c r="I160" s="100" t="n"/>
      <c r="J160" s="100" t="n"/>
      <c r="K160" s="100" t="n"/>
      <c r="L160" s="100" t="n"/>
      <c r="M160" s="31" t="n"/>
      <c r="N160" s="31" t="n"/>
      <c r="O160" s="31" t="n"/>
    </row>
    <row r="161" hidden="1" outlineLevel="1" ht="13.5" customHeight="1"/>
    <row r="162" hidden="1" outlineLevel="1" ht="13.5" customHeight="1">
      <c r="C162" s="32" t="inlineStr">
        <is>
          <t>10 Year Hold IRR</t>
        </is>
      </c>
      <c r="D162" s="32" t="n"/>
      <c r="E162" s="602">
        <f>+'Scenario 0'!E163</f>
        <v/>
      </c>
      <c r="F162" s="602">
        <f>+'Scenario 0'!F163</f>
        <v/>
      </c>
      <c r="G162" s="602">
        <f>+'Scenario 0'!G163</f>
        <v/>
      </c>
      <c r="H162" s="602">
        <f>+'Scenario 0'!H163</f>
        <v/>
      </c>
      <c r="I162" s="602">
        <f>+'Scenario 0'!I163</f>
        <v/>
      </c>
      <c r="J162" s="602">
        <f>+'Scenario 0'!J163</f>
        <v/>
      </c>
      <c r="K162" s="602">
        <f>+'Scenario 0'!K163</f>
        <v/>
      </c>
      <c r="L162" s="602">
        <f>+'Scenario 0'!L163</f>
        <v/>
      </c>
      <c r="M162" s="602">
        <f>+'Scenario 0'!M163</f>
        <v/>
      </c>
      <c r="N162" s="602">
        <f>+'Scenario 0'!N163</f>
        <v/>
      </c>
      <c r="O162" s="602">
        <f>+'Scenario 0'!O163</f>
        <v/>
      </c>
    </row>
    <row r="163" hidden="1" outlineLevel="1" ht="5.1" customHeight="1">
      <c r="C163" s="39" t="n"/>
      <c r="D163" s="109" t="n"/>
      <c r="E163" s="603" t="n"/>
      <c r="F163" s="603" t="n"/>
      <c r="G163" s="603" t="n"/>
      <c r="H163" s="603" t="n"/>
      <c r="I163" s="603" t="n"/>
      <c r="J163" s="603" t="n"/>
      <c r="K163" s="603" t="n"/>
      <c r="L163" s="603" t="n"/>
      <c r="M163" s="603" t="n"/>
      <c r="N163" s="603" t="n"/>
      <c r="O163" s="603" t="n"/>
    </row>
    <row r="164" hidden="1" outlineLevel="1" ht="13.5" customHeight="1">
      <c r="C164" s="28" t="inlineStr">
        <is>
          <t>Project Cash Flows (Unleveraged IRR):</t>
        </is>
      </c>
      <c r="D164" s="28" t="n"/>
      <c r="E164" s="28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</row>
    <row r="165" hidden="1" outlineLevel="1" ht="13.5" customHeight="1">
      <c r="C165" s="43" t="inlineStr">
        <is>
          <t>(+) Proceeds from Sale of Property:</t>
        </is>
      </c>
      <c r="D165" s="111" t="n"/>
      <c r="E165" s="111" t="n"/>
      <c r="F165" s="111" t="n">
        <v>0</v>
      </c>
      <c r="G165" s="111" t="n">
        <v>0</v>
      </c>
      <c r="H165" s="111" t="n">
        <v>0</v>
      </c>
      <c r="I165" s="111" t="n">
        <v>0</v>
      </c>
      <c r="J165" s="111" t="n">
        <v>0</v>
      </c>
      <c r="K165" s="111" t="n">
        <v>0</v>
      </c>
      <c r="L165" s="111" t="n">
        <v>0</v>
      </c>
      <c r="M165" s="111" t="n">
        <v>0</v>
      </c>
      <c r="N165" s="111" t="n">
        <v>0</v>
      </c>
      <c r="O165" s="111">
        <f>+O$80/D$112</f>
        <v/>
      </c>
    </row>
    <row r="166" hidden="1" outlineLevel="1" ht="13.5" customHeight="1">
      <c r="C166" s="43" t="inlineStr">
        <is>
          <t>(-) Selling Costs:</t>
        </is>
      </c>
      <c r="D166" s="95">
        <f>+D116</f>
        <v/>
      </c>
      <c r="E166" s="112" t="n"/>
      <c r="F166" s="112" t="n">
        <v>0</v>
      </c>
      <c r="G166" s="112" t="n">
        <v>0</v>
      </c>
      <c r="H166" s="112" t="n">
        <v>0</v>
      </c>
      <c r="I166" s="112" t="n">
        <v>0</v>
      </c>
      <c r="J166" s="112" t="n">
        <v>0</v>
      </c>
      <c r="K166" s="112" t="n">
        <v>0</v>
      </c>
      <c r="L166" s="112" t="n">
        <v>0</v>
      </c>
      <c r="M166" s="112" t="n">
        <v>0</v>
      </c>
      <c r="N166" s="112" t="n">
        <v>0</v>
      </c>
      <c r="O166" s="112">
        <f>-O$165*D$166</f>
        <v/>
      </c>
    </row>
    <row r="167" hidden="1" outlineLevel="1" ht="13.5" customHeight="1">
      <c r="C167" s="43" t="inlineStr">
        <is>
          <t>(+) Adjusted NOI (Cash Flows to All Investors):</t>
        </is>
      </c>
      <c r="D167" s="112" t="n"/>
      <c r="E167" s="112" t="n"/>
      <c r="F167" s="23">
        <f>+F$88</f>
        <v/>
      </c>
      <c r="G167" s="23">
        <f>+G$88</f>
        <v/>
      </c>
      <c r="H167" s="23">
        <f>+H$88</f>
        <v/>
      </c>
      <c r="I167" s="23">
        <f>+I$88</f>
        <v/>
      </c>
      <c r="J167" s="23">
        <f>+J$88</f>
        <v/>
      </c>
      <c r="K167" s="23">
        <f>+K$88</f>
        <v/>
      </c>
      <c r="L167" s="23">
        <f>+L$88</f>
        <v/>
      </c>
      <c r="M167" s="23">
        <f>+M$88</f>
        <v/>
      </c>
      <c r="N167" s="23">
        <f>+N$88</f>
        <v/>
      </c>
      <c r="O167" s="23">
        <f>+O$88</f>
        <v/>
      </c>
    </row>
    <row r="168" hidden="1" outlineLevel="1" ht="13.5" customHeight="1">
      <c r="C168" s="43" t="inlineStr">
        <is>
          <t>(-) Property Acquisition Price:</t>
        </is>
      </c>
      <c r="E168" s="103">
        <f>-Dashboard!$E$32</f>
        <v/>
      </c>
      <c r="F168" s="112" t="n">
        <v>0</v>
      </c>
      <c r="G168" s="112" t="n">
        <v>0</v>
      </c>
      <c r="H168" s="112" t="n">
        <v>0</v>
      </c>
      <c r="I168" s="112" t="n">
        <v>0</v>
      </c>
      <c r="J168" s="112" t="n">
        <v>0</v>
      </c>
      <c r="K168" s="112" t="n">
        <v>0</v>
      </c>
      <c r="L168" s="112" t="n">
        <v>0</v>
      </c>
      <c r="M168" s="112" t="n">
        <v>0</v>
      </c>
      <c r="N168" s="112" t="n">
        <v>0</v>
      </c>
      <c r="O168" s="112" t="n">
        <v>0</v>
      </c>
    </row>
    <row r="169" hidden="1" outlineLevel="1" ht="13.5" customHeight="1">
      <c r="C169" s="33" t="inlineStr">
        <is>
          <t>Total Project Cash Flows (Unleveraged IRR):</t>
        </is>
      </c>
      <c r="D169" s="38" t="n"/>
      <c r="E169" s="88">
        <f>SUM(E165:E168)</f>
        <v/>
      </c>
      <c r="F169" s="88">
        <f>SUM(F165:F168)</f>
        <v/>
      </c>
      <c r="G169" s="88">
        <f>SUM(G165:G168)</f>
        <v/>
      </c>
      <c r="H169" s="88">
        <f>SUM(H165:H168)</f>
        <v/>
      </c>
      <c r="I169" s="88">
        <f>SUM(I165:I168)</f>
        <v/>
      </c>
      <c r="J169" s="88">
        <f>SUM(J165:J168)</f>
        <v/>
      </c>
      <c r="K169" s="88">
        <f>SUM(K165:K168)</f>
        <v/>
      </c>
      <c r="L169" s="88">
        <f>SUM(L165:L168)</f>
        <v/>
      </c>
      <c r="M169" s="88">
        <f>SUM(M165:M168)</f>
        <v/>
      </c>
      <c r="N169" s="88">
        <f>SUM(N165:N168)</f>
        <v/>
      </c>
      <c r="O169" s="88">
        <f>SUM(O165:O168)</f>
        <v/>
      </c>
    </row>
    <row r="170" hidden="1" outlineLevel="2" ht="13.5" customHeight="1">
      <c r="C170" s="28" t="n"/>
      <c r="E170" s="99" t="n"/>
      <c r="F170" s="100">
        <f>+F169-F165</f>
        <v/>
      </c>
      <c r="G170" s="100">
        <f>+G169-G165</f>
        <v/>
      </c>
      <c r="H170" s="100">
        <f>+H169-H165</f>
        <v/>
      </c>
      <c r="I170" s="100">
        <f>+I169-I165</f>
        <v/>
      </c>
      <c r="J170" s="100">
        <f>+J169-J165</f>
        <v/>
      </c>
      <c r="K170" s="100">
        <f>+K169-K165</f>
        <v/>
      </c>
      <c r="L170" s="100">
        <f>+L169-L165</f>
        <v/>
      </c>
      <c r="M170" s="100">
        <f>+M169-M165</f>
        <v/>
      </c>
      <c r="N170" s="100">
        <f>+N169-N165</f>
        <v/>
      </c>
      <c r="O170" s="100">
        <f>+O169-O165</f>
        <v/>
      </c>
    </row>
    <row r="171" hidden="1" outlineLevel="1" collapsed="1" ht="5.1" customHeight="1">
      <c r="D171" s="28" t="n"/>
      <c r="E171" s="28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</row>
    <row r="172" hidden="1" outlineLevel="1" ht="13.5" customHeight="1">
      <c r="C172" s="113" t="inlineStr">
        <is>
          <t>Unlevered IRR:</t>
        </is>
      </c>
      <c r="D172" s="91" t="n"/>
      <c r="E172" s="114">
        <f>+IRR(E169:O169)</f>
        <v/>
      </c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</row>
    <row r="173" hidden="1" outlineLevel="1" ht="13.5" customHeight="1">
      <c r="C173" s="115" t="inlineStr">
        <is>
          <t>Unlevered Cash-on-Cash Multiple:</t>
        </is>
      </c>
      <c r="D173" s="92" t="n"/>
      <c r="E173" s="604">
        <f>+SUM(F165:O167)/-SUM(E168:O168)</f>
        <v/>
      </c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</row>
    <row r="174" hidden="1" outlineLevel="1" ht="13.5" customHeight="1">
      <c r="D174" s="28" t="n"/>
      <c r="E174" s="28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</row>
    <row r="175" hidden="1" outlineLevel="1" ht="13.5" customHeight="1">
      <c r="C175" s="28" t="inlineStr">
        <is>
          <t>Cash Flow to Equity Investors (Leveraged IRR):</t>
        </is>
      </c>
      <c r="D175" s="28" t="n"/>
      <c r="E175" s="28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</row>
    <row r="176" hidden="1" outlineLevel="1" ht="13.5" customHeight="1">
      <c r="C176" s="43" t="inlineStr">
        <is>
          <t>(+) Proceeds from Sale of Property:</t>
        </is>
      </c>
      <c r="D176" s="111" t="n"/>
      <c r="E176" s="111" t="n"/>
      <c r="F176" s="111" t="n">
        <v>0</v>
      </c>
      <c r="G176" s="111" t="n">
        <v>0</v>
      </c>
      <c r="H176" s="111" t="n">
        <v>0</v>
      </c>
      <c r="I176" s="111" t="n">
        <v>0</v>
      </c>
      <c r="J176" s="111" t="n">
        <v>0</v>
      </c>
      <c r="K176" s="111" t="n">
        <v>0</v>
      </c>
      <c r="L176" s="111" t="n">
        <v>0</v>
      </c>
      <c r="M176" s="111" t="n">
        <v>0</v>
      </c>
      <c r="N176" s="111" t="n">
        <v>0</v>
      </c>
      <c r="O176" s="111">
        <f>+O$80/D$112</f>
        <v/>
      </c>
    </row>
    <row r="177" hidden="1" outlineLevel="1" ht="13.5" customHeight="1">
      <c r="C177" s="43" t="inlineStr">
        <is>
          <t>(-) Selling Costs:</t>
        </is>
      </c>
      <c r="D177" s="95">
        <f>+D127</f>
        <v/>
      </c>
      <c r="E177" s="112" t="n"/>
      <c r="F177" s="112" t="n">
        <v>0</v>
      </c>
      <c r="G177" s="112" t="n">
        <v>0</v>
      </c>
      <c r="H177" s="112" t="n">
        <v>0</v>
      </c>
      <c r="I177" s="112" t="n">
        <v>0</v>
      </c>
      <c r="J177" s="112" t="n">
        <v>0</v>
      </c>
      <c r="K177" s="112" t="n">
        <v>0</v>
      </c>
      <c r="L177" s="112" t="n">
        <v>0</v>
      </c>
      <c r="M177" s="112" t="n">
        <v>0</v>
      </c>
      <c r="N177" s="112" t="n">
        <v>0</v>
      </c>
      <c r="O177" s="112">
        <f>-O$165*D$166</f>
        <v/>
      </c>
    </row>
    <row r="178" hidden="1" outlineLevel="1" ht="13.5" customHeight="1">
      <c r="C178" s="43" t="inlineStr">
        <is>
          <t>(+) Cash Flows to Equity Investors:</t>
        </is>
      </c>
      <c r="E178" s="112" t="n"/>
      <c r="F178" s="23">
        <f>+F$92</f>
        <v/>
      </c>
      <c r="G178" s="23">
        <f>+G$92</f>
        <v/>
      </c>
      <c r="H178" s="23">
        <f>+H$92</f>
        <v/>
      </c>
      <c r="I178" s="23">
        <f>+I$92</f>
        <v/>
      </c>
      <c r="J178" s="23">
        <f>+J$92</f>
        <v/>
      </c>
      <c r="K178" s="23">
        <f>+K$92</f>
        <v/>
      </c>
      <c r="L178" s="23">
        <f>+L$92</f>
        <v/>
      </c>
      <c r="M178" s="23">
        <f>+M$92</f>
        <v/>
      </c>
      <c r="N178" s="23">
        <f>+N$92</f>
        <v/>
      </c>
      <c r="O178" s="23">
        <f>+O$92</f>
        <v/>
      </c>
    </row>
    <row r="179" hidden="1" outlineLevel="1" ht="13.5" customHeight="1">
      <c r="C179" s="43" t="inlineStr">
        <is>
          <t>(-) Debt Principal Repayment Upon Exit:</t>
        </is>
      </c>
      <c r="D179" s="112" t="n"/>
      <c r="E179" s="112" t="n"/>
      <c r="F179" s="112" t="n">
        <v>0</v>
      </c>
      <c r="G179" s="112" t="n">
        <v>0</v>
      </c>
      <c r="H179" s="112" t="n">
        <v>0</v>
      </c>
      <c r="I179" s="112" t="n">
        <v>0</v>
      </c>
      <c r="J179" s="112" t="n">
        <v>0</v>
      </c>
      <c r="K179" s="112" t="n">
        <v>0</v>
      </c>
      <c r="L179" s="112" t="n">
        <v>0</v>
      </c>
      <c r="M179" s="112" t="n">
        <v>0</v>
      </c>
      <c r="N179" s="112" t="n">
        <v>0</v>
      </c>
      <c r="O179" s="112">
        <f>-O94</f>
        <v/>
      </c>
    </row>
    <row r="180" hidden="1" outlineLevel="1" ht="13.5" customHeight="1">
      <c r="C180" s="43" t="inlineStr">
        <is>
          <t>(-) Initial Equity Investment:</t>
        </is>
      </c>
      <c r="D180" s="103" t="n"/>
      <c r="E180" s="103">
        <f>-Dashboard!$I$11</f>
        <v/>
      </c>
      <c r="F180" s="112" t="n">
        <v>0</v>
      </c>
      <c r="G180" s="112" t="n">
        <v>0</v>
      </c>
      <c r="H180" s="112" t="n">
        <v>0</v>
      </c>
      <c r="I180" s="112" t="n">
        <v>0</v>
      </c>
      <c r="J180" s="112" t="n">
        <v>0</v>
      </c>
      <c r="K180" s="112" t="n">
        <v>0</v>
      </c>
      <c r="L180" s="112" t="n">
        <v>0</v>
      </c>
      <c r="M180" s="112" t="n">
        <v>0</v>
      </c>
      <c r="N180" s="112" t="n">
        <v>0</v>
      </c>
      <c r="O180" s="112" t="n">
        <v>0</v>
      </c>
    </row>
    <row r="181" hidden="1" outlineLevel="1" ht="13.5" customHeight="1">
      <c r="C181" s="33" t="inlineStr">
        <is>
          <t>Total Cash Flows to Equity (Leveraged IRR):</t>
        </is>
      </c>
      <c r="D181" s="88" t="n"/>
      <c r="E181" s="88">
        <f>+SUM(E176:E180)</f>
        <v/>
      </c>
      <c r="F181" s="88">
        <f>+SUM(F176:F180)</f>
        <v/>
      </c>
      <c r="G181" s="88">
        <f>+SUM(G176:G180)</f>
        <v/>
      </c>
      <c r="H181" s="88">
        <f>+SUM(H176:H180)</f>
        <v/>
      </c>
      <c r="I181" s="88">
        <f>+SUM(I176:I180)</f>
        <v/>
      </c>
      <c r="J181" s="88">
        <f>+SUM(J176:J180)</f>
        <v/>
      </c>
      <c r="K181" s="88">
        <f>+SUM(K176:K180)</f>
        <v/>
      </c>
      <c r="L181" s="88">
        <f>+SUM(L176:L180)</f>
        <v/>
      </c>
      <c r="M181" s="88">
        <f>+SUM(M176:M180)</f>
        <v/>
      </c>
      <c r="N181" s="88">
        <f>+SUM(N176:N180)</f>
        <v/>
      </c>
      <c r="O181" s="88">
        <f>+SUM(O176:O180)</f>
        <v/>
      </c>
    </row>
    <row r="182" hidden="1" outlineLevel="2" ht="13.5" customHeight="1">
      <c r="C182" s="28" t="n"/>
      <c r="D182" s="99" t="n"/>
      <c r="E182" s="99" t="n"/>
      <c r="F182" s="100">
        <f>+F181-F176</f>
        <v/>
      </c>
      <c r="G182" s="100">
        <f>+G181-G176</f>
        <v/>
      </c>
      <c r="H182" s="100">
        <f>+H181-H176</f>
        <v/>
      </c>
      <c r="I182" s="100">
        <f>+I181-I176</f>
        <v/>
      </c>
      <c r="J182" s="100">
        <f>+J181-J176</f>
        <v/>
      </c>
      <c r="K182" s="100">
        <f>+K181-K176</f>
        <v/>
      </c>
      <c r="L182" s="100">
        <f>+L181-L176</f>
        <v/>
      </c>
      <c r="M182" s="100">
        <f>+M181-M176</f>
        <v/>
      </c>
      <c r="N182" s="100">
        <f>+N181-N176</f>
        <v/>
      </c>
      <c r="O182" s="100">
        <f>+O181-O176</f>
        <v/>
      </c>
    </row>
    <row r="183" hidden="1" outlineLevel="1" collapsed="1" ht="5.1" customHeight="1">
      <c r="D183" s="28" t="n"/>
      <c r="E183" s="28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</row>
    <row r="184" hidden="1" outlineLevel="1" ht="13.5" customHeight="1">
      <c r="C184" s="113" t="inlineStr">
        <is>
          <t>Leveraged Internal Rate of Return (IRR):</t>
        </is>
      </c>
      <c r="D184" s="91" t="n"/>
      <c r="E184" s="114">
        <f>+IRR(E181:O181)</f>
        <v/>
      </c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</row>
    <row r="185" hidden="1" outlineLevel="1" ht="13.5" customHeight="1">
      <c r="C185" s="115" t="inlineStr">
        <is>
          <t>Levered Cash-on-Cash Multiple:</t>
        </is>
      </c>
      <c r="D185" s="92" t="n"/>
      <c r="E185" s="604">
        <f>+SUM(F176:O179)/-SUM(E180:O180)</f>
        <v/>
      </c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</row>
    <row r="186" collapsed="1" ht="13.5" customHeight="1"/>
  </sheetData>
  <mergeCells count="9">
    <mergeCell ref="I1:I2"/>
    <mergeCell ref="C1:C2"/>
    <mergeCell ref="D1:D2"/>
    <mergeCell ref="G1:G2"/>
    <mergeCell ref="E1:E2"/>
    <mergeCell ref="F1:F2"/>
    <mergeCell ref="H1:H2"/>
    <mergeCell ref="P1:P2"/>
    <mergeCell ref="O1:O2"/>
  </mergeCells>
  <pageMargins left="0.7" right="0.7" top="0.75" bottom="0.75" header="0.3" footer="0.3"/>
  <pageSetup orientation="landscape" scale="17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5"/>
  <sheetViews>
    <sheetView showGridLines="1" view="normal" zoomScale="80" zoomScaleNormal="100" zoomScaleSheetLayoutView="80" workbookViewId="0">
      <selection activeCell="C4" sqref="C4"/>
    </sheetView>
  </sheetViews>
  <sheetFormatPr baseColWidth="8" defaultColWidth="9.140625" defaultRowHeight="13.5" customHeight="1" outlineLevelRow="2"/>
  <cols>
    <col width="11.85546875" customWidth="1" style="13" min="1" max="1"/>
    <col width="1.7109375" customWidth="1" style="13" min="2" max="2"/>
    <col width="36" customWidth="1" style="13" min="3" max="3"/>
    <col width="13.5703125" bestFit="1" customWidth="1" style="13" min="4" max="5"/>
    <col width="13.5703125" customWidth="1" style="13" min="6" max="6"/>
    <col width="13" bestFit="1" customWidth="1" style="13" min="7" max="8"/>
    <col width="13" customWidth="1" style="13" min="9" max="10"/>
    <col hidden="1" outlineLevel="1" width="13" customWidth="1" style="13" min="11" max="15"/>
    <col collapsed="1" width="5.7109375" customWidth="1" style="13" min="16" max="16"/>
    <col width="9.140625" customWidth="1" style="13" min="17" max="16384"/>
  </cols>
  <sheetData>
    <row r="1" ht="15" customHeight="1">
      <c r="C1" s="570" t="inlineStr">
        <is>
          <t>Underwriting Model Scenario 3</t>
        </is>
      </c>
      <c r="D1" s="570" t="n"/>
      <c r="E1" s="570" t="n"/>
      <c r="F1" s="570" t="n"/>
      <c r="G1" s="570" t="n"/>
      <c r="H1" s="570" t="n"/>
      <c r="I1" s="570" t="n"/>
      <c r="J1" s="569" t="n"/>
      <c r="K1" s="569" t="n"/>
      <c r="L1" s="569" t="n"/>
      <c r="M1" s="569" t="n"/>
      <c r="N1" s="569" t="n"/>
      <c r="O1" s="570" t="n"/>
      <c r="P1" s="570" t="n"/>
    </row>
    <row r="2" ht="15.75" customHeight="1" thickBot="1">
      <c r="C2" s="582" t="n"/>
      <c r="D2" s="582" t="n"/>
      <c r="E2" s="582" t="n"/>
      <c r="F2" s="582" t="n"/>
      <c r="G2" s="582" t="n"/>
      <c r="H2" s="582" t="n"/>
      <c r="I2" s="582" t="n"/>
      <c r="J2" s="570" t="n"/>
      <c r="K2" s="570" t="n"/>
      <c r="L2" s="570" t="n"/>
      <c r="M2" s="570" t="n"/>
      <c r="N2" s="570" t="n"/>
      <c r="O2" s="582" t="n"/>
      <c r="P2" s="582" t="n"/>
    </row>
    <row r="3" ht="13.5" customHeight="1" thickTop="1">
      <c r="C3" s="104" t="n"/>
      <c r="D3" s="221" t="inlineStr">
        <is>
          <t>Year</t>
        </is>
      </c>
      <c r="E3" s="221">
        <f>+'Scenario 0'!E3</f>
        <v/>
      </c>
      <c r="F3" s="221">
        <f>+'Scenario 0'!F3</f>
        <v/>
      </c>
      <c r="G3" s="221">
        <f>+'Scenario 0'!G3</f>
        <v/>
      </c>
      <c r="H3" s="221">
        <f>+'Scenario 0'!H3</f>
        <v/>
      </c>
      <c r="I3" s="221">
        <f>+'Scenario 0'!I3</f>
        <v/>
      </c>
      <c r="J3" s="221">
        <f>+'Scenario 0'!J3</f>
        <v/>
      </c>
      <c r="K3" s="221">
        <f>+'Scenario 0'!K3</f>
        <v/>
      </c>
      <c r="L3" s="221">
        <f>+'Scenario 0'!L3</f>
        <v/>
      </c>
      <c r="M3" s="221">
        <f>+'Scenario 0'!M3</f>
        <v/>
      </c>
      <c r="N3" s="221">
        <f>+'Scenario 0'!N3</f>
        <v/>
      </c>
      <c r="O3" s="221">
        <f>+'Scenario 0'!O3</f>
        <v/>
      </c>
      <c r="P3" s="104" t="n"/>
    </row>
    <row r="4" ht="17.45" customHeight="1">
      <c r="C4" s="209">
        <f>+'Unit Mix'!AD3</f>
        <v/>
      </c>
      <c r="D4" s="210" t="n"/>
      <c r="E4" s="37" t="n"/>
      <c r="F4" s="583" t="n"/>
      <c r="G4" s="583" t="n"/>
      <c r="H4" s="583" t="n"/>
      <c r="I4" s="583" t="n"/>
      <c r="J4" s="583" t="n"/>
      <c r="K4" s="583" t="n"/>
      <c r="L4" s="583" t="n"/>
      <c r="M4" s="583" t="n"/>
      <c r="N4" s="583" t="n"/>
      <c r="O4" s="583" t="n"/>
    </row>
    <row r="5" ht="5.1" customHeight="1"/>
    <row r="6" ht="13.5" customHeight="1">
      <c r="C6" s="211" t="inlineStr">
        <is>
          <t>Income Statement</t>
        </is>
      </c>
      <c r="D6" s="36" t="n"/>
      <c r="E6" s="584">
        <f>+'Scenario 0'!E6</f>
        <v/>
      </c>
      <c r="F6" s="584">
        <f>+'Scenario 0'!F6</f>
        <v/>
      </c>
      <c r="G6" s="584">
        <f>+'Scenario 0'!G6</f>
        <v/>
      </c>
      <c r="H6" s="584">
        <f>+'Scenario 0'!H6</f>
        <v/>
      </c>
      <c r="I6" s="584">
        <f>+'Scenario 0'!I6</f>
        <v/>
      </c>
      <c r="J6" s="584">
        <f>+'Scenario 0'!J6</f>
        <v/>
      </c>
      <c r="K6" s="584">
        <f>+'Scenario 0'!K6</f>
        <v/>
      </c>
      <c r="L6" s="584">
        <f>+'Scenario 0'!L6</f>
        <v/>
      </c>
      <c r="M6" s="584">
        <f>+'Scenario 0'!M6</f>
        <v/>
      </c>
      <c r="N6" s="584">
        <f>+'Scenario 0'!N6</f>
        <v/>
      </c>
      <c r="O6" s="584">
        <f>+'Scenario 0'!O6</f>
        <v/>
      </c>
    </row>
    <row r="7" ht="13.5" customHeight="1">
      <c r="C7" s="13" t="inlineStr">
        <is>
          <t>Gross Potential Income</t>
        </is>
      </c>
      <c r="E7" s="249">
        <f>+'Scenario 0'!$E$7</f>
        <v/>
      </c>
      <c r="F7" s="40">
        <f>+'Unit Mix'!AI26</f>
        <v/>
      </c>
      <c r="G7" s="40">
        <f>+'Unit Mix'!AI49</f>
        <v/>
      </c>
      <c r="H7" s="40">
        <f>+'Unit Mix'!AI72</f>
        <v/>
      </c>
      <c r="I7" s="40">
        <f>+'Unit Mix'!AI95</f>
        <v/>
      </c>
      <c r="J7" s="40">
        <f>+'Unit Mix'!AI118</f>
        <v/>
      </c>
      <c r="K7" s="40">
        <f>+'Unit Mix'!AI141</f>
        <v/>
      </c>
      <c r="L7" s="40">
        <f>+'Unit Mix'!AI164</f>
        <v/>
      </c>
      <c r="M7" s="40">
        <f>+'Unit Mix'!AI187</f>
        <v/>
      </c>
      <c r="N7" s="40">
        <f>+'Unit Mix'!AI210</f>
        <v/>
      </c>
      <c r="O7" s="40">
        <f>+'Unit Mix'!AI233</f>
        <v/>
      </c>
    </row>
    <row r="8" ht="13.5" customHeight="1">
      <c r="C8" s="13" t="inlineStr">
        <is>
          <t>Vacancy Factor</t>
        </is>
      </c>
      <c r="D8" s="42">
        <f>+Dashboard!$P$10</f>
        <v/>
      </c>
      <c r="E8" s="605">
        <f>+'Scenario 0'!$E$8</f>
        <v/>
      </c>
      <c r="F8" s="579">
        <f>+F7*$D$8</f>
        <v/>
      </c>
      <c r="G8" s="579">
        <f>+G7*$D$8</f>
        <v/>
      </c>
      <c r="H8" s="579">
        <f>+H7*$D$8</f>
        <v/>
      </c>
      <c r="I8" s="579">
        <f>+I7*$D$8</f>
        <v/>
      </c>
      <c r="J8" s="579">
        <f>+J7*$D$8</f>
        <v/>
      </c>
      <c r="K8" s="579">
        <f>+K7*$D$8</f>
        <v/>
      </c>
      <c r="L8" s="579">
        <f>+L7*$D$8</f>
        <v/>
      </c>
      <c r="M8" s="579">
        <f>+M7*$D$8</f>
        <v/>
      </c>
      <c r="N8" s="579">
        <f>+N7*$D$8</f>
        <v/>
      </c>
      <c r="O8" s="579">
        <f>+O7*$D$8</f>
        <v/>
      </c>
    </row>
    <row r="9" ht="13.5" customHeight="1">
      <c r="C9" s="33" t="inlineStr">
        <is>
          <t>Net Rental Income</t>
        </is>
      </c>
      <c r="D9" s="33" t="n"/>
      <c r="E9" s="224">
        <f>+E7-E8</f>
        <v/>
      </c>
      <c r="F9" s="34">
        <f>+F7-F8</f>
        <v/>
      </c>
      <c r="G9" s="34">
        <f>+G7-G8</f>
        <v/>
      </c>
      <c r="H9" s="34">
        <f>+H7-H8</f>
        <v/>
      </c>
      <c r="I9" s="34">
        <f>+I7-I8</f>
        <v/>
      </c>
      <c r="J9" s="34">
        <f>+J7-J8</f>
        <v/>
      </c>
      <c r="K9" s="34">
        <f>+K7-K8</f>
        <v/>
      </c>
      <c r="L9" s="34">
        <f>+L7-L8</f>
        <v/>
      </c>
      <c r="M9" s="34">
        <f>+M7-M8</f>
        <v/>
      </c>
      <c r="N9" s="34">
        <f>+N7-N8</f>
        <v/>
      </c>
      <c r="O9" s="34">
        <f>+O7-O8</f>
        <v/>
      </c>
    </row>
    <row r="10" ht="5.1" customHeight="1">
      <c r="C10" s="28" t="n"/>
      <c r="D10" s="28" t="n"/>
      <c r="E10" s="225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</row>
    <row r="11" ht="13.5" customHeight="1">
      <c r="C11" s="13" t="inlineStr">
        <is>
          <t>Laundry and Other Income</t>
        </is>
      </c>
      <c r="D11" s="42">
        <f>+Dashboard!$P$14</f>
        <v/>
      </c>
      <c r="E11" s="249">
        <f>+'Scenario 0'!$E$11</f>
        <v/>
      </c>
      <c r="F11" s="103">
        <f>+Dashboard!$O$14</f>
        <v/>
      </c>
      <c r="G11" s="112">
        <f>+F11*(1+$D11)</f>
        <v/>
      </c>
      <c r="H11" s="112">
        <f>+G11*(1+$D11)</f>
        <v/>
      </c>
      <c r="I11" s="112">
        <f>+H11*(1+$D11)</f>
        <v/>
      </c>
      <c r="J11" s="112">
        <f>+I11*(1+$D11)</f>
        <v/>
      </c>
      <c r="K11" s="112">
        <f>+J11*(1+$D11)</f>
        <v/>
      </c>
      <c r="L11" s="112">
        <f>+K11*(1+$D11)</f>
        <v/>
      </c>
      <c r="M11" s="112">
        <f>+L11*(1+$D11)</f>
        <v/>
      </c>
      <c r="N11" s="112">
        <f>+M11*(1+$D11)</f>
        <v/>
      </c>
      <c r="O11" s="112">
        <f>+N11*(1+$D11)</f>
        <v/>
      </c>
    </row>
    <row r="12" ht="13.5" customHeight="1">
      <c r="C12" s="33" t="inlineStr">
        <is>
          <t>Total Gross Income</t>
        </is>
      </c>
      <c r="D12" s="34" t="n"/>
      <c r="E12" s="224">
        <f>+SUM(E9:E11)</f>
        <v/>
      </c>
      <c r="F12" s="34">
        <f>+SUM(F9:F11)</f>
        <v/>
      </c>
      <c r="G12" s="34">
        <f>+SUM(G9:G11)</f>
        <v/>
      </c>
      <c r="H12" s="34">
        <f>+SUM(H9:H11)</f>
        <v/>
      </c>
      <c r="I12" s="34">
        <f>+SUM(I9:I11)</f>
        <v/>
      </c>
      <c r="J12" s="34">
        <f>+SUM(J9:J11)</f>
        <v/>
      </c>
      <c r="K12" s="34">
        <f>+SUM(K9:K11)</f>
        <v/>
      </c>
      <c r="L12" s="34">
        <f>+SUM(L9:L11)</f>
        <v/>
      </c>
      <c r="M12" s="34">
        <f>+SUM(M9:M11)</f>
        <v/>
      </c>
      <c r="N12" s="34">
        <f>+SUM(N9:N11)</f>
        <v/>
      </c>
      <c r="O12" s="34">
        <f>+SUM(O9:O11)</f>
        <v/>
      </c>
    </row>
    <row r="13" ht="13.5" customHeight="1">
      <c r="C13" s="104" t="inlineStr">
        <is>
          <t>Gross Income Growth</t>
        </is>
      </c>
      <c r="D13" s="66" t="n"/>
      <c r="E13" s="259" t="inlineStr">
        <is>
          <t>--</t>
        </is>
      </c>
      <c r="F13" s="105">
        <f>+F12/E12-1</f>
        <v/>
      </c>
      <c r="G13" s="105">
        <f>+G12/F12-1</f>
        <v/>
      </c>
      <c r="H13" s="105">
        <f>+H12/G12-1</f>
        <v/>
      </c>
      <c r="I13" s="105">
        <f>+I12/H12-1</f>
        <v/>
      </c>
      <c r="J13" s="105">
        <f>+J12/I12-1</f>
        <v/>
      </c>
      <c r="K13" s="105">
        <f>+K12/J12-1</f>
        <v/>
      </c>
      <c r="L13" s="105">
        <f>+L12/K12-1</f>
        <v/>
      </c>
      <c r="M13" s="105">
        <f>+M12/L12-1</f>
        <v/>
      </c>
      <c r="N13" s="105">
        <f>+N12/M12-1</f>
        <v/>
      </c>
      <c r="O13" s="105">
        <f>+O12/N12-1</f>
        <v/>
      </c>
    </row>
    <row r="14" ht="5.1" customHeight="1">
      <c r="E14" s="226" t="n"/>
    </row>
    <row r="15" ht="13.5" customHeight="1">
      <c r="C15" s="28" t="inlineStr">
        <is>
          <t>Opertating Expenses</t>
        </is>
      </c>
      <c r="E15" s="226" t="n"/>
    </row>
    <row r="16" hidden="1" outlineLevel="1" ht="5.1" customHeight="1">
      <c r="C16" s="28" t="n"/>
      <c r="E16" s="226" t="n"/>
    </row>
    <row r="17" hidden="1" outlineLevel="1" ht="13.5" customHeight="1">
      <c r="A17" s="132" t="inlineStr">
        <is>
          <t>BAD</t>
        </is>
      </c>
      <c r="C17" s="206" t="n"/>
      <c r="D17" s="205" t="n"/>
      <c r="E17" s="240" t="n"/>
      <c r="F17" s="205" t="n"/>
      <c r="G17" s="205" t="n"/>
      <c r="H17" s="205" t="n"/>
      <c r="I17" s="205" t="n"/>
      <c r="J17" s="205" t="n"/>
      <c r="K17" s="205" t="n"/>
      <c r="L17" s="205" t="n"/>
      <c r="M17" s="205" t="n"/>
      <c r="N17" s="205" t="n"/>
      <c r="O17" s="205" t="n"/>
    </row>
    <row r="18" collapsed="1" ht="13.5" customHeight="1">
      <c r="C18" s="13" t="inlineStr">
        <is>
          <t>Bad Debt</t>
        </is>
      </c>
      <c r="D18" s="42" t="n"/>
      <c r="E18" s="249">
        <f>+'Scenario 0'!E18</f>
        <v/>
      </c>
      <c r="F18" s="40">
        <f>+'Scenario 0'!F18</f>
        <v/>
      </c>
      <c r="G18" s="40">
        <f>+'Scenario 0'!G18</f>
        <v/>
      </c>
      <c r="H18" s="40">
        <f>+'Scenario 0'!H18</f>
        <v/>
      </c>
      <c r="I18" s="40">
        <f>+'Scenario 0'!I18</f>
        <v/>
      </c>
      <c r="J18" s="40">
        <f>+'Scenario 0'!J18</f>
        <v/>
      </c>
      <c r="K18" s="40">
        <f>+'Scenario 0'!K18</f>
        <v/>
      </c>
      <c r="L18" s="40">
        <f>+'Scenario 0'!L18</f>
        <v/>
      </c>
      <c r="M18" s="40">
        <f>+'Scenario 0'!M18</f>
        <v/>
      </c>
      <c r="N18" s="40">
        <f>+'Scenario 0'!N18</f>
        <v/>
      </c>
      <c r="O18" s="40">
        <f>+'Scenario 0'!O18</f>
        <v/>
      </c>
    </row>
    <row r="19" hidden="1" outlineLevel="1" ht="13.5" customHeight="1">
      <c r="D19" s="42" t="n"/>
      <c r="E19" s="249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</row>
    <row r="20" hidden="1" outlineLevel="1" ht="13.5" customHeight="1">
      <c r="A20" s="132" t="inlineStr">
        <is>
          <t>RES</t>
        </is>
      </c>
      <c r="C20" s="206" t="n"/>
      <c r="D20" s="205" t="n"/>
      <c r="E20" s="248" t="n"/>
      <c r="F20" s="200" t="n"/>
      <c r="G20" s="200" t="n"/>
      <c r="H20" s="200" t="n"/>
      <c r="I20" s="200" t="n"/>
      <c r="J20" s="200" t="n"/>
      <c r="K20" s="200" t="n"/>
      <c r="L20" s="200" t="n"/>
      <c r="M20" s="200" t="n"/>
      <c r="N20" s="200" t="n"/>
      <c r="O20" s="200" t="n"/>
    </row>
    <row r="21" hidden="1" outlineLevel="1" ht="13.5" customHeight="1">
      <c r="A21" s="132" t="inlineStr">
        <is>
          <t>COM</t>
        </is>
      </c>
      <c r="C21" s="207" t="n"/>
      <c r="D21" s="205" t="n"/>
      <c r="E21" s="606" t="n"/>
      <c r="F21" s="587" t="n"/>
      <c r="G21" s="587" t="n"/>
      <c r="H21" s="587" t="n"/>
      <c r="I21" s="587" t="n"/>
      <c r="J21" s="587" t="n"/>
      <c r="K21" s="587" t="n"/>
      <c r="L21" s="587" t="n"/>
      <c r="M21" s="587" t="n"/>
      <c r="N21" s="587" t="n"/>
      <c r="O21" s="587" t="n"/>
    </row>
    <row r="22" collapsed="1" ht="13.5" customHeight="1">
      <c r="C22" s="13" t="inlineStr">
        <is>
          <t>Total Replacement Reserves</t>
        </is>
      </c>
      <c r="E22" s="592">
        <f>+'Scenario 0'!E22</f>
        <v/>
      </c>
      <c r="F22" s="593">
        <f>+'Scenario 0'!F22</f>
        <v/>
      </c>
      <c r="G22" s="593">
        <f>+'Scenario 0'!G22</f>
        <v/>
      </c>
      <c r="H22" s="593">
        <f>+'Scenario 0'!H22</f>
        <v/>
      </c>
      <c r="I22" s="593">
        <f>+'Scenario 0'!I22</f>
        <v/>
      </c>
      <c r="J22" s="593">
        <f>+'Scenario 0'!J22</f>
        <v/>
      </c>
      <c r="K22" s="593">
        <f>+'Scenario 0'!K22</f>
        <v/>
      </c>
      <c r="L22" s="593">
        <f>+'Scenario 0'!L22</f>
        <v/>
      </c>
      <c r="M22" s="593">
        <f>+'Scenario 0'!M22</f>
        <v/>
      </c>
      <c r="N22" s="593">
        <f>+'Scenario 0'!N22</f>
        <v/>
      </c>
      <c r="O22" s="593">
        <f>+'Scenario 0'!O22</f>
        <v/>
      </c>
    </row>
    <row r="23" hidden="1" outlineLevel="1" ht="13.5" customHeight="1">
      <c r="E23" s="592" t="n"/>
      <c r="F23" s="593" t="n"/>
      <c r="G23" s="593" t="n"/>
      <c r="H23" s="593" t="n"/>
      <c r="I23" s="593" t="n"/>
      <c r="J23" s="593" t="n"/>
      <c r="K23" s="593" t="n"/>
      <c r="L23" s="593" t="n"/>
      <c r="M23" s="593" t="n"/>
      <c r="N23" s="593" t="n"/>
      <c r="O23" s="593" t="n"/>
    </row>
    <row r="24" hidden="1" outlineLevel="1" ht="13.5" customHeight="1">
      <c r="A24" s="132" t="inlineStr">
        <is>
          <t>MAN</t>
        </is>
      </c>
      <c r="C24" s="206" t="n"/>
      <c r="D24" s="199" t="n"/>
      <c r="E24" s="248" t="n"/>
      <c r="F24" s="200" t="n"/>
      <c r="G24" s="200" t="n"/>
      <c r="H24" s="200" t="n"/>
      <c r="I24" s="200" t="n"/>
      <c r="J24" s="200" t="n"/>
      <c r="K24" s="200" t="n"/>
      <c r="L24" s="200" t="n"/>
      <c r="M24" s="200" t="n"/>
      <c r="N24" s="200" t="n"/>
      <c r="O24" s="200" t="n"/>
    </row>
    <row r="25" hidden="1" outlineLevel="1" ht="13.5" customHeight="1">
      <c r="A25" s="132" t="inlineStr">
        <is>
          <t>ASS</t>
        </is>
      </c>
      <c r="C25" s="207" t="n"/>
      <c r="D25" s="199" t="n"/>
      <c r="E25" s="606" t="n"/>
      <c r="F25" s="587" t="n"/>
      <c r="G25" s="587" t="n"/>
      <c r="H25" s="587" t="n"/>
      <c r="I25" s="587" t="n"/>
      <c r="J25" s="587" t="n"/>
      <c r="K25" s="587" t="n"/>
      <c r="L25" s="587" t="n"/>
      <c r="M25" s="587" t="n"/>
      <c r="N25" s="587" t="n"/>
      <c r="O25" s="587" t="n"/>
    </row>
    <row r="26" hidden="1" outlineLevel="1" ht="13.5" customHeight="1">
      <c r="A26" s="132" t="inlineStr">
        <is>
          <t>PAY</t>
        </is>
      </c>
      <c r="C26" s="207" t="n"/>
      <c r="D26" s="199" t="n"/>
      <c r="E26" s="606" t="n"/>
      <c r="F26" s="587" t="n"/>
      <c r="G26" s="587" t="n"/>
      <c r="H26" s="587" t="n"/>
      <c r="I26" s="587" t="n"/>
      <c r="J26" s="587" t="n"/>
      <c r="K26" s="587" t="n"/>
      <c r="L26" s="587" t="n"/>
      <c r="M26" s="587" t="n"/>
      <c r="N26" s="587" t="n"/>
      <c r="O26" s="587" t="n"/>
    </row>
    <row r="27" hidden="1" outlineLevel="1" ht="13.5" customHeight="1">
      <c r="A27" s="132" t="inlineStr">
        <is>
          <t>MAIT</t>
        </is>
      </c>
      <c r="C27" s="207" t="n"/>
      <c r="D27" s="199" t="n"/>
      <c r="E27" s="606" t="n"/>
      <c r="F27" s="587" t="n"/>
      <c r="G27" s="587" t="n"/>
      <c r="H27" s="587" t="n"/>
      <c r="I27" s="587" t="n"/>
      <c r="J27" s="587" t="n"/>
      <c r="K27" s="587" t="n"/>
      <c r="L27" s="587" t="n"/>
      <c r="M27" s="587" t="n"/>
      <c r="N27" s="587" t="n"/>
      <c r="O27" s="587" t="n"/>
    </row>
    <row r="28" collapsed="1" ht="13.5" customHeight="1">
      <c r="C28" s="13" t="inlineStr">
        <is>
          <t>Payroll</t>
        </is>
      </c>
      <c r="E28" s="592">
        <f>+'Scenario 0'!E29</f>
        <v/>
      </c>
      <c r="F28" s="593">
        <f>+'Scenario 0'!F29</f>
        <v/>
      </c>
      <c r="G28" s="593">
        <f>+'Scenario 0'!G29</f>
        <v/>
      </c>
      <c r="H28" s="593">
        <f>+'Scenario 0'!H29</f>
        <v/>
      </c>
      <c r="I28" s="593">
        <f>+'Scenario 0'!I29</f>
        <v/>
      </c>
      <c r="J28" s="593">
        <f>+'Scenario 0'!J29</f>
        <v/>
      </c>
      <c r="K28" s="593">
        <f>+'Scenario 0'!K29</f>
        <v/>
      </c>
      <c r="L28" s="593">
        <f>+'Scenario 0'!L29</f>
        <v/>
      </c>
      <c r="M28" s="593">
        <f>+'Scenario 0'!M29</f>
        <v/>
      </c>
      <c r="N28" s="593">
        <f>+'Scenario 0'!N29</f>
        <v/>
      </c>
      <c r="O28" s="593">
        <f>+'Scenario 0'!O29</f>
        <v/>
      </c>
    </row>
    <row r="29" hidden="1" outlineLevel="1" ht="13.5" customHeight="1">
      <c r="E29" s="592" t="n"/>
      <c r="F29" s="593" t="n"/>
      <c r="G29" s="593" t="n"/>
      <c r="H29" s="593" t="n"/>
      <c r="I29" s="593" t="n"/>
      <c r="J29" s="593" t="n"/>
      <c r="K29" s="593" t="n"/>
      <c r="L29" s="593" t="n"/>
      <c r="M29" s="593" t="n"/>
      <c r="N29" s="593" t="n"/>
      <c r="O29" s="593" t="n"/>
    </row>
    <row r="30" hidden="1" outlineLevel="1" ht="13.5" customHeight="1">
      <c r="A30" s="132" t="inlineStr">
        <is>
          <t>MGMT</t>
        </is>
      </c>
      <c r="C30" s="208" t="n"/>
      <c r="D30" s="199" t="n"/>
      <c r="E30" s="248" t="n"/>
      <c r="F30" s="200" t="n"/>
      <c r="G30" s="200" t="n"/>
      <c r="H30" s="200" t="n"/>
      <c r="I30" s="200" t="n"/>
      <c r="J30" s="200" t="n"/>
      <c r="K30" s="200" t="n"/>
      <c r="L30" s="200" t="n"/>
      <c r="M30" s="200" t="n"/>
      <c r="N30" s="200" t="n"/>
      <c r="O30" s="200" t="n"/>
    </row>
    <row r="31" hidden="1" outlineLevel="1" ht="13.5" customHeight="1">
      <c r="A31" s="132" t="inlineStr">
        <is>
          <t>LEGAL</t>
        </is>
      </c>
      <c r="C31" s="208" t="n"/>
      <c r="D31" s="199" t="n"/>
      <c r="E31" s="606" t="n"/>
      <c r="F31" s="591" t="n"/>
      <c r="G31" s="587" t="n"/>
      <c r="H31" s="587" t="n"/>
      <c r="I31" s="587" t="n"/>
      <c r="J31" s="587" t="n"/>
      <c r="K31" s="587" t="n"/>
      <c r="L31" s="587" t="n"/>
      <c r="M31" s="587" t="n"/>
      <c r="N31" s="587" t="n"/>
      <c r="O31" s="587" t="n"/>
    </row>
    <row r="32" hidden="1" outlineLevel="1" ht="13.5" customHeight="1">
      <c r="A32" s="132" t="inlineStr">
        <is>
          <t>OFF</t>
        </is>
      </c>
      <c r="C32" s="208" t="n"/>
      <c r="D32" s="199" t="n"/>
      <c r="E32" s="606" t="n"/>
      <c r="F32" s="591" t="n"/>
      <c r="G32" s="587" t="n"/>
      <c r="H32" s="587" t="n"/>
      <c r="I32" s="587" t="n"/>
      <c r="J32" s="587" t="n"/>
      <c r="K32" s="587" t="n"/>
      <c r="L32" s="587" t="n"/>
      <c r="M32" s="587" t="n"/>
      <c r="N32" s="587" t="n"/>
      <c r="O32" s="587" t="n"/>
    </row>
    <row r="33" hidden="1" outlineLevel="1" ht="13.5" customHeight="1">
      <c r="A33" s="132" t="inlineStr">
        <is>
          <t>TRAVEL</t>
        </is>
      </c>
      <c r="C33" s="208" t="n"/>
      <c r="D33" s="199" t="n"/>
      <c r="E33" s="606" t="n"/>
      <c r="F33" s="591" t="n"/>
      <c r="G33" s="587" t="n"/>
      <c r="H33" s="587" t="n"/>
      <c r="I33" s="587" t="n"/>
      <c r="J33" s="587" t="n"/>
      <c r="K33" s="587" t="n"/>
      <c r="L33" s="587" t="n"/>
      <c r="M33" s="587" t="n"/>
      <c r="N33" s="587" t="n"/>
      <c r="O33" s="587" t="n"/>
    </row>
    <row r="34" hidden="1" outlineLevel="1" ht="13.5" customHeight="1">
      <c r="A34" s="132" t="inlineStr">
        <is>
          <t>AUD</t>
        </is>
      </c>
      <c r="C34" s="208" t="n"/>
      <c r="D34" s="199" t="n"/>
      <c r="E34" s="606" t="n"/>
      <c r="F34" s="591" t="n"/>
      <c r="G34" s="587" t="n"/>
      <c r="H34" s="587" t="n"/>
      <c r="I34" s="587" t="n"/>
      <c r="J34" s="587" t="n"/>
      <c r="K34" s="587" t="n"/>
      <c r="L34" s="587" t="n"/>
      <c r="M34" s="587" t="n"/>
      <c r="N34" s="587" t="n"/>
      <c r="O34" s="587" t="n"/>
    </row>
    <row r="35" hidden="1" outlineLevel="1" ht="13.5" customHeight="1">
      <c r="A35" s="132" t="inlineStr">
        <is>
          <t>ADV</t>
        </is>
      </c>
      <c r="C35" s="208" t="n"/>
      <c r="D35" s="199" t="n"/>
      <c r="E35" s="606" t="n"/>
      <c r="F35" s="591" t="n"/>
      <c r="G35" s="587" t="n"/>
      <c r="H35" s="587" t="n"/>
      <c r="I35" s="587" t="n"/>
      <c r="J35" s="587" t="n"/>
      <c r="K35" s="587" t="n"/>
      <c r="L35" s="587" t="n"/>
      <c r="M35" s="587" t="n"/>
      <c r="N35" s="587" t="n"/>
      <c r="O35" s="587" t="n"/>
    </row>
    <row r="36" hidden="1" outlineLevel="1" ht="13.5" customHeight="1">
      <c r="A36" s="132" t="inlineStr">
        <is>
          <t>TRAIN</t>
        </is>
      </c>
      <c r="C36" s="208" t="n"/>
      <c r="D36" s="199" t="n"/>
      <c r="E36" s="606" t="n"/>
      <c r="F36" s="591" t="n"/>
      <c r="G36" s="587" t="n"/>
      <c r="H36" s="587" t="n"/>
      <c r="I36" s="587" t="n"/>
      <c r="J36" s="587" t="n"/>
      <c r="K36" s="587" t="n"/>
      <c r="L36" s="587" t="n"/>
      <c r="M36" s="587" t="n"/>
      <c r="N36" s="587" t="n"/>
      <c r="O36" s="587" t="n"/>
    </row>
    <row r="37" hidden="1" outlineLevel="1" ht="13.5" customHeight="1">
      <c r="A37" s="132" t="inlineStr">
        <is>
          <t>BANK</t>
        </is>
      </c>
      <c r="C37" s="208" t="n"/>
      <c r="D37" s="199" t="n"/>
      <c r="E37" s="606" t="n"/>
      <c r="F37" s="591" t="n"/>
      <c r="G37" s="587" t="n"/>
      <c r="H37" s="587" t="n"/>
      <c r="I37" s="587" t="n"/>
      <c r="J37" s="587" t="n"/>
      <c r="K37" s="587" t="n"/>
      <c r="L37" s="587" t="n"/>
      <c r="M37" s="587" t="n"/>
      <c r="N37" s="587" t="n"/>
      <c r="O37" s="587" t="n"/>
    </row>
    <row r="38" hidden="1" outlineLevel="1" ht="13.5" customHeight="1">
      <c r="A38" s="132" t="inlineStr">
        <is>
          <t>BOOK</t>
        </is>
      </c>
      <c r="C38" s="208" t="n"/>
      <c r="D38" s="199" t="n"/>
      <c r="E38" s="606" t="n"/>
      <c r="F38" s="591" t="n"/>
      <c r="G38" s="587" t="n"/>
      <c r="H38" s="587" t="n"/>
      <c r="I38" s="587" t="n"/>
      <c r="J38" s="587" t="n"/>
      <c r="K38" s="587" t="n"/>
      <c r="L38" s="587" t="n"/>
      <c r="M38" s="587" t="n"/>
      <c r="N38" s="587" t="n"/>
      <c r="O38" s="587" t="n"/>
    </row>
    <row r="39" hidden="1" outlineLevel="1" ht="13.5" customHeight="1">
      <c r="A39" s="132" t="inlineStr">
        <is>
          <t>PAYSERV</t>
        </is>
      </c>
      <c r="C39" s="208" t="n"/>
      <c r="D39" s="199" t="n"/>
      <c r="E39" s="606" t="n"/>
      <c r="F39" s="591" t="n"/>
      <c r="G39" s="587" t="n"/>
      <c r="H39" s="587" t="n"/>
      <c r="I39" s="587" t="n"/>
      <c r="J39" s="587" t="n"/>
      <c r="K39" s="587" t="n"/>
      <c r="L39" s="587" t="n"/>
      <c r="M39" s="587" t="n"/>
      <c r="N39" s="587" t="n"/>
      <c r="O39" s="587" t="n"/>
    </row>
    <row r="40" hidden="1" outlineLevel="1" ht="13.5" customHeight="1">
      <c r="A40" s="132" t="inlineStr">
        <is>
          <t>UNIT</t>
        </is>
      </c>
      <c r="C40" s="208" t="n"/>
      <c r="D40" s="199" t="n"/>
      <c r="E40" s="606" t="n"/>
      <c r="F40" s="591" t="n"/>
      <c r="G40" s="587" t="n"/>
      <c r="H40" s="587" t="n"/>
      <c r="I40" s="587" t="n"/>
      <c r="J40" s="587" t="n"/>
      <c r="K40" s="587" t="n"/>
      <c r="L40" s="587" t="n"/>
      <c r="M40" s="587" t="n"/>
      <c r="N40" s="587" t="n"/>
      <c r="O40" s="587" t="n"/>
    </row>
    <row r="41" hidden="1" outlineLevel="1" ht="13.5" customHeight="1">
      <c r="A41" s="132" t="inlineStr">
        <is>
          <t>MISCAD</t>
        </is>
      </c>
      <c r="C41" s="208" t="n"/>
      <c r="D41" s="199" t="n"/>
      <c r="E41" s="606" t="n"/>
      <c r="F41" s="591" t="n"/>
      <c r="G41" s="587" t="n"/>
      <c r="H41" s="587" t="n"/>
      <c r="I41" s="587" t="n"/>
      <c r="J41" s="587" t="n"/>
      <c r="K41" s="587" t="n"/>
      <c r="L41" s="587" t="n"/>
      <c r="M41" s="587" t="n"/>
      <c r="N41" s="587" t="n"/>
      <c r="O41" s="587" t="n"/>
    </row>
    <row r="42" collapsed="1" ht="13.5" customHeight="1">
      <c r="C42" s="13" t="inlineStr">
        <is>
          <t>Admin Expenses</t>
        </is>
      </c>
      <c r="E42" s="592">
        <f>+'Scenario 0'!E43</f>
        <v/>
      </c>
      <c r="F42" s="593">
        <f>+'Scenario 0'!F43</f>
        <v/>
      </c>
      <c r="G42" s="593">
        <f>+'Scenario 0'!G43</f>
        <v/>
      </c>
      <c r="H42" s="593">
        <f>+'Scenario 0'!H43</f>
        <v/>
      </c>
      <c r="I42" s="593">
        <f>+'Scenario 0'!I43</f>
        <v/>
      </c>
      <c r="J42" s="593">
        <f>+'Scenario 0'!J43</f>
        <v/>
      </c>
      <c r="K42" s="593">
        <f>+'Scenario 0'!K43</f>
        <v/>
      </c>
      <c r="L42" s="593">
        <f>+'Scenario 0'!L43</f>
        <v/>
      </c>
      <c r="M42" s="593">
        <f>+'Scenario 0'!M43</f>
        <v/>
      </c>
      <c r="N42" s="593">
        <f>+'Scenario 0'!N43</f>
        <v/>
      </c>
      <c r="O42" s="593">
        <f>+'Scenario 0'!O43</f>
        <v/>
      </c>
    </row>
    <row r="43" hidden="1" outlineLevel="1" ht="13.5" customHeight="1">
      <c r="E43" s="592" t="n"/>
      <c r="F43" s="593" t="n"/>
      <c r="G43" s="593" t="n"/>
      <c r="H43" s="593" t="n"/>
      <c r="I43" s="593" t="n"/>
      <c r="J43" s="593" t="n"/>
      <c r="K43" s="593" t="n"/>
      <c r="L43" s="593" t="n"/>
      <c r="M43" s="593" t="n"/>
      <c r="N43" s="593" t="n"/>
      <c r="O43" s="593" t="n"/>
    </row>
    <row r="44" hidden="1" outlineLevel="1" ht="13.5" customHeight="1">
      <c r="A44" s="132" t="inlineStr">
        <is>
          <t>ELEC</t>
        </is>
      </c>
      <c r="C44" s="206" t="n"/>
      <c r="D44" s="199" t="n"/>
      <c r="E44" s="248" t="n"/>
      <c r="F44" s="200" t="n"/>
      <c r="G44" s="587" t="n"/>
      <c r="H44" s="587" t="n"/>
      <c r="I44" s="587" t="n"/>
      <c r="J44" s="587" t="n"/>
      <c r="K44" s="587" t="n"/>
      <c r="L44" s="587" t="n"/>
      <c r="M44" s="587" t="n"/>
      <c r="N44" s="587" t="n"/>
      <c r="O44" s="587" t="n"/>
    </row>
    <row r="45" hidden="1" outlineLevel="1" ht="13.5" customHeight="1">
      <c r="A45" s="132" t="inlineStr">
        <is>
          <t>VAC</t>
        </is>
      </c>
      <c r="C45" s="207" t="n"/>
      <c r="D45" s="199" t="n"/>
      <c r="E45" s="606" t="n"/>
      <c r="F45" s="591" t="n"/>
      <c r="G45" s="587" t="n"/>
      <c r="H45" s="587" t="n"/>
      <c r="I45" s="587" t="n"/>
      <c r="J45" s="587" t="n"/>
      <c r="K45" s="587" t="n"/>
      <c r="L45" s="587" t="n"/>
      <c r="M45" s="587" t="n"/>
      <c r="N45" s="587" t="n"/>
      <c r="O45" s="587" t="n"/>
    </row>
    <row r="46" hidden="1" outlineLevel="1" ht="13.5" customHeight="1">
      <c r="A46" s="132" t="inlineStr">
        <is>
          <t>WS</t>
        </is>
      </c>
      <c r="C46" s="207" t="n"/>
      <c r="D46" s="199" t="n"/>
      <c r="E46" s="606" t="n"/>
      <c r="F46" s="591" t="n"/>
      <c r="G46" s="587" t="n"/>
      <c r="H46" s="587" t="n"/>
      <c r="I46" s="587" t="n"/>
      <c r="J46" s="587" t="n"/>
      <c r="K46" s="587" t="n"/>
      <c r="L46" s="587" t="n"/>
      <c r="M46" s="587" t="n"/>
      <c r="N46" s="587" t="n"/>
      <c r="O46" s="587" t="n"/>
    </row>
    <row r="47" hidden="1" outlineLevel="1" ht="13.5" customHeight="1">
      <c r="A47" s="132" t="inlineStr">
        <is>
          <t>GAS</t>
        </is>
      </c>
      <c r="C47" s="207" t="n"/>
      <c r="D47" s="199" t="n"/>
      <c r="E47" s="606" t="n"/>
      <c r="F47" s="591" t="n"/>
      <c r="G47" s="587" t="n"/>
      <c r="H47" s="587" t="n"/>
      <c r="I47" s="587" t="n"/>
      <c r="J47" s="587" t="n"/>
      <c r="K47" s="587" t="n"/>
      <c r="L47" s="587" t="n"/>
      <c r="M47" s="587" t="n"/>
      <c r="N47" s="587" t="n"/>
      <c r="O47" s="587" t="n"/>
    </row>
    <row r="48" hidden="1" outlineLevel="1" ht="13.5" customHeight="1">
      <c r="A48" s="132" t="inlineStr">
        <is>
          <t>CABLE</t>
        </is>
      </c>
      <c r="C48" s="207" t="n"/>
      <c r="D48" s="199" t="n"/>
      <c r="E48" s="606" t="n"/>
      <c r="F48" s="591" t="n"/>
      <c r="G48" s="587" t="n"/>
      <c r="H48" s="587" t="n"/>
      <c r="I48" s="587" t="n"/>
      <c r="J48" s="587" t="n"/>
      <c r="K48" s="587" t="n"/>
      <c r="L48" s="587" t="n"/>
      <c r="M48" s="587" t="n"/>
      <c r="N48" s="587" t="n"/>
      <c r="O48" s="587" t="n"/>
    </row>
    <row r="49" hidden="1" outlineLevel="1" ht="13.5" customHeight="1">
      <c r="A49" s="132" t="inlineStr">
        <is>
          <t>TRASH</t>
        </is>
      </c>
      <c r="C49" s="207" t="n"/>
      <c r="D49" s="199" t="n"/>
      <c r="E49" s="606" t="n"/>
      <c r="F49" s="591" t="n"/>
      <c r="G49" s="587" t="n"/>
      <c r="H49" s="587" t="n"/>
      <c r="I49" s="587" t="n"/>
      <c r="J49" s="587" t="n"/>
      <c r="K49" s="587" t="n"/>
      <c r="L49" s="587" t="n"/>
      <c r="M49" s="587" t="n"/>
      <c r="N49" s="587" t="n"/>
      <c r="O49" s="587" t="n"/>
    </row>
    <row r="50" collapsed="1" ht="13.5" customHeight="1">
      <c r="C50" s="13" t="inlineStr">
        <is>
          <t>Utility Expenses</t>
        </is>
      </c>
      <c r="E50" s="592">
        <f>+'Scenario 0'!E51</f>
        <v/>
      </c>
      <c r="F50" s="593">
        <f>+'Scenario 0'!F51</f>
        <v/>
      </c>
      <c r="G50" s="593">
        <f>+'Scenario 0'!G51</f>
        <v/>
      </c>
      <c r="H50" s="593">
        <f>+'Scenario 0'!H51</f>
        <v/>
      </c>
      <c r="I50" s="593">
        <f>+'Scenario 0'!I51</f>
        <v/>
      </c>
      <c r="J50" s="593">
        <f>+'Scenario 0'!J51</f>
        <v/>
      </c>
      <c r="K50" s="593">
        <f>+'Scenario 0'!K51</f>
        <v/>
      </c>
      <c r="L50" s="593">
        <f>+'Scenario 0'!L51</f>
        <v/>
      </c>
      <c r="M50" s="593">
        <f>+'Scenario 0'!M51</f>
        <v/>
      </c>
      <c r="N50" s="593">
        <f>+'Scenario 0'!N51</f>
        <v/>
      </c>
      <c r="O50" s="593">
        <f>+'Scenario 0'!O51</f>
        <v/>
      </c>
    </row>
    <row r="51" hidden="1" outlineLevel="1" ht="13.5" customHeight="1">
      <c r="E51" s="592" t="n"/>
      <c r="F51" s="593" t="n"/>
      <c r="G51" s="593" t="n"/>
      <c r="H51" s="593" t="n"/>
      <c r="I51" s="593" t="n"/>
      <c r="J51" s="593" t="n"/>
      <c r="K51" s="593" t="n"/>
      <c r="L51" s="593" t="n"/>
      <c r="M51" s="593" t="n"/>
      <c r="N51" s="593" t="n"/>
      <c r="O51" s="593" t="n"/>
    </row>
    <row r="52" hidden="1" outlineLevel="1" ht="13.5" customHeight="1">
      <c r="A52" s="132" t="inlineStr">
        <is>
          <t>RM</t>
        </is>
      </c>
      <c r="C52" s="206" t="n"/>
      <c r="D52" s="199" t="n"/>
      <c r="E52" s="248" t="n"/>
      <c r="F52" s="200" t="n"/>
      <c r="G52" s="587" t="n"/>
      <c r="H52" s="587" t="n"/>
      <c r="I52" s="587" t="n"/>
      <c r="J52" s="587" t="n"/>
      <c r="K52" s="587" t="n"/>
      <c r="L52" s="587" t="n"/>
      <c r="M52" s="587" t="n"/>
      <c r="N52" s="587" t="n"/>
      <c r="O52" s="587" t="n"/>
    </row>
    <row r="53" hidden="1" outlineLevel="1" ht="13.5" customHeight="1">
      <c r="A53" s="132" t="inlineStr">
        <is>
          <t>TURN</t>
        </is>
      </c>
      <c r="C53" s="207" t="n"/>
      <c r="D53" s="199" t="n"/>
      <c r="E53" s="606" t="n"/>
      <c r="F53" s="591" t="n"/>
      <c r="G53" s="587" t="n"/>
      <c r="H53" s="587" t="n"/>
      <c r="I53" s="587" t="n"/>
      <c r="J53" s="587" t="n"/>
      <c r="K53" s="587" t="n"/>
      <c r="L53" s="587" t="n"/>
      <c r="M53" s="587" t="n"/>
      <c r="N53" s="587" t="n"/>
      <c r="O53" s="587" t="n"/>
    </row>
    <row r="54" hidden="1" outlineLevel="1" ht="13.5" customHeight="1">
      <c r="A54" s="132" t="inlineStr">
        <is>
          <t>SUPP</t>
        </is>
      </c>
      <c r="C54" s="207" t="n"/>
      <c r="D54" s="199" t="n"/>
      <c r="E54" s="606" t="n"/>
      <c r="F54" s="591" t="n"/>
      <c r="G54" s="587" t="n"/>
      <c r="H54" s="587" t="n"/>
      <c r="I54" s="587" t="n"/>
      <c r="J54" s="587" t="n"/>
      <c r="K54" s="587" t="n"/>
      <c r="L54" s="587" t="n"/>
      <c r="M54" s="587" t="n"/>
      <c r="N54" s="587" t="n"/>
      <c r="O54" s="587" t="n"/>
    </row>
    <row r="55" hidden="1" outlineLevel="1" ht="13.5" customHeight="1">
      <c r="A55" s="132" t="inlineStr">
        <is>
          <t>APP</t>
        </is>
      </c>
      <c r="C55" s="207" t="n"/>
      <c r="D55" s="199" t="n"/>
      <c r="E55" s="606" t="n"/>
      <c r="F55" s="591" t="n"/>
      <c r="G55" s="587" t="n"/>
      <c r="H55" s="587" t="n"/>
      <c r="I55" s="587" t="n"/>
      <c r="J55" s="587" t="n"/>
      <c r="K55" s="587" t="n"/>
      <c r="L55" s="587" t="n"/>
      <c r="M55" s="587" t="n"/>
      <c r="N55" s="587" t="n"/>
      <c r="O55" s="587" t="n"/>
    </row>
    <row r="56" hidden="1" outlineLevel="1" ht="13.5" customHeight="1">
      <c r="A56" s="132" t="inlineStr">
        <is>
          <t>HP</t>
        </is>
      </c>
      <c r="C56" s="207" t="n"/>
      <c r="D56" s="199" t="n"/>
      <c r="E56" s="606" t="n"/>
      <c r="F56" s="591" t="n"/>
      <c r="G56" s="587" t="n"/>
      <c r="H56" s="587" t="n"/>
      <c r="I56" s="587" t="n"/>
      <c r="J56" s="587" t="n"/>
      <c r="K56" s="587" t="n"/>
      <c r="L56" s="587" t="n"/>
      <c r="M56" s="587" t="n"/>
      <c r="N56" s="587" t="n"/>
      <c r="O56" s="587" t="n"/>
    </row>
    <row r="57" hidden="1" outlineLevel="1" ht="13.5" customHeight="1">
      <c r="A57" s="13" t="inlineStr">
        <is>
          <t>CONC</t>
        </is>
      </c>
      <c r="C57" s="207" t="n"/>
      <c r="D57" s="199" t="n"/>
      <c r="E57" s="606" t="n"/>
      <c r="F57" s="591" t="n"/>
      <c r="G57" s="587" t="n"/>
      <c r="H57" s="587" t="n"/>
      <c r="I57" s="587" t="n"/>
      <c r="J57" s="587" t="n"/>
      <c r="K57" s="587" t="n"/>
      <c r="L57" s="587" t="n"/>
      <c r="M57" s="587" t="n"/>
      <c r="N57" s="587" t="n"/>
      <c r="O57" s="587" t="n"/>
    </row>
    <row r="58" collapsed="1" ht="13.5" customHeight="1">
      <c r="C58" s="13" t="inlineStr">
        <is>
          <t>Operating and Maint.</t>
        </is>
      </c>
      <c r="E58" s="592">
        <f>+'Scenario 0'!E59</f>
        <v/>
      </c>
      <c r="F58" s="593">
        <f>+'Scenario 0'!F59</f>
        <v/>
      </c>
      <c r="G58" s="593">
        <f>+'Scenario 0'!G59</f>
        <v/>
      </c>
      <c r="H58" s="593">
        <f>+'Scenario 0'!H59</f>
        <v/>
      </c>
      <c r="I58" s="593">
        <f>+'Scenario 0'!I59</f>
        <v/>
      </c>
      <c r="J58" s="593">
        <f>+'Scenario 0'!J59</f>
        <v/>
      </c>
      <c r="K58" s="593">
        <f>+'Scenario 0'!K59</f>
        <v/>
      </c>
      <c r="L58" s="593">
        <f>+'Scenario 0'!L59</f>
        <v/>
      </c>
      <c r="M58" s="593">
        <f>+'Scenario 0'!M59</f>
        <v/>
      </c>
      <c r="N58" s="593">
        <f>+'Scenario 0'!N59</f>
        <v/>
      </c>
      <c r="O58" s="593">
        <f>+'Scenario 0'!O59</f>
        <v/>
      </c>
    </row>
    <row r="59" hidden="1" outlineLevel="1" ht="13.5" customHeight="1">
      <c r="E59" s="592" t="n"/>
      <c r="F59" s="593" t="n"/>
      <c r="G59" s="593" t="n"/>
      <c r="H59" s="593" t="n"/>
      <c r="I59" s="593" t="n"/>
      <c r="J59" s="593" t="n"/>
      <c r="K59" s="593" t="n"/>
      <c r="L59" s="593" t="n"/>
      <c r="M59" s="593" t="n"/>
      <c r="N59" s="593" t="n"/>
      <c r="O59" s="593" t="n"/>
    </row>
    <row r="60" hidden="1" outlineLevel="1" ht="13.5" customHeight="1">
      <c r="A60" s="132" t="inlineStr">
        <is>
          <t>LAND</t>
        </is>
      </c>
      <c r="C60" s="206" t="n"/>
      <c r="D60" s="199" t="n"/>
      <c r="E60" s="248" t="n"/>
      <c r="F60" s="200" t="n"/>
      <c r="G60" s="200" t="n"/>
      <c r="H60" s="200" t="n"/>
      <c r="I60" s="200" t="n"/>
      <c r="J60" s="200" t="n"/>
      <c r="K60" s="200" t="n"/>
      <c r="L60" s="200" t="n"/>
      <c r="M60" s="200" t="n"/>
      <c r="N60" s="200" t="n"/>
      <c r="O60" s="200" t="n"/>
    </row>
    <row r="61" hidden="1" outlineLevel="1" ht="13.5" customHeight="1">
      <c r="A61" s="132" t="inlineStr">
        <is>
          <t>FIRE</t>
        </is>
      </c>
      <c r="C61" s="207" t="n"/>
      <c r="D61" s="199" t="n"/>
      <c r="E61" s="606" t="n"/>
      <c r="F61" s="591" t="n"/>
      <c r="G61" s="587" t="n"/>
      <c r="H61" s="587" t="n"/>
      <c r="I61" s="587" t="n"/>
      <c r="J61" s="587" t="n"/>
      <c r="K61" s="587" t="n"/>
      <c r="L61" s="587" t="n"/>
      <c r="M61" s="587" t="n"/>
      <c r="N61" s="587" t="n"/>
      <c r="O61" s="587" t="n"/>
    </row>
    <row r="62" hidden="1" outlineLevel="1" ht="13.5" customHeight="1">
      <c r="A62" s="132" t="inlineStr">
        <is>
          <t>SEC</t>
        </is>
      </c>
      <c r="C62" s="207" t="n"/>
      <c r="D62" s="199" t="n"/>
      <c r="E62" s="606" t="n"/>
      <c r="F62" s="591" t="n"/>
      <c r="G62" s="587" t="n"/>
      <c r="H62" s="587" t="n"/>
      <c r="I62" s="587" t="n"/>
      <c r="J62" s="587" t="n"/>
      <c r="K62" s="587" t="n"/>
      <c r="L62" s="587" t="n"/>
      <c r="M62" s="587" t="n"/>
      <c r="N62" s="587" t="n"/>
      <c r="O62" s="587" t="n"/>
    </row>
    <row r="63" hidden="1" outlineLevel="1" ht="13.5" customHeight="1">
      <c r="A63" s="132" t="inlineStr">
        <is>
          <t>PEST</t>
        </is>
      </c>
      <c r="C63" s="207" t="n"/>
      <c r="D63" s="199" t="n"/>
      <c r="E63" s="606" t="n"/>
      <c r="F63" s="591" t="n"/>
      <c r="G63" s="587" t="n"/>
      <c r="H63" s="587" t="n"/>
      <c r="I63" s="587" t="n"/>
      <c r="J63" s="587" t="n"/>
      <c r="K63" s="587" t="n"/>
      <c r="L63" s="587" t="n"/>
      <c r="M63" s="587" t="n"/>
      <c r="N63" s="587" t="n"/>
      <c r="O63" s="587" t="n"/>
    </row>
    <row r="64" hidden="1" outlineLevel="1" ht="13.5" customHeight="1">
      <c r="A64" s="132" t="inlineStr">
        <is>
          <t>CON</t>
        </is>
      </c>
      <c r="C64" s="207" t="n"/>
      <c r="D64" s="199" t="n"/>
      <c r="E64" s="606" t="n"/>
      <c r="F64" s="591" t="n"/>
      <c r="G64" s="587" t="n"/>
      <c r="H64" s="587" t="n"/>
      <c r="I64" s="587" t="n"/>
      <c r="J64" s="587" t="n"/>
      <c r="K64" s="587" t="n"/>
      <c r="L64" s="587" t="n"/>
      <c r="M64" s="587" t="n"/>
      <c r="N64" s="587" t="n"/>
      <c r="O64" s="587" t="n"/>
    </row>
    <row r="65" hidden="1" outlineLevel="1" ht="13.5" customHeight="1">
      <c r="A65" s="132" t="inlineStr">
        <is>
          <t>ELEV</t>
        </is>
      </c>
      <c r="C65" s="207" t="n"/>
      <c r="D65" s="199" t="n"/>
      <c r="E65" s="606" t="n"/>
      <c r="F65" s="591" t="n"/>
      <c r="G65" s="587" t="n"/>
      <c r="H65" s="587" t="n"/>
      <c r="I65" s="587" t="n"/>
      <c r="J65" s="587" t="n"/>
      <c r="K65" s="587" t="n"/>
      <c r="L65" s="587" t="n"/>
      <c r="M65" s="587" t="n"/>
      <c r="N65" s="587" t="n"/>
      <c r="O65" s="587" t="n"/>
    </row>
    <row r="66" hidden="1" outlineLevel="1" ht="13.5" customHeight="1">
      <c r="A66" s="132" t="inlineStr">
        <is>
          <t>SNOW</t>
        </is>
      </c>
      <c r="C66" s="207" t="n"/>
      <c r="D66" s="199" t="n"/>
      <c r="E66" s="606" t="n"/>
      <c r="F66" s="591" t="n"/>
      <c r="G66" s="587" t="n"/>
      <c r="H66" s="587" t="n"/>
      <c r="I66" s="587" t="n"/>
      <c r="J66" s="587" t="n"/>
      <c r="K66" s="587" t="n"/>
      <c r="L66" s="587" t="n"/>
      <c r="M66" s="587" t="n"/>
      <c r="N66" s="587" t="n"/>
      <c r="O66" s="587" t="n"/>
    </row>
    <row r="67" hidden="1" outlineLevel="1" ht="13.5" customHeight="1">
      <c r="A67" s="132" t="inlineStr">
        <is>
          <t>MISCOP</t>
        </is>
      </c>
      <c r="C67" s="207" t="n"/>
      <c r="D67" s="199" t="n"/>
      <c r="E67" s="606" t="n"/>
      <c r="F67" s="591" t="n"/>
      <c r="G67" s="587" t="n"/>
      <c r="H67" s="587" t="n"/>
      <c r="I67" s="587" t="n"/>
      <c r="J67" s="587" t="n"/>
      <c r="K67" s="587" t="n"/>
      <c r="L67" s="587" t="n"/>
      <c r="M67" s="587" t="n"/>
      <c r="N67" s="587" t="n"/>
      <c r="O67" s="587" t="n"/>
    </row>
    <row r="68" collapsed="1" ht="13.5" customHeight="1">
      <c r="C68" s="13" t="inlineStr">
        <is>
          <t>Contract Expenses</t>
        </is>
      </c>
      <c r="E68" s="592">
        <f>+'Scenario 0'!E69</f>
        <v/>
      </c>
      <c r="F68" s="593">
        <f>+'Scenario 0'!F69</f>
        <v/>
      </c>
      <c r="G68" s="593">
        <f>+'Scenario 0'!G69</f>
        <v/>
      </c>
      <c r="H68" s="593">
        <f>+'Scenario 0'!H69</f>
        <v/>
      </c>
      <c r="I68" s="593">
        <f>+'Scenario 0'!I69</f>
        <v/>
      </c>
      <c r="J68" s="593">
        <f>+'Scenario 0'!J69</f>
        <v/>
      </c>
      <c r="K68" s="593">
        <f>+'Scenario 0'!K69</f>
        <v/>
      </c>
      <c r="L68" s="593">
        <f>+'Scenario 0'!L69</f>
        <v/>
      </c>
      <c r="M68" s="593">
        <f>+'Scenario 0'!M69</f>
        <v/>
      </c>
      <c r="N68" s="593">
        <f>+'Scenario 0'!N69</f>
        <v/>
      </c>
      <c r="O68" s="593">
        <f>+'Scenario 0'!O69</f>
        <v/>
      </c>
    </row>
    <row r="69" hidden="1" outlineLevel="1" ht="13.5" customHeight="1">
      <c r="E69" s="592" t="n"/>
      <c r="F69" s="593" t="n"/>
      <c r="G69" s="593" t="n"/>
      <c r="H69" s="593" t="n"/>
      <c r="I69" s="593" t="n"/>
      <c r="J69" s="593" t="n"/>
      <c r="K69" s="593" t="n"/>
      <c r="L69" s="593" t="n"/>
      <c r="M69" s="593" t="n"/>
      <c r="N69" s="593" t="n"/>
      <c r="O69" s="593" t="n"/>
    </row>
    <row r="70" hidden="1" outlineLevel="1" ht="13.5" customHeight="1">
      <c r="A70" s="132" t="inlineStr">
        <is>
          <t>RETAX</t>
        </is>
      </c>
      <c r="C70" s="207" t="n"/>
      <c r="D70" s="199" t="n"/>
      <c r="E70" s="248" t="n"/>
      <c r="F70" s="200" t="n"/>
      <c r="G70" s="200" t="n"/>
      <c r="H70" s="200" t="n"/>
      <c r="I70" s="200" t="n"/>
      <c r="J70" s="200" t="n"/>
      <c r="K70" s="200" t="n"/>
      <c r="L70" s="200" t="n"/>
      <c r="M70" s="200" t="n"/>
      <c r="N70" s="200" t="n"/>
      <c r="O70" s="200" t="n"/>
    </row>
    <row r="71" hidden="1" outlineLevel="1" ht="13.5" customHeight="1">
      <c r="A71" s="132" t="inlineStr">
        <is>
          <t>INS</t>
        </is>
      </c>
      <c r="C71" s="207" t="n"/>
      <c r="D71" s="199" t="n"/>
      <c r="E71" s="606" t="n"/>
      <c r="F71" s="591" t="n"/>
      <c r="G71" s="587" t="n"/>
      <c r="H71" s="587" t="n"/>
      <c r="I71" s="587" t="n"/>
      <c r="J71" s="587" t="n"/>
      <c r="K71" s="587" t="n"/>
      <c r="L71" s="587" t="n"/>
      <c r="M71" s="587" t="n"/>
      <c r="N71" s="587" t="n"/>
      <c r="O71" s="587" t="n"/>
    </row>
    <row r="72" hidden="1" outlineLevel="1" ht="13.5" customHeight="1">
      <c r="A72" s="132" t="inlineStr">
        <is>
          <t>WORKCOMP</t>
        </is>
      </c>
      <c r="C72" s="207" t="n"/>
      <c r="D72" s="199" t="n"/>
      <c r="E72" s="606" t="n"/>
      <c r="F72" s="591" t="n"/>
      <c r="G72" s="587" t="n"/>
      <c r="H72" s="587" t="n"/>
      <c r="I72" s="587" t="n"/>
      <c r="J72" s="587" t="n"/>
      <c r="K72" s="587" t="n"/>
      <c r="L72" s="587" t="n"/>
      <c r="M72" s="587" t="n"/>
      <c r="N72" s="587" t="n"/>
      <c r="O72" s="587" t="n"/>
    </row>
    <row r="73" hidden="1" outlineLevel="1" ht="13.5" customHeight="1">
      <c r="A73" s="132" t="inlineStr">
        <is>
          <t>HEALTH</t>
        </is>
      </c>
      <c r="C73" s="207" t="n"/>
      <c r="D73" s="199" t="n"/>
      <c r="E73" s="606" t="n"/>
      <c r="F73" s="591" t="n"/>
      <c r="G73" s="587" t="n"/>
      <c r="H73" s="587" t="n"/>
      <c r="I73" s="587" t="n"/>
      <c r="J73" s="587" t="n"/>
      <c r="K73" s="587" t="n"/>
      <c r="L73" s="587" t="n"/>
      <c r="M73" s="587" t="n"/>
      <c r="N73" s="587" t="n"/>
      <c r="O73" s="587" t="n"/>
    </row>
    <row r="74" hidden="1" outlineLevel="1" ht="13.5" customHeight="1">
      <c r="A74" s="132" t="inlineStr">
        <is>
          <t>PTAX</t>
        </is>
      </c>
      <c r="C74" s="207" t="n"/>
      <c r="D74" s="199" t="n"/>
      <c r="E74" s="606" t="n"/>
      <c r="F74" s="591" t="n"/>
      <c r="G74" s="587" t="n"/>
      <c r="H74" s="587" t="n"/>
      <c r="I74" s="587" t="n"/>
      <c r="J74" s="587" t="n"/>
      <c r="K74" s="587" t="n"/>
      <c r="L74" s="587" t="n"/>
      <c r="M74" s="587" t="n"/>
      <c r="N74" s="587" t="n"/>
      <c r="O74" s="587" t="n"/>
    </row>
    <row r="75" hidden="1" outlineLevel="1" ht="13.5" customHeight="1">
      <c r="A75" s="132" t="inlineStr">
        <is>
          <t>MISCTAX</t>
        </is>
      </c>
      <c r="C75" s="207" t="n"/>
      <c r="D75" s="199" t="n"/>
      <c r="E75" s="606" t="n"/>
      <c r="F75" s="591" t="n"/>
      <c r="G75" s="587" t="n"/>
      <c r="H75" s="587" t="n"/>
      <c r="I75" s="587" t="n"/>
      <c r="J75" s="587" t="n"/>
      <c r="K75" s="587" t="n"/>
      <c r="L75" s="587" t="n"/>
      <c r="M75" s="587" t="n"/>
      <c r="N75" s="587" t="n"/>
      <c r="O75" s="587" t="n"/>
    </row>
    <row r="76" collapsed="1" ht="13.5" customHeight="1">
      <c r="C76" s="13" t="inlineStr">
        <is>
          <t>Total Taxes and Insurance Expenses</t>
        </is>
      </c>
      <c r="E76" s="592">
        <f>+'Scenario 0'!E77</f>
        <v/>
      </c>
      <c r="F76" s="593">
        <f>+'Scenario 0'!F77</f>
        <v/>
      </c>
      <c r="G76" s="593">
        <f>+'Scenario 0'!G77</f>
        <v/>
      </c>
      <c r="H76" s="593">
        <f>+'Scenario 0'!H77</f>
        <v/>
      </c>
      <c r="I76" s="593">
        <f>+'Scenario 0'!I77</f>
        <v/>
      </c>
      <c r="J76" s="593">
        <f>+'Scenario 0'!J77</f>
        <v/>
      </c>
      <c r="K76" s="593">
        <f>+'Scenario 0'!K77</f>
        <v/>
      </c>
      <c r="L76" s="593">
        <f>+'Scenario 0'!L77</f>
        <v/>
      </c>
      <c r="M76" s="593">
        <f>+'Scenario 0'!M77</f>
        <v/>
      </c>
      <c r="N76" s="593">
        <f>+'Scenario 0'!N77</f>
        <v/>
      </c>
      <c r="O76" s="593">
        <f>+'Scenario 0'!O77</f>
        <v/>
      </c>
    </row>
    <row r="77" ht="5.1" customHeight="1">
      <c r="E77" s="589" t="n"/>
      <c r="F77" s="590" t="n"/>
      <c r="G77" s="590" t="n"/>
      <c r="H77" s="590" t="n"/>
      <c r="I77" s="590" t="n"/>
      <c r="J77" s="590" t="n"/>
      <c r="K77" s="590" t="n"/>
      <c r="L77" s="590" t="n"/>
      <c r="M77" s="590" t="n"/>
      <c r="N77" s="590" t="n"/>
      <c r="O77" s="590" t="n"/>
    </row>
    <row r="78" ht="13.5" customHeight="1">
      <c r="C78" s="33" t="inlineStr">
        <is>
          <t>Total Operating Expenses</t>
        </is>
      </c>
      <c r="D78" s="34" t="n"/>
      <c r="E78" s="224">
        <f>+SUM(E18,E22,E28,E42,E50,E58,E68,E76,)</f>
        <v/>
      </c>
      <c r="F78" s="34">
        <f>+SUM(F18,F22,F28,F42,F50,F58,F68,F76,)</f>
        <v/>
      </c>
      <c r="G78" s="34">
        <f>+SUM(G18,G22,G28,G42,G50,G58,G68,G76,)</f>
        <v/>
      </c>
      <c r="H78" s="34">
        <f>+SUM(H18,H22,H28,H42,H50,H58,H68,H76,)</f>
        <v/>
      </c>
      <c r="I78" s="34">
        <f>+SUM(I18,I22,I28,I42,I50,I58,I68,I76,)</f>
        <v/>
      </c>
      <c r="J78" s="34">
        <f>+SUM(J18,J22,J28,J42,J50,J58,J68,J76,)</f>
        <v/>
      </c>
      <c r="K78" s="34">
        <f>+SUM(K18,K22,K28,K42,K50,K58,K68,K76,)</f>
        <v/>
      </c>
      <c r="L78" s="34">
        <f>+SUM(L18,L22,L28,L42,L50,L58,L68,L76,)</f>
        <v/>
      </c>
      <c r="M78" s="34">
        <f>+SUM(M18,M22,M28,M42,M50,M58,M68,M76,)</f>
        <v/>
      </c>
      <c r="N78" s="34">
        <f>+SUM(N18,N22,N28,N42,N50,N58,N68,N76,)</f>
        <v/>
      </c>
      <c r="O78" s="34">
        <f>+SUM(O18,O22,O28,O42,O50,O58,O68,O76,)</f>
        <v/>
      </c>
    </row>
    <row r="79" ht="5.1" customHeight="1">
      <c r="E79" s="232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</row>
    <row r="80" ht="13.5" customHeight="1">
      <c r="C80" s="33" t="inlineStr">
        <is>
          <t xml:space="preserve">Net Operating Income </t>
        </is>
      </c>
      <c r="D80" s="34" t="n"/>
      <c r="E80" s="224">
        <f>+E12-E78</f>
        <v/>
      </c>
      <c r="F80" s="34">
        <f>+F12-F78</f>
        <v/>
      </c>
      <c r="G80" s="34">
        <f>+G12-G78</f>
        <v/>
      </c>
      <c r="H80" s="34">
        <f>+H12-H78</f>
        <v/>
      </c>
      <c r="I80" s="34">
        <f>+I12-I78</f>
        <v/>
      </c>
      <c r="J80" s="34">
        <f>+J12-J78</f>
        <v/>
      </c>
      <c r="K80" s="34">
        <f>+K12-K78</f>
        <v/>
      </c>
      <c r="L80" s="34">
        <f>+L12-L78</f>
        <v/>
      </c>
      <c r="M80" s="34">
        <f>+M12-M78</f>
        <v/>
      </c>
      <c r="N80" s="34">
        <f>+N12-N78</f>
        <v/>
      </c>
      <c r="O80" s="34">
        <f>+O12-O78</f>
        <v/>
      </c>
    </row>
    <row r="81" ht="13.5" customHeight="1">
      <c r="C81" s="104" t="inlineStr">
        <is>
          <t>NOI Margin</t>
        </is>
      </c>
      <c r="D81" s="66" t="n"/>
      <c r="E81" s="233">
        <f>+IFERROR(E80/E12,"--")</f>
        <v/>
      </c>
      <c r="F81" s="105">
        <f>+F80/F12</f>
        <v/>
      </c>
      <c r="G81" s="105">
        <f>+G80/G12</f>
        <v/>
      </c>
      <c r="H81" s="105">
        <f>+H80/H12</f>
        <v/>
      </c>
      <c r="I81" s="105">
        <f>+I80/I12</f>
        <v/>
      </c>
      <c r="J81" s="105">
        <f>+J80/J12</f>
        <v/>
      </c>
      <c r="K81" s="105">
        <f>+K80/K12</f>
        <v/>
      </c>
      <c r="L81" s="105">
        <f>+L80/L12</f>
        <v/>
      </c>
      <c r="M81" s="105">
        <f>+M80/M12</f>
        <v/>
      </c>
      <c r="N81" s="105">
        <f>+N80/N12</f>
        <v/>
      </c>
      <c r="O81" s="105">
        <f>+O80/O12</f>
        <v/>
      </c>
    </row>
    <row r="82" ht="5.1" customHeight="1">
      <c r="C82" s="28" t="n"/>
      <c r="D82" s="66" t="n"/>
      <c r="E82" s="225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</row>
    <row r="83" hidden="1" outlineLevel="1" ht="13.5" customHeight="1">
      <c r="C83" s="28" t="inlineStr">
        <is>
          <t>Capital Expenditures</t>
        </is>
      </c>
      <c r="D83" s="66" t="n"/>
      <c r="E83" s="225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</row>
    <row r="84" hidden="1" outlineLevel="1" ht="13.5" customHeight="1">
      <c r="C84" s="13" t="inlineStr">
        <is>
          <t>Other CapEx</t>
        </is>
      </c>
      <c r="E84" s="594" t="n"/>
      <c r="F84" s="595" t="n"/>
      <c r="G84" s="595" t="n"/>
      <c r="H84" s="595" t="n"/>
      <c r="I84" s="595" t="n"/>
      <c r="J84" s="595" t="n"/>
      <c r="K84" s="595" t="n"/>
      <c r="L84" s="595" t="n"/>
      <c r="M84" s="595" t="n"/>
      <c r="N84" s="595" t="n"/>
      <c r="O84" s="595" t="n"/>
    </row>
    <row r="85" hidden="1" outlineLevel="1" ht="13.5" customHeight="1">
      <c r="C85" s="13" t="inlineStr">
        <is>
          <t>Capital Reserve</t>
        </is>
      </c>
      <c r="E85" s="594" t="n"/>
      <c r="F85" s="595" t="n"/>
      <c r="G85" s="595" t="n"/>
      <c r="H85" s="595" t="n"/>
      <c r="I85" s="595" t="n"/>
      <c r="J85" s="595" t="n"/>
      <c r="K85" s="595" t="n"/>
      <c r="L85" s="595" t="n"/>
      <c r="M85" s="595" t="n"/>
      <c r="N85" s="595" t="n"/>
      <c r="O85" s="595" t="n"/>
    </row>
    <row r="86" hidden="1" outlineLevel="1" ht="13.5" customHeight="1">
      <c r="C86" s="33" t="inlineStr">
        <is>
          <t>Total Capital Expenditures</t>
        </is>
      </c>
      <c r="D86" s="34" t="n"/>
      <c r="E86" s="224">
        <f>+SUM(E84:E85)</f>
        <v/>
      </c>
      <c r="F86" s="34">
        <f>+SUM(F84:F85)</f>
        <v/>
      </c>
      <c r="G86" s="34">
        <f>+SUM(G84:G85)</f>
        <v/>
      </c>
      <c r="H86" s="34">
        <f>+SUM(H84:H85)</f>
        <v/>
      </c>
      <c r="I86" s="34">
        <f>+SUM(I84:I85)</f>
        <v/>
      </c>
      <c r="J86" s="34">
        <f>+SUM(J84:J85)</f>
        <v/>
      </c>
      <c r="K86" s="34">
        <f>+SUM(K84:K85)</f>
        <v/>
      </c>
      <c r="L86" s="34">
        <f>+SUM(L84:L85)</f>
        <v/>
      </c>
      <c r="M86" s="34">
        <f>+SUM(M84:M85)</f>
        <v/>
      </c>
      <c r="N86" s="34">
        <f>+SUM(N84:N85)</f>
        <v/>
      </c>
      <c r="O86" s="34">
        <f>+SUM(O84:O85)</f>
        <v/>
      </c>
    </row>
    <row r="87" collapsed="1" ht="5.1" customHeight="1">
      <c r="C87" s="28" t="n"/>
      <c r="D87" s="66" t="n"/>
      <c r="E87" s="225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</row>
    <row r="88" ht="13.5" customHeight="1" thickBot="1">
      <c r="C88" s="89" t="inlineStr">
        <is>
          <t>Cash Flow from Operations (Adj. NOI)</t>
        </is>
      </c>
      <c r="D88" s="89" t="n"/>
      <c r="E88" s="235">
        <f>+E80-E86</f>
        <v/>
      </c>
      <c r="F88" s="90">
        <f>+F80-F86</f>
        <v/>
      </c>
      <c r="G88" s="90">
        <f>+G80-G86</f>
        <v/>
      </c>
      <c r="H88" s="90">
        <f>+H80-H86</f>
        <v/>
      </c>
      <c r="I88" s="90">
        <f>+I80-I86</f>
        <v/>
      </c>
      <c r="J88" s="90">
        <f>+J80-J86</f>
        <v/>
      </c>
      <c r="K88" s="90">
        <f>+K80-K86</f>
        <v/>
      </c>
      <c r="L88" s="90">
        <f>+L80-L86</f>
        <v/>
      </c>
      <c r="M88" s="90">
        <f>+M80-M86</f>
        <v/>
      </c>
      <c r="N88" s="90">
        <f>+N80-N86</f>
        <v/>
      </c>
      <c r="O88" s="90">
        <f>+O80-O86</f>
        <v/>
      </c>
    </row>
    <row r="89" ht="5.1" customHeight="1" thickTop="1">
      <c r="C89" s="28" t="n"/>
      <c r="D89" s="28" t="n"/>
      <c r="E89" s="236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</row>
    <row r="90" ht="13.5" customHeight="1">
      <c r="C90" s="13" t="inlineStr">
        <is>
          <t>Debt Service</t>
        </is>
      </c>
      <c r="D90" s="28" t="n"/>
      <c r="E90" s="237" t="inlineStr">
        <is>
          <t>--</t>
        </is>
      </c>
      <c r="F90" s="103">
        <f>+Dashboard!$I$10*Dashboard!$E$50</f>
        <v/>
      </c>
      <c r="G90" s="112">
        <f>+F90</f>
        <v/>
      </c>
      <c r="H90" s="112">
        <f>+G90</f>
        <v/>
      </c>
      <c r="I90" s="112">
        <f>+H90</f>
        <v/>
      </c>
      <c r="J90" s="112">
        <f>+I90</f>
        <v/>
      </c>
      <c r="K90" s="112">
        <f>+J90</f>
        <v/>
      </c>
      <c r="L90" s="112">
        <f>+K90</f>
        <v/>
      </c>
      <c r="M90" s="112">
        <f>+L90</f>
        <v/>
      </c>
      <c r="N90" s="112">
        <f>+M90</f>
        <v/>
      </c>
      <c r="O90" s="112">
        <f>+N90</f>
        <v/>
      </c>
    </row>
    <row r="91" ht="13.5" customHeight="1">
      <c r="C91" s="13" t="inlineStr">
        <is>
          <t>Principal Repayment</t>
        </is>
      </c>
      <c r="D91" s="28" t="n"/>
      <c r="E91" s="238" t="inlineStr">
        <is>
          <t>--</t>
        </is>
      </c>
      <c r="F91" s="103">
        <f>IF(F$6&lt;=Dashboard!$E$56,0,-PPMT(Dashboard!$E$50,'Scenario 3'!F3-'Scenario 3'!$E3,Dashboard!$E$55,Dashboard!$D$49))</f>
        <v/>
      </c>
      <c r="G91" s="112">
        <f>IF(G$6&lt;=Dashboard!$E$56,0,-PPMT(Dashboard!$E$50,'Scenario 3'!G3-'Scenario 3'!$E3,Dashboard!$E$55,Dashboard!$D$49))</f>
        <v/>
      </c>
      <c r="H91" s="112">
        <f>IF(H$6&lt;=Dashboard!$E$56,0,-PPMT(Dashboard!$E$50,'Scenario 3'!H3-'Scenario 3'!$E3,Dashboard!$E$55,Dashboard!$D$49))</f>
        <v/>
      </c>
      <c r="I91" s="112">
        <f>IF(I$6&lt;=Dashboard!$E$56,0,-PPMT(Dashboard!$E$50,'Scenario 3'!I3-'Scenario 3'!$E3,Dashboard!$E$55,Dashboard!$D$49))</f>
        <v/>
      </c>
      <c r="J91" s="112">
        <f>IF(J$6&lt;=Dashboard!$E$56,0,-PPMT(Dashboard!$E$50,'Scenario 3'!J3-'Scenario 3'!$E3,Dashboard!$E$55,Dashboard!$D$49))</f>
        <v/>
      </c>
      <c r="K91" s="112">
        <f>IF(K$6&lt;=Dashboard!$E$56,0,-PPMT(Dashboard!$E$50,'Scenario 3'!K3-'Scenario 3'!$E3,Dashboard!$E$55,Dashboard!$D$49))</f>
        <v/>
      </c>
      <c r="L91" s="112">
        <f>IF(L$6&lt;=Dashboard!$E$56,0,-PPMT(Dashboard!$E$50,'Scenario 3'!L3-'Scenario 3'!$E3,Dashboard!$E$55,Dashboard!$D$49))</f>
        <v/>
      </c>
      <c r="M91" s="112">
        <f>IF(M$6&lt;=Dashboard!$E$56,0,-PPMT(Dashboard!$E$50,'Scenario 3'!M3-'Scenario 3'!$E3,Dashboard!$E$55,Dashboard!$D$49))</f>
        <v/>
      </c>
      <c r="N91" s="112">
        <f>IF(N$6&lt;=Dashboard!$E$56,0,-PPMT(Dashboard!$E$50,'Scenario 3'!N3-'Scenario 3'!$E3,Dashboard!$E$55,Dashboard!$D$49))</f>
        <v/>
      </c>
      <c r="O91" s="112">
        <f>IF(O$6&lt;=Dashboard!$E$56,0,-PPMT(Dashboard!$E$50,'Scenario 3'!O3-'Scenario 3'!$E3,Dashboard!$E$55,Dashboard!$D$49))</f>
        <v/>
      </c>
    </row>
    <row r="92" ht="13.5" customHeight="1" thickBot="1">
      <c r="C92" s="89" t="inlineStr">
        <is>
          <t>Cash Flow After Financing (CF to Equity Investors)</t>
        </is>
      </c>
      <c r="D92" s="89" t="n"/>
      <c r="E92" s="239" t="inlineStr">
        <is>
          <t>--</t>
        </is>
      </c>
      <c r="F92" s="90">
        <f>+F88-F90</f>
        <v/>
      </c>
      <c r="G92" s="90">
        <f>+G88-G90</f>
        <v/>
      </c>
      <c r="H92" s="90">
        <f>+H88-H90</f>
        <v/>
      </c>
      <c r="I92" s="90">
        <f>+I88-I90</f>
        <v/>
      </c>
      <c r="J92" s="90">
        <f>+J88-J90</f>
        <v/>
      </c>
      <c r="K92" s="90">
        <f>+K88-K90</f>
        <v/>
      </c>
      <c r="L92" s="90">
        <f>+L88-L90</f>
        <v/>
      </c>
      <c r="M92" s="90">
        <f>+M88-M90</f>
        <v/>
      </c>
      <c r="N92" s="90">
        <f>+N88-N90</f>
        <v/>
      </c>
      <c r="O92" s="90">
        <f>+O88-O90</f>
        <v/>
      </c>
    </row>
    <row r="93" ht="13.5" customHeight="1" thickTop="1">
      <c r="D93" s="28" t="n"/>
      <c r="E93" s="28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</row>
    <row r="94" ht="13.5" customHeight="1" thickBot="1">
      <c r="C94" s="89" t="inlineStr">
        <is>
          <t>Ending Debt Balance</t>
        </is>
      </c>
      <c r="D94" s="89" t="n"/>
      <c r="E94" s="89" t="n"/>
      <c r="F94" s="90">
        <f>+Dashboard!$D$49-SUM('Scenario 3'!$F$91:F91)</f>
        <v/>
      </c>
      <c r="G94" s="90">
        <f>+Dashboard!$D$49-SUM('Scenario 3'!$F$91:G91)</f>
        <v/>
      </c>
      <c r="H94" s="90">
        <f>+Dashboard!$D$49-SUM('Scenario 3'!$F$91:H91)</f>
        <v/>
      </c>
      <c r="I94" s="90">
        <f>+Dashboard!$D$49-SUM('Scenario 3'!$F$91:I91)</f>
        <v/>
      </c>
      <c r="J94" s="90">
        <f>+Dashboard!$D$49-SUM('Scenario 3'!$F$91:J91)</f>
        <v/>
      </c>
      <c r="K94" s="90">
        <f>+Dashboard!$D$49-SUM('Scenario 3'!$F$91:K91)</f>
        <v/>
      </c>
      <c r="L94" s="90">
        <f>+Dashboard!$D$49-SUM('Scenario 3'!$F$91:L91)</f>
        <v/>
      </c>
      <c r="M94" s="90">
        <f>+Dashboard!$D$49-SUM('Scenario 3'!$F$91:M91)</f>
        <v/>
      </c>
      <c r="N94" s="90">
        <f>+Dashboard!$D$49-SUM('Scenario 3'!$F$91:N91)</f>
        <v/>
      </c>
      <c r="O94" s="90">
        <f>+Dashboard!$D$49-SUM('Scenario 3'!$F$91:O91)</f>
        <v/>
      </c>
    </row>
    <row r="95" ht="13.5" customHeight="1" thickTop="1">
      <c r="D95" s="28" t="n"/>
      <c r="E95" s="28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</row>
    <row r="96" ht="13.5" customHeight="1">
      <c r="C96" s="67" t="inlineStr">
        <is>
          <t>DSCR (NOI)</t>
        </is>
      </c>
      <c r="D96" s="68" t="n"/>
      <c r="E96" s="68" t="n"/>
      <c r="F96" s="596">
        <f>+IFERROR(F80/F90,"")</f>
        <v/>
      </c>
      <c r="G96" s="596">
        <f>+IFERROR(G80/G90,"")</f>
        <v/>
      </c>
      <c r="H96" s="596">
        <f>+IFERROR(H80/H90,"")</f>
        <v/>
      </c>
      <c r="I96" s="596">
        <f>+IFERROR(I80/I90,"")</f>
        <v/>
      </c>
      <c r="J96" s="597">
        <f>+IFERROR(J80/J90,"")</f>
        <v/>
      </c>
      <c r="K96" s="596">
        <f>+IFERROR(K80/K90,"")</f>
        <v/>
      </c>
      <c r="L96" s="596">
        <f>+IFERROR(L80/L90,"")</f>
        <v/>
      </c>
      <c r="M96" s="596">
        <f>+IFERROR(M80/M90,"")</f>
        <v/>
      </c>
      <c r="N96" s="596">
        <f>+IFERROR(N80/N90,"")</f>
        <v/>
      </c>
      <c r="O96" s="597">
        <f>+IFERROR(O80/O90,"")</f>
        <v/>
      </c>
    </row>
    <row r="97" ht="13.5" customHeight="1">
      <c r="C97" s="69" t="inlineStr">
        <is>
          <t>DSCR (CFO)</t>
        </is>
      </c>
      <c r="D97" s="70" t="n"/>
      <c r="E97" s="70" t="n"/>
      <c r="F97" s="598">
        <f>+IFERROR(F88/F90,"")</f>
        <v/>
      </c>
      <c r="G97" s="598">
        <f>+IFERROR(G88/G90,"")</f>
        <v/>
      </c>
      <c r="H97" s="598">
        <f>+IFERROR(H88/H90,"")</f>
        <v/>
      </c>
      <c r="I97" s="598">
        <f>+IFERROR(I88/I90,"")</f>
        <v/>
      </c>
      <c r="J97" s="599">
        <f>+IFERROR(J88/J90,"")</f>
        <v/>
      </c>
      <c r="K97" s="598">
        <f>+IFERROR(K88/K90,"")</f>
        <v/>
      </c>
      <c r="L97" s="598">
        <f>+IFERROR(L88/L90,"")</f>
        <v/>
      </c>
      <c r="M97" s="598">
        <f>+IFERROR(M88/M90,"")</f>
        <v/>
      </c>
      <c r="N97" s="598">
        <f>+IFERROR(N88/N90,"")</f>
        <v/>
      </c>
      <c r="O97" s="599">
        <f>+IFERROR(O88/O90,"")</f>
        <v/>
      </c>
    </row>
    <row r="98" ht="13.5" customHeight="1">
      <c r="C98" s="69" t="inlineStr">
        <is>
          <t>Debt Yield (CFO)</t>
        </is>
      </c>
      <c r="D98" s="70" t="n"/>
      <c r="E98" s="70" t="n"/>
      <c r="F98" s="71">
        <f>+F88/Dashboard!$I$10</f>
        <v/>
      </c>
      <c r="G98" s="71">
        <f>+G88/Dashboard!$I$10</f>
        <v/>
      </c>
      <c r="H98" s="71">
        <f>+H88/Dashboard!$I$10</f>
        <v/>
      </c>
      <c r="I98" s="71">
        <f>+I88/Dashboard!$I$10</f>
        <v/>
      </c>
      <c r="J98" s="72">
        <f>+J88/Dashboard!$I$10</f>
        <v/>
      </c>
      <c r="K98" s="71">
        <f>+K88/Dashboard!$I$10</f>
        <v/>
      </c>
      <c r="L98" s="71">
        <f>+L88/Dashboard!$I$10</f>
        <v/>
      </c>
      <c r="M98" s="71">
        <f>+M88/Dashboard!$I$10</f>
        <v/>
      </c>
      <c r="N98" s="71">
        <f>+N88/Dashboard!$I$10</f>
        <v/>
      </c>
      <c r="O98" s="72">
        <f>+O88/Dashboard!$I$10</f>
        <v/>
      </c>
    </row>
    <row r="99" ht="13.5" customHeight="1">
      <c r="C99" s="69" t="inlineStr">
        <is>
          <t xml:space="preserve">Break-Even Ratio </t>
        </is>
      </c>
      <c r="D99" s="70" t="n"/>
      <c r="E99" s="70" t="n"/>
      <c r="F99" s="71">
        <f>+SUM(F96,F78)/F12</f>
        <v/>
      </c>
      <c r="G99" s="71">
        <f>+SUM(G96,G78)/G12</f>
        <v/>
      </c>
      <c r="H99" s="71">
        <f>+SUM(H96,H78)/H12</f>
        <v/>
      </c>
      <c r="I99" s="71">
        <f>+SUM(I96,I78)/I12</f>
        <v/>
      </c>
      <c r="J99" s="72">
        <f>+SUM(J96,J78)/J12</f>
        <v/>
      </c>
      <c r="K99" s="71">
        <f>+SUM(K96,K78)/K12</f>
        <v/>
      </c>
      <c r="L99" s="71">
        <f>+SUM(L96,L78)/L12</f>
        <v/>
      </c>
      <c r="M99" s="71">
        <f>+SUM(M96,M78)/M12</f>
        <v/>
      </c>
      <c r="N99" s="71">
        <f>+SUM(N96,N78)/N12</f>
        <v/>
      </c>
      <c r="O99" s="72">
        <f>+SUM(O96,O78)/O12</f>
        <v/>
      </c>
    </row>
    <row r="100" ht="5.1" customHeight="1">
      <c r="C100" s="69" t="n"/>
      <c r="D100" s="70" t="n"/>
      <c r="E100" s="70" t="n"/>
      <c r="F100" s="70" t="n"/>
      <c r="G100" s="70" t="n"/>
      <c r="H100" s="70" t="n"/>
      <c r="I100" s="70" t="n"/>
      <c r="J100" s="73" t="n"/>
      <c r="K100" s="70" t="n"/>
      <c r="L100" s="70" t="n"/>
      <c r="M100" s="70" t="n"/>
      <c r="N100" s="70" t="n"/>
      <c r="O100" s="73" t="n"/>
    </row>
    <row r="101" ht="13.5" customHeight="1">
      <c r="C101" s="77" t="inlineStr">
        <is>
          <t>Cap Rate (Purchase Price)</t>
        </is>
      </c>
      <c r="D101" s="78" t="n"/>
      <c r="E101" s="78" t="n"/>
      <c r="F101" s="79">
        <f>+F80/Dashboard!$E$32</f>
        <v/>
      </c>
      <c r="G101" s="79">
        <f>+G80/Dashboard!$E$32</f>
        <v/>
      </c>
      <c r="H101" s="79">
        <f>+H80/Dashboard!$E$32</f>
        <v/>
      </c>
      <c r="I101" s="79">
        <f>+I80/Dashboard!$E$32</f>
        <v/>
      </c>
      <c r="J101" s="80">
        <f>+J80/Dashboard!$E$32</f>
        <v/>
      </c>
      <c r="K101" s="79">
        <f>+K80/Dashboard!$E$32</f>
        <v/>
      </c>
      <c r="L101" s="79">
        <f>+L80/Dashboard!$E$32</f>
        <v/>
      </c>
      <c r="M101" s="79">
        <f>+M80/Dashboard!$E$32</f>
        <v/>
      </c>
      <c r="N101" s="79">
        <f>+N80/Dashboard!$E$32</f>
        <v/>
      </c>
      <c r="O101" s="80">
        <f>+O80/Dashboard!$E$32</f>
        <v/>
      </c>
    </row>
    <row r="102" ht="13.5" customHeight="1">
      <c r="C102" s="69" t="inlineStr">
        <is>
          <t>Operating Cash Flow Before Taxes</t>
        </is>
      </c>
      <c r="D102" s="70" t="n"/>
      <c r="E102" s="70" t="n"/>
      <c r="F102" s="600">
        <f>+F80-F90-F91</f>
        <v/>
      </c>
      <c r="G102" s="600">
        <f>+G80-G90-G91</f>
        <v/>
      </c>
      <c r="H102" s="600">
        <f>+H80-H90-H91</f>
        <v/>
      </c>
      <c r="I102" s="600">
        <f>+I80-I90-I91</f>
        <v/>
      </c>
      <c r="J102" s="601">
        <f>+J80-J90-J91</f>
        <v/>
      </c>
      <c r="K102" s="600">
        <f>+K80-K90-K91</f>
        <v/>
      </c>
      <c r="L102" s="600">
        <f>+L80-L90-L91</f>
        <v/>
      </c>
      <c r="M102" s="600">
        <f>+M80-M90-M91</f>
        <v/>
      </c>
      <c r="N102" s="600">
        <f>+N80-N90-N91</f>
        <v/>
      </c>
      <c r="O102" s="601">
        <f>+O80-O90-O91</f>
        <v/>
      </c>
    </row>
    <row r="103" ht="13.5" customHeight="1">
      <c r="C103" s="77" t="inlineStr">
        <is>
          <t>Cash on Cash Return</t>
        </is>
      </c>
      <c r="D103" s="78" t="n"/>
      <c r="E103" s="78" t="n"/>
      <c r="F103" s="79">
        <f>+F102/Dashboard!$I$11</f>
        <v/>
      </c>
      <c r="G103" s="79">
        <f>+G102/Dashboard!$I$11</f>
        <v/>
      </c>
      <c r="H103" s="79">
        <f>+H102/Dashboard!$I$11</f>
        <v/>
      </c>
      <c r="I103" s="79">
        <f>+I102/Dashboard!$I$11</f>
        <v/>
      </c>
      <c r="J103" s="80">
        <f>+J102/Dashboard!$I$11</f>
        <v/>
      </c>
      <c r="K103" s="79">
        <f>+K102/Dashboard!$I$11</f>
        <v/>
      </c>
      <c r="L103" s="79">
        <f>+L102/Dashboard!$I$11</f>
        <v/>
      </c>
      <c r="M103" s="79">
        <f>+M102/Dashboard!$I$11</f>
        <v/>
      </c>
      <c r="N103" s="79">
        <f>+N102/Dashboard!$I$11</f>
        <v/>
      </c>
      <c r="O103" s="80">
        <f>+O102/Dashboard!$I$11</f>
        <v/>
      </c>
    </row>
    <row r="104" ht="13.5" customHeight="1">
      <c r="C104" s="69" t="inlineStr">
        <is>
          <t>General Partner Cash Return</t>
        </is>
      </c>
      <c r="D104" s="84">
        <f>+Dashboard!J58</f>
        <v/>
      </c>
      <c r="E104" s="84" t="n"/>
      <c r="F104" s="600">
        <f>+F102*$D$104</f>
        <v/>
      </c>
      <c r="G104" s="600">
        <f>+G102*$D$104</f>
        <v/>
      </c>
      <c r="H104" s="600">
        <f>+H102*$D$104</f>
        <v/>
      </c>
      <c r="I104" s="600">
        <f>+I102*$D$104</f>
        <v/>
      </c>
      <c r="J104" s="601">
        <f>+J102*$D$104</f>
        <v/>
      </c>
      <c r="K104" s="600">
        <f>+K102*$D$104</f>
        <v/>
      </c>
      <c r="L104" s="600">
        <f>+L102*$D$104</f>
        <v/>
      </c>
      <c r="M104" s="600">
        <f>+M102*$D$104</f>
        <v/>
      </c>
      <c r="N104" s="600">
        <f>+N102*$D$104</f>
        <v/>
      </c>
      <c r="O104" s="601">
        <f>+O102*$D$104</f>
        <v/>
      </c>
    </row>
    <row r="105" ht="13.5" customHeight="1">
      <c r="C105" s="69" t="inlineStr">
        <is>
          <t>Total Limited Partner Cash Return</t>
        </is>
      </c>
      <c r="D105" s="84">
        <f>+Dashboard!J59</f>
        <v/>
      </c>
      <c r="E105" s="84" t="n"/>
      <c r="F105" s="600">
        <f>+F102*$D$105</f>
        <v/>
      </c>
      <c r="G105" s="600">
        <f>+G102*$D$105</f>
        <v/>
      </c>
      <c r="H105" s="600">
        <f>+H102*$D$105</f>
        <v/>
      </c>
      <c r="I105" s="600">
        <f>+I102*$D$105</f>
        <v/>
      </c>
      <c r="J105" s="601">
        <f>+J102*$D$105</f>
        <v/>
      </c>
      <c r="K105" s="600">
        <f>+K102*$D$105</f>
        <v/>
      </c>
      <c r="L105" s="600">
        <f>+L102*$D$105</f>
        <v/>
      </c>
      <c r="M105" s="600">
        <f>+M102*$D$105</f>
        <v/>
      </c>
      <c r="N105" s="600">
        <f>+N102*$D$105</f>
        <v/>
      </c>
      <c r="O105" s="601">
        <f>+O102*$D$105</f>
        <v/>
      </c>
    </row>
    <row r="106" ht="13.5" customHeight="1">
      <c r="C106" s="74" t="inlineStr">
        <is>
          <t>Cash on Cash LP Return</t>
        </is>
      </c>
      <c r="D106" s="75" t="n"/>
      <c r="E106" s="75" t="n"/>
      <c r="F106" s="82">
        <f>+F105/Dashboard!$I$11</f>
        <v/>
      </c>
      <c r="G106" s="82">
        <f>+G105/Dashboard!$I$11</f>
        <v/>
      </c>
      <c r="H106" s="82">
        <f>+H105/Dashboard!$I$11</f>
        <v/>
      </c>
      <c r="I106" s="82">
        <f>+I105/Dashboard!$I$11</f>
        <v/>
      </c>
      <c r="J106" s="83">
        <f>+J105/Dashboard!$I$11</f>
        <v/>
      </c>
      <c r="K106" s="82">
        <f>+K105/Dashboard!$I$11</f>
        <v/>
      </c>
      <c r="L106" s="82">
        <f>+L105/Dashboard!$I$11</f>
        <v/>
      </c>
      <c r="M106" s="82">
        <f>+M105/Dashboard!$I$11</f>
        <v/>
      </c>
      <c r="N106" s="82">
        <f>+N105/Dashboard!$I$11</f>
        <v/>
      </c>
      <c r="O106" s="83">
        <f>+O105/Dashboard!$I$11</f>
        <v/>
      </c>
    </row>
    <row r="107" ht="13.5" customHeight="1">
      <c r="D107" s="28" t="n"/>
      <c r="E107" s="28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</row>
    <row r="108" ht="13.5" customHeight="1">
      <c r="C108" s="257" t="inlineStr">
        <is>
          <t>Return Metrics</t>
        </is>
      </c>
      <c r="D108" s="37" t="n"/>
      <c r="E108" s="583" t="n"/>
      <c r="F108" s="583" t="n"/>
      <c r="G108" s="583" t="n"/>
      <c r="H108" s="583" t="n"/>
      <c r="I108" s="583" t="n"/>
      <c r="J108" s="583" t="n"/>
      <c r="K108" s="583" t="n"/>
      <c r="L108" s="583" t="n"/>
      <c r="M108" s="583" t="n"/>
      <c r="N108" s="583" t="n"/>
      <c r="O108" s="583" t="n"/>
    </row>
    <row r="109" ht="5.1" customHeight="1">
      <c r="D109" s="28" t="n"/>
      <c r="E109" s="28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</row>
    <row r="110" ht="13.5" customHeight="1">
      <c r="C110" s="32" t="inlineStr">
        <is>
          <t>5 Year Hold IRR</t>
        </is>
      </c>
      <c r="D110" s="32" t="n"/>
      <c r="E110" s="602">
        <f>+'Scenario 0'!E111</f>
        <v/>
      </c>
      <c r="F110" s="602">
        <f>+'Scenario 0'!F111</f>
        <v/>
      </c>
      <c r="G110" s="602">
        <f>+'Scenario 0'!G111</f>
        <v/>
      </c>
      <c r="H110" s="602">
        <f>+'Scenario 0'!H111</f>
        <v/>
      </c>
      <c r="I110" s="602">
        <f>+'Scenario 0'!I111</f>
        <v/>
      </c>
      <c r="J110" s="602">
        <f>+'Scenario 0'!J111</f>
        <v/>
      </c>
      <c r="K110" s="602" t="n"/>
      <c r="L110" s="602" t="n"/>
      <c r="M110" s="602" t="n"/>
      <c r="N110" s="602" t="n"/>
      <c r="O110" s="602" t="n"/>
    </row>
    <row r="111" ht="5.1" customHeight="1">
      <c r="C111" s="39" t="n"/>
      <c r="D111" s="109" t="n"/>
      <c r="E111" s="603" t="n"/>
      <c r="F111" s="603" t="n"/>
      <c r="G111" s="603" t="n"/>
      <c r="H111" s="603" t="n"/>
      <c r="I111" s="603" t="n"/>
      <c r="J111" s="603" t="n"/>
    </row>
    <row r="112" ht="13.5" customHeight="1">
      <c r="C112" s="212" t="inlineStr">
        <is>
          <t>Exit Cap Rate Assumption</t>
        </is>
      </c>
      <c r="D112" s="217">
        <f>+Dashboard!$J$54</f>
        <v/>
      </c>
      <c r="E112" s="109" t="n"/>
      <c r="F112" s="603" t="n"/>
      <c r="G112" s="603" t="n"/>
      <c r="H112" s="603" t="n"/>
      <c r="I112" s="603" t="n"/>
      <c r="J112" s="603" t="n"/>
      <c r="K112" s="31" t="n"/>
      <c r="L112" s="31" t="n"/>
      <c r="M112" s="31" t="n"/>
      <c r="N112" s="31" t="n"/>
      <c r="O112" s="31" t="n"/>
    </row>
    <row r="113" ht="5.1" customHeight="1">
      <c r="C113" s="39" t="n"/>
      <c r="D113" s="109" t="n"/>
      <c r="E113" s="109" t="n"/>
      <c r="F113" s="603" t="n"/>
      <c r="G113" s="603" t="n"/>
      <c r="H113" s="603" t="n"/>
      <c r="I113" s="603" t="n"/>
      <c r="J113" s="603" t="n"/>
      <c r="K113" s="31" t="n"/>
      <c r="L113" s="31" t="n"/>
      <c r="M113" s="31" t="n"/>
      <c r="N113" s="31" t="n"/>
      <c r="O113" s="31" t="n"/>
    </row>
    <row r="114" ht="13.5" customHeight="1">
      <c r="C114" s="28" t="inlineStr">
        <is>
          <t>Project Cash Flows (Unleveraged IRR):</t>
        </is>
      </c>
      <c r="D114" s="28" t="n"/>
      <c r="E114" s="28" t="n"/>
      <c r="F114" s="100" t="n"/>
      <c r="G114" s="100" t="n"/>
      <c r="H114" s="100" t="n"/>
      <c r="I114" s="100" t="n"/>
      <c r="J114" s="100" t="n"/>
      <c r="K114" s="31" t="n"/>
      <c r="L114" s="31" t="n"/>
      <c r="M114" s="31" t="n"/>
      <c r="N114" s="31" t="n"/>
      <c r="O114" s="31" t="n"/>
    </row>
    <row r="115" ht="13.5" customHeight="1">
      <c r="C115" s="43" t="inlineStr">
        <is>
          <t>(+) Proceeds from Sale of Property:</t>
        </is>
      </c>
      <c r="D115" s="111" t="n"/>
      <c r="E115" s="111" t="n"/>
      <c r="F115" s="111" t="n">
        <v>0</v>
      </c>
      <c r="G115" s="111" t="n">
        <v>0</v>
      </c>
      <c r="H115" s="111" t="n">
        <v>0</v>
      </c>
      <c r="I115" s="111" t="n">
        <v>0</v>
      </c>
      <c r="J115" s="111">
        <f>+J$80/D$112</f>
        <v/>
      </c>
      <c r="K115" s="31" t="n"/>
      <c r="L115" s="31" t="n"/>
      <c r="M115" s="31" t="n"/>
      <c r="N115" s="31" t="n"/>
      <c r="O115" s="31" t="n"/>
    </row>
    <row r="116" ht="13.5" customHeight="1">
      <c r="C116" s="43" t="inlineStr">
        <is>
          <t>(-) Selling Costs:</t>
        </is>
      </c>
      <c r="D116" s="217">
        <f>+Dashboard!$J$55</f>
        <v/>
      </c>
      <c r="E116" s="112" t="n"/>
      <c r="F116" s="112" t="n">
        <v>0</v>
      </c>
      <c r="G116" s="112" t="n">
        <v>0</v>
      </c>
      <c r="H116" s="112" t="n">
        <v>0</v>
      </c>
      <c r="I116" s="112" t="n">
        <v>0</v>
      </c>
      <c r="J116" s="112">
        <f>-J$115*D$116</f>
        <v/>
      </c>
      <c r="K116" s="31" t="n"/>
      <c r="L116" s="31" t="n"/>
      <c r="M116" s="31" t="n"/>
      <c r="N116" s="31" t="n"/>
      <c r="O116" s="31" t="n"/>
    </row>
    <row r="117" ht="13.5" customHeight="1">
      <c r="C117" s="43" t="inlineStr">
        <is>
          <t>(+) Adjusted NOI (Cash Flows to All Investors):</t>
        </is>
      </c>
      <c r="D117" s="112" t="n"/>
      <c r="E117" s="112" t="n"/>
      <c r="F117" s="23">
        <f>+F$88</f>
        <v/>
      </c>
      <c r="G117" s="23">
        <f>+G$88</f>
        <v/>
      </c>
      <c r="H117" s="23">
        <f>+H$88</f>
        <v/>
      </c>
      <c r="I117" s="23">
        <f>+I$88</f>
        <v/>
      </c>
      <c r="J117" s="23">
        <f>+J$88</f>
        <v/>
      </c>
      <c r="K117" s="31" t="n"/>
      <c r="L117" s="31" t="n"/>
      <c r="M117" s="31" t="n"/>
      <c r="N117" s="31" t="n"/>
      <c r="O117" s="31" t="n"/>
    </row>
    <row r="118" ht="13.5" customHeight="1">
      <c r="C118" s="43" t="inlineStr">
        <is>
          <t>(-) Property Acquisition Price:</t>
        </is>
      </c>
      <c r="E118" s="103">
        <f>-Dashboard!$E$32</f>
        <v/>
      </c>
      <c r="F118" s="112" t="n">
        <v>0</v>
      </c>
      <c r="G118" s="112" t="n">
        <v>0</v>
      </c>
      <c r="H118" s="112" t="n">
        <v>0</v>
      </c>
      <c r="I118" s="112" t="n">
        <v>0</v>
      </c>
      <c r="J118" s="112" t="n">
        <v>0</v>
      </c>
      <c r="K118" s="31" t="n"/>
      <c r="L118" s="31" t="n"/>
      <c r="M118" s="31" t="n"/>
      <c r="N118" s="31" t="n"/>
      <c r="O118" s="31" t="n"/>
    </row>
    <row r="119" ht="13.5" customHeight="1">
      <c r="C119" s="33" t="inlineStr">
        <is>
          <t>Total Project Cash Flows (Unleveraged IRR):</t>
        </is>
      </c>
      <c r="D119" s="38" t="n"/>
      <c r="E119" s="88">
        <f>SUM(E115:E118)</f>
        <v/>
      </c>
      <c r="F119" s="88">
        <f>SUM(F115:F118)</f>
        <v/>
      </c>
      <c r="G119" s="88">
        <f>SUM(G115:G118)</f>
        <v/>
      </c>
      <c r="H119" s="88">
        <f>SUM(H115:H118)</f>
        <v/>
      </c>
      <c r="I119" s="88">
        <f>SUM(I115:I118)</f>
        <v/>
      </c>
      <c r="J119" s="88">
        <f>SUM(J115:J118)</f>
        <v/>
      </c>
      <c r="K119" s="31" t="n"/>
      <c r="L119" s="31" t="n"/>
      <c r="M119" s="31" t="n"/>
      <c r="N119" s="31" t="n"/>
      <c r="O119" s="31" t="n"/>
    </row>
    <row r="120" hidden="1" outlineLevel="1" ht="13.5" customHeight="1">
      <c r="C120" s="28" t="n"/>
      <c r="E120" s="99" t="n"/>
      <c r="F120" s="100">
        <f>+F119-F115</f>
        <v/>
      </c>
      <c r="G120" s="100">
        <f>+G119-G115</f>
        <v/>
      </c>
      <c r="H120" s="100">
        <f>+H119-H115</f>
        <v/>
      </c>
      <c r="I120" s="100">
        <f>+I119-I115</f>
        <v/>
      </c>
      <c r="J120" s="100">
        <f>+J119-J115</f>
        <v/>
      </c>
      <c r="K120" s="31" t="n"/>
      <c r="L120" s="31" t="n"/>
      <c r="M120" s="31" t="n"/>
      <c r="N120" s="31" t="n"/>
      <c r="O120" s="31" t="n"/>
    </row>
    <row r="121" collapsed="1" ht="5.1" customHeight="1">
      <c r="D121" s="28" t="n"/>
      <c r="E121" s="28" t="n"/>
      <c r="F121" s="100" t="n"/>
      <c r="G121" s="100" t="n"/>
      <c r="H121" s="100" t="n"/>
      <c r="I121" s="100" t="n"/>
      <c r="J121" s="100" t="n"/>
      <c r="K121" s="31" t="n"/>
      <c r="L121" s="31" t="n"/>
      <c r="M121" s="31" t="n"/>
      <c r="N121" s="31" t="n"/>
      <c r="O121" s="31" t="n"/>
    </row>
    <row r="122" ht="13.5" customHeight="1">
      <c r="C122" s="113" t="inlineStr">
        <is>
          <t>Unlevered IRR:</t>
        </is>
      </c>
      <c r="D122" s="91" t="n"/>
      <c r="E122" s="114">
        <f>+IRR(E119:J119)</f>
        <v/>
      </c>
      <c r="G122" s="100" t="n"/>
      <c r="H122" s="100" t="n"/>
      <c r="I122" s="100" t="n"/>
      <c r="J122" s="100" t="n"/>
      <c r="K122" s="31" t="n"/>
      <c r="L122" s="31" t="n"/>
      <c r="M122" s="31" t="n"/>
      <c r="N122" s="31" t="n"/>
      <c r="O122" s="31" t="n"/>
    </row>
    <row r="123" ht="13.5" customHeight="1">
      <c r="C123" s="115" t="inlineStr">
        <is>
          <t>Unlevered Cash-on-Cash Multiple:</t>
        </is>
      </c>
      <c r="D123" s="92" t="n"/>
      <c r="E123" s="604">
        <f>+SUM(F115:J117)/-SUM(E118:J118)</f>
        <v/>
      </c>
      <c r="G123" s="100" t="n"/>
      <c r="H123" s="100" t="n"/>
      <c r="I123" s="100" t="n"/>
      <c r="J123" s="100" t="n"/>
      <c r="K123" s="31" t="n"/>
      <c r="L123" s="31" t="n"/>
      <c r="M123" s="31" t="n"/>
      <c r="N123" s="31" t="n"/>
      <c r="O123" s="31" t="n"/>
    </row>
    <row r="124" ht="13.5" customHeight="1">
      <c r="D124" s="28" t="n"/>
      <c r="E124" s="28" t="n"/>
      <c r="F124" s="100" t="n"/>
      <c r="G124" s="100" t="n"/>
      <c r="H124" s="100" t="n"/>
      <c r="I124" s="100" t="n"/>
      <c r="J124" s="100" t="n"/>
      <c r="K124" s="31" t="n"/>
      <c r="L124" s="31" t="n"/>
      <c r="M124" s="31" t="n"/>
      <c r="N124" s="31" t="n"/>
      <c r="O124" s="31" t="n"/>
    </row>
    <row r="125" ht="13.5" customHeight="1">
      <c r="C125" s="28" t="inlineStr">
        <is>
          <t>Cash Flow to Equity Investors (Leveraged IRR):</t>
        </is>
      </c>
      <c r="D125" s="28" t="n"/>
      <c r="E125" s="28" t="n"/>
      <c r="F125" s="100" t="n"/>
      <c r="G125" s="100" t="n"/>
      <c r="H125" s="100" t="n"/>
      <c r="I125" s="100" t="n"/>
      <c r="J125" s="100" t="n"/>
      <c r="K125" s="31" t="n"/>
      <c r="L125" s="31" t="n"/>
      <c r="M125" s="31" t="n"/>
      <c r="N125" s="31" t="n"/>
      <c r="O125" s="31" t="n"/>
    </row>
    <row r="126" ht="13.5" customHeight="1">
      <c r="C126" s="43" t="inlineStr">
        <is>
          <t>(+) Proceeds from Sale of Property:</t>
        </is>
      </c>
      <c r="D126" s="111" t="n"/>
      <c r="E126" s="111" t="n"/>
      <c r="F126" s="111" t="n">
        <v>0</v>
      </c>
      <c r="G126" s="111" t="n">
        <v>0</v>
      </c>
      <c r="H126" s="111" t="n">
        <v>0</v>
      </c>
      <c r="I126" s="111" t="n">
        <v>0</v>
      </c>
      <c r="J126" s="111">
        <f>+J$80/D$112</f>
        <v/>
      </c>
      <c r="K126" s="31" t="n"/>
      <c r="L126" s="31" t="n"/>
      <c r="M126" s="31" t="n"/>
      <c r="N126" s="31" t="n"/>
      <c r="O126" s="31" t="n"/>
    </row>
    <row r="127" ht="13.5" customHeight="1">
      <c r="C127" s="43" t="inlineStr">
        <is>
          <t>(-) Selling Costs:</t>
        </is>
      </c>
      <c r="D127" s="95">
        <f>+D116</f>
        <v/>
      </c>
      <c r="E127" s="112" t="n"/>
      <c r="F127" s="112" t="n">
        <v>0</v>
      </c>
      <c r="G127" s="112" t="n">
        <v>0</v>
      </c>
      <c r="H127" s="112" t="n">
        <v>0</v>
      </c>
      <c r="I127" s="112" t="n">
        <v>0</v>
      </c>
      <c r="J127" s="112">
        <f>-J$126*D$127</f>
        <v/>
      </c>
      <c r="K127" s="31" t="n"/>
      <c r="L127" s="31" t="n"/>
      <c r="M127" s="31" t="n"/>
      <c r="N127" s="31" t="n"/>
      <c r="O127" s="31" t="n"/>
    </row>
    <row r="128" ht="13.5" customHeight="1">
      <c r="C128" s="43" t="inlineStr">
        <is>
          <t>(+) Cash Flows to Equity Investors:</t>
        </is>
      </c>
      <c r="E128" s="112" t="n"/>
      <c r="F128" s="23">
        <f>+F$92</f>
        <v/>
      </c>
      <c r="G128" s="23">
        <f>+G$92</f>
        <v/>
      </c>
      <c r="H128" s="23">
        <f>+H$92</f>
        <v/>
      </c>
      <c r="I128" s="23">
        <f>+I$92</f>
        <v/>
      </c>
      <c r="J128" s="23">
        <f>+J$92</f>
        <v/>
      </c>
      <c r="K128" s="31" t="n"/>
      <c r="L128" s="31" t="n"/>
      <c r="M128" s="31" t="n"/>
      <c r="N128" s="31" t="n"/>
      <c r="O128" s="31" t="n"/>
    </row>
    <row r="129" ht="13.5" customHeight="1">
      <c r="C129" s="43" t="inlineStr">
        <is>
          <t>(-) Debt Principal Repayment Upon Exit:</t>
        </is>
      </c>
      <c r="D129" s="112" t="n"/>
      <c r="E129" s="112" t="n"/>
      <c r="F129" s="112" t="n">
        <v>0</v>
      </c>
      <c r="G129" s="112" t="n">
        <v>0</v>
      </c>
      <c r="H129" s="112" t="n">
        <v>0</v>
      </c>
      <c r="I129" s="112" t="n">
        <v>0</v>
      </c>
      <c r="J129" s="112">
        <f>-J94</f>
        <v/>
      </c>
      <c r="K129" s="31" t="n"/>
      <c r="L129" s="31" t="n"/>
      <c r="M129" s="31" t="n"/>
      <c r="N129" s="31" t="n"/>
      <c r="O129" s="31" t="n"/>
    </row>
    <row r="130" ht="13.5" customHeight="1">
      <c r="C130" s="43" t="inlineStr">
        <is>
          <t>(-) Initial Equity Investment:</t>
        </is>
      </c>
      <c r="D130" s="103" t="n"/>
      <c r="E130" s="103">
        <f>-Dashboard!$I$11</f>
        <v/>
      </c>
      <c r="F130" s="112" t="n">
        <v>0</v>
      </c>
      <c r="G130" s="112" t="n">
        <v>0</v>
      </c>
      <c r="H130" s="112" t="n">
        <v>0</v>
      </c>
      <c r="I130" s="112" t="n">
        <v>0</v>
      </c>
      <c r="J130" s="112" t="n">
        <v>0</v>
      </c>
      <c r="K130" s="31" t="n"/>
      <c r="L130" s="31" t="n"/>
      <c r="M130" s="31" t="n"/>
      <c r="N130" s="31" t="n"/>
      <c r="O130" s="31" t="n"/>
    </row>
    <row r="131" ht="13.5" customHeight="1">
      <c r="C131" s="33" t="inlineStr">
        <is>
          <t>Total Cash Flows to Equity (Leveraged IRR):</t>
        </is>
      </c>
      <c r="D131" s="88" t="n"/>
      <c r="E131" s="88">
        <f>+SUM(E126:E130)</f>
        <v/>
      </c>
      <c r="F131" s="88">
        <f>+SUM(F126:F130)</f>
        <v/>
      </c>
      <c r="G131" s="88">
        <f>+SUM(G126:G130)</f>
        <v/>
      </c>
      <c r="H131" s="88">
        <f>+SUM(H126:H130)</f>
        <v/>
      </c>
      <c r="I131" s="88">
        <f>+SUM(I126:I130)</f>
        <v/>
      </c>
      <c r="J131" s="88">
        <f>+SUM(J126:J130)</f>
        <v/>
      </c>
      <c r="K131" s="31" t="n"/>
      <c r="L131" s="31" t="n"/>
      <c r="M131" s="31" t="n"/>
      <c r="N131" s="31" t="n"/>
      <c r="O131" s="31" t="n"/>
    </row>
    <row r="132" hidden="1" outlineLevel="1" ht="13.5" customHeight="1">
      <c r="C132" s="28" t="n"/>
      <c r="D132" s="99" t="n"/>
      <c r="E132" s="99" t="n"/>
      <c r="F132" s="100">
        <f>+F131-F126</f>
        <v/>
      </c>
      <c r="G132" s="100">
        <f>+G131-G126</f>
        <v/>
      </c>
      <c r="H132" s="100">
        <f>+H131-H126</f>
        <v/>
      </c>
      <c r="I132" s="100">
        <f>+I131-I126</f>
        <v/>
      </c>
      <c r="J132" s="100">
        <f>+J131-SUM(J126,J129)</f>
        <v/>
      </c>
      <c r="K132" s="31" t="n"/>
      <c r="L132" s="31" t="n"/>
      <c r="M132" s="31" t="n"/>
      <c r="N132" s="31" t="n"/>
      <c r="O132" s="31" t="n"/>
    </row>
    <row r="133" collapsed="1" ht="5.1" customHeight="1">
      <c r="D133" s="28" t="n"/>
      <c r="E133" s="28" t="n"/>
      <c r="F133" s="100" t="n"/>
      <c r="G133" s="100" t="n"/>
      <c r="H133" s="100" t="n"/>
      <c r="I133" s="100" t="n"/>
      <c r="J133" s="100" t="n"/>
      <c r="K133" s="31" t="n"/>
      <c r="L133" s="31" t="n"/>
      <c r="M133" s="31" t="n"/>
      <c r="N133" s="31" t="n"/>
      <c r="O133" s="31" t="n"/>
    </row>
    <row r="134" ht="13.5" customHeight="1">
      <c r="C134" s="113" t="inlineStr">
        <is>
          <t>Leveraged Internal Rate of Return (IRR):</t>
        </is>
      </c>
      <c r="D134" s="91" t="n"/>
      <c r="E134" s="114">
        <f>+IRR(E131:J131)</f>
        <v/>
      </c>
      <c r="G134" s="100" t="n"/>
      <c r="H134" s="100" t="n"/>
      <c r="I134" s="100" t="n"/>
      <c r="J134" s="100" t="n"/>
      <c r="K134" s="31" t="n"/>
      <c r="L134" s="31" t="n"/>
      <c r="M134" s="31" t="n"/>
      <c r="N134" s="31" t="n"/>
      <c r="O134" s="31" t="n"/>
    </row>
    <row r="135" ht="13.5" customHeight="1">
      <c r="C135" s="115" t="inlineStr">
        <is>
          <t>Levered Cash-on-Cash Multiple:</t>
        </is>
      </c>
      <c r="D135" s="92" t="n"/>
      <c r="E135" s="604">
        <f>+SUM(F126:J129)/-SUM(E130:J130)</f>
        <v/>
      </c>
      <c r="G135" s="100" t="n"/>
      <c r="H135" s="100" t="n"/>
      <c r="I135" s="100" t="n"/>
      <c r="J135" s="100" t="n"/>
      <c r="K135" s="31" t="n"/>
      <c r="L135" s="31" t="n"/>
      <c r="M135" s="31" t="n"/>
      <c r="N135" s="31" t="n"/>
      <c r="O135" s="31" t="n"/>
    </row>
    <row r="136"/>
    <row r="137" hidden="1" outlineLevel="1" ht="13.5" customHeight="1">
      <c r="C137" s="32" t="inlineStr">
        <is>
          <t>7 Year Hold IRR</t>
        </is>
      </c>
      <c r="D137" s="32" t="n"/>
      <c r="E137" s="602">
        <f>+'Scenario 0'!E138</f>
        <v/>
      </c>
      <c r="F137" s="602">
        <f>+'Scenario 0'!F138</f>
        <v/>
      </c>
      <c r="G137" s="602">
        <f>+'Scenario 0'!G138</f>
        <v/>
      </c>
      <c r="H137" s="602">
        <f>+'Scenario 0'!H138</f>
        <v/>
      </c>
      <c r="I137" s="602">
        <f>+'Scenario 0'!I138</f>
        <v/>
      </c>
      <c r="J137" s="602">
        <f>+'Scenario 0'!J138</f>
        <v/>
      </c>
      <c r="K137" s="602">
        <f>+'Scenario 0'!K138</f>
        <v/>
      </c>
      <c r="L137" s="602">
        <f>+'Scenario 0'!L138</f>
        <v/>
      </c>
      <c r="M137" s="602" t="n"/>
      <c r="N137" s="602" t="n"/>
      <c r="O137" s="602" t="n"/>
    </row>
    <row r="138" hidden="1" outlineLevel="1" ht="5.1" customHeight="1">
      <c r="C138" s="39" t="n"/>
      <c r="D138" s="109" t="n"/>
      <c r="E138" s="603" t="n"/>
      <c r="F138" s="603" t="n"/>
      <c r="G138" s="603" t="n"/>
      <c r="H138" s="603" t="n"/>
      <c r="I138" s="603" t="n"/>
      <c r="J138" s="603" t="n"/>
      <c r="K138" s="603" t="n"/>
      <c r="L138" s="603" t="n"/>
    </row>
    <row r="139" hidden="1" outlineLevel="1" ht="13.5" customHeight="1">
      <c r="C139" s="28" t="inlineStr">
        <is>
          <t>Project Cash Flows (Unleveraged IRR):</t>
        </is>
      </c>
      <c r="D139" s="28" t="n"/>
      <c r="E139" s="28" t="n"/>
      <c r="F139" s="100" t="n"/>
      <c r="G139" s="100" t="n"/>
      <c r="H139" s="100" t="n"/>
      <c r="I139" s="100" t="n"/>
      <c r="J139" s="100" t="n"/>
      <c r="K139" s="100" t="n"/>
      <c r="L139" s="100" t="n"/>
      <c r="M139" s="31" t="n"/>
      <c r="N139" s="31" t="n"/>
      <c r="O139" s="31" t="n"/>
    </row>
    <row r="140" hidden="1" outlineLevel="1" ht="13.5" customHeight="1">
      <c r="C140" s="43" t="inlineStr">
        <is>
          <t>(+) Proceeds from Sale of Property:</t>
        </is>
      </c>
      <c r="D140" s="111" t="n"/>
      <c r="E140" s="111" t="n"/>
      <c r="F140" s="111" t="n">
        <v>0</v>
      </c>
      <c r="G140" s="111" t="n">
        <v>0</v>
      </c>
      <c r="H140" s="111" t="n">
        <v>0</v>
      </c>
      <c r="I140" s="111" t="n">
        <v>0</v>
      </c>
      <c r="J140" s="111" t="n">
        <v>0</v>
      </c>
      <c r="K140" s="111" t="n">
        <v>0</v>
      </c>
      <c r="L140" s="111">
        <f>+L$80/D$112</f>
        <v/>
      </c>
      <c r="M140" s="31" t="n"/>
      <c r="N140" s="31" t="n"/>
      <c r="O140" s="31" t="n"/>
    </row>
    <row r="141" hidden="1" outlineLevel="1" ht="13.5" customHeight="1">
      <c r="C141" s="43" t="inlineStr">
        <is>
          <t>(-) Selling Costs:</t>
        </is>
      </c>
      <c r="D141" s="95">
        <f>+D116</f>
        <v/>
      </c>
      <c r="E141" s="112" t="n"/>
      <c r="F141" s="112" t="n">
        <v>0</v>
      </c>
      <c r="G141" s="112" t="n">
        <v>0</v>
      </c>
      <c r="H141" s="112" t="n">
        <v>0</v>
      </c>
      <c r="I141" s="112" t="n">
        <v>0</v>
      </c>
      <c r="J141" s="112" t="n">
        <v>0</v>
      </c>
      <c r="K141" s="112" t="n">
        <v>0</v>
      </c>
      <c r="L141" s="112">
        <f>-L$140*D$141</f>
        <v/>
      </c>
      <c r="M141" s="31" t="n"/>
      <c r="N141" s="31" t="n"/>
      <c r="O141" s="31" t="n"/>
    </row>
    <row r="142" hidden="1" outlineLevel="1" ht="13.5" customHeight="1">
      <c r="C142" s="43" t="inlineStr">
        <is>
          <t>(+) Adjusted NOI (Cash Flows to All Investors):</t>
        </is>
      </c>
      <c r="D142" s="112" t="n"/>
      <c r="E142" s="112" t="n"/>
      <c r="F142" s="23">
        <f>+F$88</f>
        <v/>
      </c>
      <c r="G142" s="23">
        <f>+G$88</f>
        <v/>
      </c>
      <c r="H142" s="23">
        <f>+H$88</f>
        <v/>
      </c>
      <c r="I142" s="23">
        <f>+I$88</f>
        <v/>
      </c>
      <c r="J142" s="23">
        <f>+J$88</f>
        <v/>
      </c>
      <c r="K142" s="23">
        <f>+K$88</f>
        <v/>
      </c>
      <c r="L142" s="23">
        <f>+L$88</f>
        <v/>
      </c>
      <c r="M142" s="31" t="n"/>
      <c r="N142" s="31" t="n"/>
      <c r="O142" s="31" t="n"/>
    </row>
    <row r="143" hidden="1" outlineLevel="1" ht="13.5" customHeight="1">
      <c r="C143" s="43" t="inlineStr">
        <is>
          <t>(-) Property Acquisition Price:</t>
        </is>
      </c>
      <c r="E143" s="103">
        <f>-Dashboard!$E$32</f>
        <v/>
      </c>
      <c r="F143" s="112" t="n">
        <v>0</v>
      </c>
      <c r="G143" s="112" t="n">
        <v>0</v>
      </c>
      <c r="H143" s="112" t="n">
        <v>0</v>
      </c>
      <c r="I143" s="112" t="n">
        <v>0</v>
      </c>
      <c r="J143" s="112" t="n">
        <v>0</v>
      </c>
      <c r="K143" s="112" t="n">
        <v>0</v>
      </c>
      <c r="L143" s="112" t="n">
        <v>0</v>
      </c>
      <c r="M143" s="31" t="n"/>
      <c r="N143" s="31" t="n"/>
      <c r="O143" s="31" t="n"/>
    </row>
    <row r="144" hidden="1" outlineLevel="1" ht="13.5" customHeight="1">
      <c r="C144" s="33" t="inlineStr">
        <is>
          <t>Total Project Cash Flows (Unleveraged IRR):</t>
        </is>
      </c>
      <c r="D144" s="38" t="n"/>
      <c r="E144" s="88">
        <f>SUM(E140:E143)</f>
        <v/>
      </c>
      <c r="F144" s="88">
        <f>SUM(F140:F143)</f>
        <v/>
      </c>
      <c r="G144" s="88">
        <f>SUM(G140:G143)</f>
        <v/>
      </c>
      <c r="H144" s="88">
        <f>SUM(H140:H143)</f>
        <v/>
      </c>
      <c r="I144" s="88">
        <f>SUM(I140:I143)</f>
        <v/>
      </c>
      <c r="J144" s="88">
        <f>SUM(J140:J143)</f>
        <v/>
      </c>
      <c r="K144" s="88">
        <f>SUM(K140:K143)</f>
        <v/>
      </c>
      <c r="L144" s="88">
        <f>SUM(L140:L143)</f>
        <v/>
      </c>
      <c r="M144" s="31" t="n"/>
      <c r="N144" s="31" t="n"/>
      <c r="O144" s="31" t="n"/>
    </row>
    <row r="145" hidden="1" outlineLevel="2" ht="13.5" customHeight="1">
      <c r="C145" s="28" t="n"/>
      <c r="E145" s="99" t="n"/>
      <c r="F145" s="100">
        <f>+F144-F140</f>
        <v/>
      </c>
      <c r="G145" s="100">
        <f>+G144-G140</f>
        <v/>
      </c>
      <c r="H145" s="100">
        <f>+H144-H140</f>
        <v/>
      </c>
      <c r="I145" s="100">
        <f>+I144-I140</f>
        <v/>
      </c>
      <c r="J145" s="100">
        <f>+J144-J140</f>
        <v/>
      </c>
      <c r="K145" s="100">
        <f>+K144-K140</f>
        <v/>
      </c>
      <c r="L145" s="100">
        <f>+L144-L140</f>
        <v/>
      </c>
      <c r="M145" s="31" t="n"/>
      <c r="N145" s="31" t="n"/>
      <c r="O145" s="31" t="n"/>
    </row>
    <row r="146" hidden="1" outlineLevel="1" collapsed="1" ht="5.1" customHeight="1">
      <c r="D146" s="28" t="n"/>
      <c r="E146" s="28" t="n"/>
      <c r="F146" s="100" t="n"/>
      <c r="G146" s="100" t="n"/>
      <c r="H146" s="100" t="n"/>
      <c r="I146" s="100" t="n"/>
      <c r="J146" s="100" t="n"/>
      <c r="K146" s="100" t="n"/>
      <c r="L146" s="100" t="n"/>
      <c r="M146" s="31" t="n"/>
      <c r="N146" s="31" t="n"/>
      <c r="O146" s="31" t="n"/>
    </row>
    <row r="147" hidden="1" outlineLevel="1" ht="13.5" customHeight="1">
      <c r="C147" s="113" t="inlineStr">
        <is>
          <t>Unlevered IRR:</t>
        </is>
      </c>
      <c r="D147" s="91" t="n"/>
      <c r="E147" s="114">
        <f>+IRR(E144:L144)</f>
        <v/>
      </c>
      <c r="G147" s="100" t="n"/>
      <c r="H147" s="100" t="n"/>
      <c r="I147" s="100" t="n"/>
      <c r="J147" s="100" t="n"/>
      <c r="K147" s="100" t="n"/>
      <c r="L147" s="100" t="n"/>
      <c r="M147" s="31" t="n"/>
      <c r="N147" s="31" t="n"/>
      <c r="O147" s="31" t="n"/>
    </row>
    <row r="148" hidden="1" outlineLevel="1" ht="13.5" customHeight="1">
      <c r="C148" s="115" t="inlineStr">
        <is>
          <t>Unlevered Cash-on-Cash Multiple:</t>
        </is>
      </c>
      <c r="D148" s="92" t="n"/>
      <c r="E148" s="604">
        <f>+SUM(F140:L142)/-SUM(E143:L143)</f>
        <v/>
      </c>
      <c r="G148" s="100" t="n"/>
      <c r="H148" s="100" t="n"/>
      <c r="I148" s="100" t="n"/>
      <c r="J148" s="100" t="n"/>
      <c r="K148" s="100" t="n"/>
      <c r="L148" s="100" t="n"/>
      <c r="M148" s="31" t="n"/>
      <c r="N148" s="31" t="n"/>
      <c r="O148" s="31" t="n"/>
    </row>
    <row r="149" hidden="1" outlineLevel="1" ht="13.5" customHeight="1">
      <c r="D149" s="28" t="n"/>
      <c r="E149" s="28" t="n"/>
      <c r="F149" s="100" t="n"/>
      <c r="G149" s="100" t="n"/>
      <c r="H149" s="100" t="n"/>
      <c r="I149" s="100" t="n"/>
      <c r="J149" s="100" t="n"/>
      <c r="K149" s="100" t="n"/>
      <c r="L149" s="100" t="n"/>
      <c r="M149" s="31" t="n"/>
      <c r="N149" s="31" t="n"/>
      <c r="O149" s="31" t="n"/>
    </row>
    <row r="150" hidden="1" outlineLevel="1" ht="13.5" customHeight="1">
      <c r="C150" s="28" t="inlineStr">
        <is>
          <t>Cash Flow to Equity Investors (Leveraged IRR):</t>
        </is>
      </c>
      <c r="D150" s="28" t="n"/>
      <c r="E150" s="28" t="n"/>
      <c r="F150" s="100" t="n"/>
      <c r="G150" s="100" t="n"/>
      <c r="H150" s="100" t="n"/>
      <c r="I150" s="100" t="n"/>
      <c r="J150" s="100" t="n"/>
      <c r="K150" s="100" t="n"/>
      <c r="L150" s="100" t="n"/>
      <c r="M150" s="31" t="n"/>
      <c r="N150" s="31" t="n"/>
      <c r="O150" s="31" t="n"/>
    </row>
    <row r="151" hidden="1" outlineLevel="1" ht="13.5" customHeight="1">
      <c r="C151" s="43" t="inlineStr">
        <is>
          <t>(+) Proceeds from Sale of Property:</t>
        </is>
      </c>
      <c r="D151" s="111" t="n"/>
      <c r="E151" s="111" t="n"/>
      <c r="F151" s="111" t="n">
        <v>0</v>
      </c>
      <c r="G151" s="111" t="n">
        <v>0</v>
      </c>
      <c r="H151" s="111" t="n">
        <v>0</v>
      </c>
      <c r="I151" s="111" t="n">
        <v>0</v>
      </c>
      <c r="J151" s="111" t="n">
        <v>0</v>
      </c>
      <c r="K151" s="111" t="n">
        <v>0</v>
      </c>
      <c r="L151" s="111">
        <f>+L$80/D$112</f>
        <v/>
      </c>
      <c r="M151" s="31" t="n"/>
      <c r="N151" s="31" t="n"/>
      <c r="O151" s="31" t="n"/>
    </row>
    <row r="152" hidden="1" outlineLevel="1" ht="13.5" customHeight="1">
      <c r="C152" s="43" t="inlineStr">
        <is>
          <t>(-) Selling Costs:</t>
        </is>
      </c>
      <c r="D152" s="95">
        <f>+D116</f>
        <v/>
      </c>
      <c r="E152" s="112" t="n"/>
      <c r="F152" s="112" t="n">
        <v>0</v>
      </c>
      <c r="G152" s="112" t="n">
        <v>0</v>
      </c>
      <c r="H152" s="112" t="n">
        <v>0</v>
      </c>
      <c r="I152" s="112" t="n">
        <v>0</v>
      </c>
      <c r="J152" s="112" t="n">
        <v>0</v>
      </c>
      <c r="K152" s="112" t="n">
        <v>0</v>
      </c>
      <c r="L152" s="112">
        <f>-L$151*D$152</f>
        <v/>
      </c>
      <c r="M152" s="31" t="n"/>
      <c r="N152" s="31" t="n"/>
      <c r="O152" s="31" t="n"/>
    </row>
    <row r="153" hidden="1" outlineLevel="1" ht="13.5" customHeight="1">
      <c r="C153" s="43" t="inlineStr">
        <is>
          <t>(+) Cash Flows to Equity Investors:</t>
        </is>
      </c>
      <c r="E153" s="112" t="n"/>
      <c r="F153" s="23">
        <f>+F$92</f>
        <v/>
      </c>
      <c r="G153" s="23">
        <f>+G$92</f>
        <v/>
      </c>
      <c r="H153" s="23">
        <f>+H$92</f>
        <v/>
      </c>
      <c r="I153" s="23">
        <f>+I$92</f>
        <v/>
      </c>
      <c r="J153" s="23">
        <f>+J$92</f>
        <v/>
      </c>
      <c r="K153" s="23">
        <f>+K$92</f>
        <v/>
      </c>
      <c r="L153" s="23">
        <f>+L$92</f>
        <v/>
      </c>
      <c r="M153" s="31" t="n"/>
      <c r="N153" s="31" t="n"/>
      <c r="O153" s="31" t="n"/>
    </row>
    <row r="154" hidden="1" outlineLevel="1" ht="13.5" customHeight="1">
      <c r="C154" s="43" t="inlineStr">
        <is>
          <t>(-) Debt Principal Repayment Upon Exit:</t>
        </is>
      </c>
      <c r="D154" s="112" t="n"/>
      <c r="E154" s="112" t="n"/>
      <c r="F154" s="112" t="n">
        <v>0</v>
      </c>
      <c r="G154" s="112" t="n">
        <v>0</v>
      </c>
      <c r="H154" s="112" t="n">
        <v>0</v>
      </c>
      <c r="I154" s="112" t="n">
        <v>0</v>
      </c>
      <c r="J154" s="112" t="n">
        <v>0</v>
      </c>
      <c r="K154" s="112" t="n">
        <v>0</v>
      </c>
      <c r="L154" s="112">
        <f>-L94</f>
        <v/>
      </c>
      <c r="M154" s="31" t="n"/>
      <c r="N154" s="31" t="n"/>
      <c r="O154" s="31" t="n"/>
    </row>
    <row r="155" hidden="1" outlineLevel="1" ht="13.5" customHeight="1">
      <c r="C155" s="43" t="inlineStr">
        <is>
          <t>(-) Initial Equity Investment:</t>
        </is>
      </c>
      <c r="D155" s="103" t="n"/>
      <c r="E155" s="103">
        <f>-Dashboard!$I$11</f>
        <v/>
      </c>
      <c r="F155" s="112" t="n">
        <v>0</v>
      </c>
      <c r="G155" s="112" t="n">
        <v>0</v>
      </c>
      <c r="H155" s="112" t="n">
        <v>0</v>
      </c>
      <c r="I155" s="112" t="n">
        <v>0</v>
      </c>
      <c r="J155" s="112" t="n">
        <v>0</v>
      </c>
      <c r="K155" s="112" t="n">
        <v>0</v>
      </c>
      <c r="L155" s="112" t="n">
        <v>0</v>
      </c>
      <c r="M155" s="31" t="n"/>
      <c r="N155" s="31" t="n"/>
      <c r="O155" s="31" t="n"/>
    </row>
    <row r="156" hidden="1" outlineLevel="1" ht="13.5" customHeight="1">
      <c r="C156" s="33" t="inlineStr">
        <is>
          <t>Total Cash Flows to Equity (Leveraged IRR):</t>
        </is>
      </c>
      <c r="D156" s="88" t="n"/>
      <c r="E156" s="88">
        <f>+SUM(E151:E155)</f>
        <v/>
      </c>
      <c r="F156" s="88">
        <f>+SUM(F151:F155)</f>
        <v/>
      </c>
      <c r="G156" s="88">
        <f>+SUM(G151:G155)</f>
        <v/>
      </c>
      <c r="H156" s="88">
        <f>+SUM(H151:H155)</f>
        <v/>
      </c>
      <c r="I156" s="88">
        <f>+SUM(I151:I155)</f>
        <v/>
      </c>
      <c r="J156" s="88">
        <f>+SUM(J151:J155)</f>
        <v/>
      </c>
      <c r="K156" s="88">
        <f>+SUM(K151:K155)</f>
        <v/>
      </c>
      <c r="L156" s="88">
        <f>+SUM(L151:L155)</f>
        <v/>
      </c>
      <c r="M156" s="31" t="n"/>
      <c r="N156" s="31" t="n"/>
      <c r="O156" s="31" t="n"/>
    </row>
    <row r="157" hidden="1" outlineLevel="2" ht="13.5" customHeight="1">
      <c r="C157" s="28" t="n"/>
      <c r="D157" s="99" t="n"/>
      <c r="E157" s="99" t="n"/>
      <c r="F157" s="100">
        <f>+F156-F151</f>
        <v/>
      </c>
      <c r="G157" s="100">
        <f>+G156-G151</f>
        <v/>
      </c>
      <c r="H157" s="100">
        <f>+H156-H151</f>
        <v/>
      </c>
      <c r="I157" s="100">
        <f>+I156-I151</f>
        <v/>
      </c>
      <c r="J157" s="100">
        <f>+J156-J151</f>
        <v/>
      </c>
      <c r="K157" s="100">
        <f>+K156-K151</f>
        <v/>
      </c>
      <c r="L157" s="100">
        <f>+L156-L151</f>
        <v/>
      </c>
      <c r="M157" s="31" t="n"/>
      <c r="N157" s="31" t="n"/>
      <c r="O157" s="31" t="n"/>
    </row>
    <row r="158" hidden="1" outlineLevel="1" collapsed="1" ht="5.1" customHeight="1">
      <c r="D158" s="28" t="n"/>
      <c r="E158" s="28" t="n"/>
      <c r="F158" s="100" t="n"/>
      <c r="G158" s="100" t="n"/>
      <c r="H158" s="100" t="n"/>
      <c r="I158" s="100" t="n"/>
      <c r="J158" s="100" t="n"/>
      <c r="K158" s="100" t="n"/>
      <c r="L158" s="100" t="n"/>
      <c r="M158" s="31" t="n"/>
      <c r="N158" s="31" t="n"/>
      <c r="O158" s="31" t="n"/>
    </row>
    <row r="159" hidden="1" outlineLevel="1" ht="13.5" customHeight="1">
      <c r="C159" s="113" t="inlineStr">
        <is>
          <t>Leveraged Internal Rate of Return (IRR):</t>
        </is>
      </c>
      <c r="D159" s="91" t="n"/>
      <c r="E159" s="114">
        <f>+IRR(E156:L156)</f>
        <v/>
      </c>
      <c r="G159" s="100" t="n"/>
      <c r="H159" s="100" t="n"/>
      <c r="I159" s="100" t="n"/>
      <c r="J159" s="100" t="n"/>
      <c r="K159" s="100" t="n"/>
      <c r="L159" s="100" t="n"/>
      <c r="M159" s="31" t="n"/>
      <c r="N159" s="31" t="n"/>
      <c r="O159" s="31" t="n"/>
    </row>
    <row r="160" hidden="1" outlineLevel="1" ht="13.5" customHeight="1">
      <c r="C160" s="115" t="inlineStr">
        <is>
          <t>Levered Cash-on-Cash Multiple:</t>
        </is>
      </c>
      <c r="D160" s="92" t="n"/>
      <c r="E160" s="604">
        <f>+SUM(F151:L154)/-SUM(E155:L155)</f>
        <v/>
      </c>
      <c r="G160" s="100" t="n"/>
      <c r="H160" s="100" t="n"/>
      <c r="I160" s="100" t="n"/>
      <c r="J160" s="100" t="n"/>
      <c r="K160" s="100" t="n"/>
      <c r="L160" s="100" t="n"/>
      <c r="M160" s="31" t="n"/>
      <c r="N160" s="31" t="n"/>
      <c r="O160" s="31" t="n"/>
    </row>
    <row r="161" hidden="1" outlineLevel="1" ht="13.5" customHeight="1"/>
    <row r="162" hidden="1" outlineLevel="1" ht="13.5" customHeight="1">
      <c r="C162" s="32" t="inlineStr">
        <is>
          <t>10 Year Hold IRR</t>
        </is>
      </c>
      <c r="D162" s="32" t="n"/>
      <c r="E162" s="602">
        <f>+'Scenario 0'!E163</f>
        <v/>
      </c>
      <c r="F162" s="602">
        <f>+'Scenario 0'!F163</f>
        <v/>
      </c>
      <c r="G162" s="602">
        <f>+'Scenario 0'!G163</f>
        <v/>
      </c>
      <c r="H162" s="602">
        <f>+'Scenario 0'!H163</f>
        <v/>
      </c>
      <c r="I162" s="602">
        <f>+'Scenario 0'!I163</f>
        <v/>
      </c>
      <c r="J162" s="602">
        <f>+'Scenario 0'!J163</f>
        <v/>
      </c>
      <c r="K162" s="602">
        <f>+'Scenario 0'!K163</f>
        <v/>
      </c>
      <c r="L162" s="602">
        <f>+'Scenario 0'!L163</f>
        <v/>
      </c>
      <c r="M162" s="602">
        <f>+'Scenario 0'!M163</f>
        <v/>
      </c>
      <c r="N162" s="602">
        <f>+'Scenario 0'!N163</f>
        <v/>
      </c>
      <c r="O162" s="602">
        <f>+'Scenario 0'!O163</f>
        <v/>
      </c>
    </row>
    <row r="163" hidden="1" outlineLevel="1" ht="5.1" customHeight="1">
      <c r="C163" s="39" t="n"/>
      <c r="D163" s="109" t="n"/>
      <c r="E163" s="603" t="n"/>
      <c r="F163" s="603" t="n"/>
      <c r="G163" s="603" t="n"/>
      <c r="H163" s="603" t="n"/>
      <c r="I163" s="603" t="n"/>
      <c r="J163" s="603" t="n"/>
      <c r="K163" s="603" t="n"/>
      <c r="L163" s="603" t="n"/>
      <c r="M163" s="603" t="n"/>
      <c r="N163" s="603" t="n"/>
      <c r="O163" s="603" t="n"/>
    </row>
    <row r="164" hidden="1" outlineLevel="1" ht="13.5" customHeight="1">
      <c r="C164" s="28" t="inlineStr">
        <is>
          <t>Project Cash Flows (Unleveraged IRR):</t>
        </is>
      </c>
      <c r="D164" s="28" t="n"/>
      <c r="E164" s="28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</row>
    <row r="165" hidden="1" outlineLevel="1" ht="13.5" customHeight="1">
      <c r="C165" s="43" t="inlineStr">
        <is>
          <t>(+) Proceeds from Sale of Property:</t>
        </is>
      </c>
      <c r="D165" s="111" t="n"/>
      <c r="E165" s="111" t="n"/>
      <c r="F165" s="111" t="n">
        <v>0</v>
      </c>
      <c r="G165" s="111" t="n">
        <v>0</v>
      </c>
      <c r="H165" s="111" t="n">
        <v>0</v>
      </c>
      <c r="I165" s="111" t="n">
        <v>0</v>
      </c>
      <c r="J165" s="111" t="n">
        <v>0</v>
      </c>
      <c r="K165" s="111" t="n">
        <v>0</v>
      </c>
      <c r="L165" s="111" t="n">
        <v>0</v>
      </c>
      <c r="M165" s="111" t="n">
        <v>0</v>
      </c>
      <c r="N165" s="111" t="n">
        <v>0</v>
      </c>
      <c r="O165" s="111">
        <f>+O$80/D$112</f>
        <v/>
      </c>
    </row>
    <row r="166" hidden="1" outlineLevel="1" ht="13.5" customHeight="1">
      <c r="C166" s="43" t="inlineStr">
        <is>
          <t>(-) Selling Costs:</t>
        </is>
      </c>
      <c r="D166" s="95">
        <f>+D116</f>
        <v/>
      </c>
      <c r="E166" s="112" t="n"/>
      <c r="F166" s="112" t="n">
        <v>0</v>
      </c>
      <c r="G166" s="112" t="n">
        <v>0</v>
      </c>
      <c r="H166" s="112" t="n">
        <v>0</v>
      </c>
      <c r="I166" s="112" t="n">
        <v>0</v>
      </c>
      <c r="J166" s="112" t="n">
        <v>0</v>
      </c>
      <c r="K166" s="112" t="n">
        <v>0</v>
      </c>
      <c r="L166" s="112" t="n">
        <v>0</v>
      </c>
      <c r="M166" s="112" t="n">
        <v>0</v>
      </c>
      <c r="N166" s="112" t="n">
        <v>0</v>
      </c>
      <c r="O166" s="112">
        <f>-O$165*D$166</f>
        <v/>
      </c>
    </row>
    <row r="167" hidden="1" outlineLevel="1" ht="13.5" customHeight="1">
      <c r="C167" s="43" t="inlineStr">
        <is>
          <t>(+) Adjusted NOI (Cash Flows to All Investors):</t>
        </is>
      </c>
      <c r="D167" s="112" t="n"/>
      <c r="E167" s="112" t="n"/>
      <c r="F167" s="23">
        <f>+F$88</f>
        <v/>
      </c>
      <c r="G167" s="23">
        <f>+G$88</f>
        <v/>
      </c>
      <c r="H167" s="23">
        <f>+H$88</f>
        <v/>
      </c>
      <c r="I167" s="23">
        <f>+I$88</f>
        <v/>
      </c>
      <c r="J167" s="23">
        <f>+J$88</f>
        <v/>
      </c>
      <c r="K167" s="23">
        <f>+K$88</f>
        <v/>
      </c>
      <c r="L167" s="23">
        <f>+L$88</f>
        <v/>
      </c>
      <c r="M167" s="23">
        <f>+M$88</f>
        <v/>
      </c>
      <c r="N167" s="23">
        <f>+N$88</f>
        <v/>
      </c>
      <c r="O167" s="23">
        <f>+O$88</f>
        <v/>
      </c>
    </row>
    <row r="168" hidden="1" outlineLevel="1" ht="13.5" customHeight="1">
      <c r="C168" s="43" t="inlineStr">
        <is>
          <t>(-) Property Acquisition Price:</t>
        </is>
      </c>
      <c r="E168" s="103">
        <f>-Dashboard!$E$32</f>
        <v/>
      </c>
      <c r="F168" s="112" t="n">
        <v>0</v>
      </c>
      <c r="G168" s="112" t="n">
        <v>0</v>
      </c>
      <c r="H168" s="112" t="n">
        <v>0</v>
      </c>
      <c r="I168" s="112" t="n">
        <v>0</v>
      </c>
      <c r="J168" s="112" t="n">
        <v>0</v>
      </c>
      <c r="K168" s="112" t="n">
        <v>0</v>
      </c>
      <c r="L168" s="112" t="n">
        <v>0</v>
      </c>
      <c r="M168" s="112" t="n">
        <v>0</v>
      </c>
      <c r="N168" s="112" t="n">
        <v>0</v>
      </c>
      <c r="O168" s="112" t="n">
        <v>0</v>
      </c>
    </row>
    <row r="169" hidden="1" outlineLevel="1" ht="13.5" customHeight="1">
      <c r="C169" s="33" t="inlineStr">
        <is>
          <t>Total Project Cash Flows (Unleveraged IRR):</t>
        </is>
      </c>
      <c r="D169" s="38" t="n"/>
      <c r="E169" s="88">
        <f>SUM(E165:E168)</f>
        <v/>
      </c>
      <c r="F169" s="88">
        <f>SUM(F165:F168)</f>
        <v/>
      </c>
      <c r="G169" s="88">
        <f>SUM(G165:G168)</f>
        <v/>
      </c>
      <c r="H169" s="88">
        <f>SUM(H165:H168)</f>
        <v/>
      </c>
      <c r="I169" s="88">
        <f>SUM(I165:I168)</f>
        <v/>
      </c>
      <c r="J169" s="88">
        <f>SUM(J165:J168)</f>
        <v/>
      </c>
      <c r="K169" s="88">
        <f>SUM(K165:K168)</f>
        <v/>
      </c>
      <c r="L169" s="88">
        <f>SUM(L165:L168)</f>
        <v/>
      </c>
      <c r="M169" s="88">
        <f>SUM(M165:M168)</f>
        <v/>
      </c>
      <c r="N169" s="88">
        <f>SUM(N165:N168)</f>
        <v/>
      </c>
      <c r="O169" s="88">
        <f>SUM(O165:O168)</f>
        <v/>
      </c>
    </row>
    <row r="170" hidden="1" outlineLevel="2" ht="13.5" customHeight="1">
      <c r="C170" s="28" t="n"/>
      <c r="E170" s="99" t="n"/>
      <c r="F170" s="100">
        <f>+F169-F165</f>
        <v/>
      </c>
      <c r="G170" s="100">
        <f>+G169-G165</f>
        <v/>
      </c>
      <c r="H170" s="100">
        <f>+H169-H165</f>
        <v/>
      </c>
      <c r="I170" s="100">
        <f>+I169-I165</f>
        <v/>
      </c>
      <c r="J170" s="100">
        <f>+J169-J165</f>
        <v/>
      </c>
      <c r="K170" s="100">
        <f>+K169-K165</f>
        <v/>
      </c>
      <c r="L170" s="100">
        <f>+L169-L165</f>
        <v/>
      </c>
      <c r="M170" s="100">
        <f>+M169-M165</f>
        <v/>
      </c>
      <c r="N170" s="100">
        <f>+N169-N165</f>
        <v/>
      </c>
      <c r="O170" s="100">
        <f>+O169-O165</f>
        <v/>
      </c>
    </row>
    <row r="171" hidden="1" outlineLevel="1" collapsed="1" ht="5.1" customHeight="1">
      <c r="D171" s="28" t="n"/>
      <c r="E171" s="28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</row>
    <row r="172" hidden="1" outlineLevel="1" ht="13.5" customHeight="1">
      <c r="C172" s="113" t="inlineStr">
        <is>
          <t>Unlevered IRR:</t>
        </is>
      </c>
      <c r="D172" s="91" t="n"/>
      <c r="E172" s="114">
        <f>+IRR(E169:O169)</f>
        <v/>
      </c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</row>
    <row r="173" hidden="1" outlineLevel="1" ht="13.5" customHeight="1">
      <c r="C173" s="115" t="inlineStr">
        <is>
          <t>Unlevered Cash-on-Cash Multiple:</t>
        </is>
      </c>
      <c r="D173" s="92" t="n"/>
      <c r="E173" s="604">
        <f>+SUM(F165:O167)/-SUM(E168:O168)</f>
        <v/>
      </c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</row>
    <row r="174" hidden="1" outlineLevel="1" ht="13.5" customHeight="1">
      <c r="D174" s="28" t="n"/>
      <c r="E174" s="28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</row>
    <row r="175" hidden="1" outlineLevel="1" ht="13.5" customHeight="1">
      <c r="C175" s="28" t="inlineStr">
        <is>
          <t>Cash Flow to Equity Investors (Leveraged IRR):</t>
        </is>
      </c>
      <c r="D175" s="28" t="n"/>
      <c r="E175" s="28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</row>
    <row r="176" hidden="1" outlineLevel="1" ht="13.5" customHeight="1">
      <c r="C176" s="43" t="inlineStr">
        <is>
          <t>(+) Proceeds from Sale of Property:</t>
        </is>
      </c>
      <c r="D176" s="111" t="n"/>
      <c r="E176" s="111" t="n"/>
      <c r="F176" s="111" t="n">
        <v>0</v>
      </c>
      <c r="G176" s="111" t="n">
        <v>0</v>
      </c>
      <c r="H176" s="111" t="n">
        <v>0</v>
      </c>
      <c r="I176" s="111" t="n">
        <v>0</v>
      </c>
      <c r="J176" s="111" t="n">
        <v>0</v>
      </c>
      <c r="K176" s="111" t="n">
        <v>0</v>
      </c>
      <c r="L176" s="111" t="n">
        <v>0</v>
      </c>
      <c r="M176" s="111" t="n">
        <v>0</v>
      </c>
      <c r="N176" s="111" t="n">
        <v>0</v>
      </c>
      <c r="O176" s="111">
        <f>+O$80/D$112</f>
        <v/>
      </c>
    </row>
    <row r="177" hidden="1" outlineLevel="1" ht="13.5" customHeight="1">
      <c r="C177" s="43" t="inlineStr">
        <is>
          <t>(-) Selling Costs:</t>
        </is>
      </c>
      <c r="D177" s="95">
        <f>+D127</f>
        <v/>
      </c>
      <c r="E177" s="112" t="n"/>
      <c r="F177" s="112" t="n">
        <v>0</v>
      </c>
      <c r="G177" s="112" t="n">
        <v>0</v>
      </c>
      <c r="H177" s="112" t="n">
        <v>0</v>
      </c>
      <c r="I177" s="112" t="n">
        <v>0</v>
      </c>
      <c r="J177" s="112" t="n">
        <v>0</v>
      </c>
      <c r="K177" s="112" t="n">
        <v>0</v>
      </c>
      <c r="L177" s="112" t="n">
        <v>0</v>
      </c>
      <c r="M177" s="112" t="n">
        <v>0</v>
      </c>
      <c r="N177" s="112" t="n">
        <v>0</v>
      </c>
      <c r="O177" s="112">
        <f>-O$165*D$166</f>
        <v/>
      </c>
    </row>
    <row r="178" hidden="1" outlineLevel="1" ht="13.5" customHeight="1">
      <c r="C178" s="43" t="inlineStr">
        <is>
          <t>(+) Cash Flows to Equity Investors:</t>
        </is>
      </c>
      <c r="E178" s="112" t="n"/>
      <c r="F178" s="23">
        <f>+F$92</f>
        <v/>
      </c>
      <c r="G178" s="23">
        <f>+G$92</f>
        <v/>
      </c>
      <c r="H178" s="23">
        <f>+H$92</f>
        <v/>
      </c>
      <c r="I178" s="23">
        <f>+I$92</f>
        <v/>
      </c>
      <c r="J178" s="23">
        <f>+J$92</f>
        <v/>
      </c>
      <c r="K178" s="23">
        <f>+K$92</f>
        <v/>
      </c>
      <c r="L178" s="23">
        <f>+L$92</f>
        <v/>
      </c>
      <c r="M178" s="23">
        <f>+M$92</f>
        <v/>
      </c>
      <c r="N178" s="23">
        <f>+N$92</f>
        <v/>
      </c>
      <c r="O178" s="23">
        <f>+O$92</f>
        <v/>
      </c>
    </row>
    <row r="179" hidden="1" outlineLevel="1" ht="13.5" customHeight="1">
      <c r="C179" s="43" t="inlineStr">
        <is>
          <t>(-) Debt Principal Repayment Upon Exit:</t>
        </is>
      </c>
      <c r="D179" s="112" t="n"/>
      <c r="E179" s="112" t="n"/>
      <c r="F179" s="112" t="n">
        <v>0</v>
      </c>
      <c r="G179" s="112" t="n">
        <v>0</v>
      </c>
      <c r="H179" s="112" t="n">
        <v>0</v>
      </c>
      <c r="I179" s="112" t="n">
        <v>0</v>
      </c>
      <c r="J179" s="112" t="n">
        <v>0</v>
      </c>
      <c r="K179" s="112" t="n">
        <v>0</v>
      </c>
      <c r="L179" s="112" t="n">
        <v>0</v>
      </c>
      <c r="M179" s="112" t="n">
        <v>0</v>
      </c>
      <c r="N179" s="112" t="n">
        <v>0</v>
      </c>
      <c r="O179" s="112">
        <f>-O94</f>
        <v/>
      </c>
    </row>
    <row r="180" hidden="1" outlineLevel="1" ht="13.5" customHeight="1">
      <c r="C180" s="43" t="inlineStr">
        <is>
          <t>(-) Initial Equity Investment:</t>
        </is>
      </c>
      <c r="D180" s="103" t="n"/>
      <c r="E180" s="103">
        <f>-Dashboard!$I$11</f>
        <v/>
      </c>
      <c r="F180" s="112" t="n">
        <v>0</v>
      </c>
      <c r="G180" s="112" t="n">
        <v>0</v>
      </c>
      <c r="H180" s="112" t="n">
        <v>0</v>
      </c>
      <c r="I180" s="112" t="n">
        <v>0</v>
      </c>
      <c r="J180" s="112" t="n">
        <v>0</v>
      </c>
      <c r="K180" s="112" t="n">
        <v>0</v>
      </c>
      <c r="L180" s="112" t="n">
        <v>0</v>
      </c>
      <c r="M180" s="112" t="n">
        <v>0</v>
      </c>
      <c r="N180" s="112" t="n">
        <v>0</v>
      </c>
      <c r="O180" s="112" t="n">
        <v>0</v>
      </c>
    </row>
    <row r="181" hidden="1" outlineLevel="1" ht="13.5" customHeight="1">
      <c r="C181" s="33" t="inlineStr">
        <is>
          <t>Total Cash Flows to Equity (Leveraged IRR):</t>
        </is>
      </c>
      <c r="D181" s="88" t="n"/>
      <c r="E181" s="88">
        <f>+SUM(E176:E180)</f>
        <v/>
      </c>
      <c r="F181" s="88">
        <f>+SUM(F176:F180)</f>
        <v/>
      </c>
      <c r="G181" s="88">
        <f>+SUM(G176:G180)</f>
        <v/>
      </c>
      <c r="H181" s="88">
        <f>+SUM(H176:H180)</f>
        <v/>
      </c>
      <c r="I181" s="88">
        <f>+SUM(I176:I180)</f>
        <v/>
      </c>
      <c r="J181" s="88">
        <f>+SUM(J176:J180)</f>
        <v/>
      </c>
      <c r="K181" s="88">
        <f>+SUM(K176:K180)</f>
        <v/>
      </c>
      <c r="L181" s="88">
        <f>+SUM(L176:L180)</f>
        <v/>
      </c>
      <c r="M181" s="88">
        <f>+SUM(M176:M180)</f>
        <v/>
      </c>
      <c r="N181" s="88">
        <f>+SUM(N176:N180)</f>
        <v/>
      </c>
      <c r="O181" s="88">
        <f>+SUM(O176:O180)</f>
        <v/>
      </c>
    </row>
    <row r="182" hidden="1" outlineLevel="2" ht="13.5" customHeight="1">
      <c r="C182" s="28" t="n"/>
      <c r="D182" s="99" t="n"/>
      <c r="E182" s="99" t="n"/>
      <c r="F182" s="100">
        <f>+F181-F176</f>
        <v/>
      </c>
      <c r="G182" s="100">
        <f>+G181-G176</f>
        <v/>
      </c>
      <c r="H182" s="100">
        <f>+H181-H176</f>
        <v/>
      </c>
      <c r="I182" s="100">
        <f>+I181-I176</f>
        <v/>
      </c>
      <c r="J182" s="100">
        <f>+J181-J176</f>
        <v/>
      </c>
      <c r="K182" s="100">
        <f>+K181-K176</f>
        <v/>
      </c>
      <c r="L182" s="100">
        <f>+L181-L176</f>
        <v/>
      </c>
      <c r="M182" s="100">
        <f>+M181-M176</f>
        <v/>
      </c>
      <c r="N182" s="100">
        <f>+N181-N176</f>
        <v/>
      </c>
      <c r="O182" s="100">
        <f>+O181-O176</f>
        <v/>
      </c>
    </row>
    <row r="183" hidden="1" outlineLevel="1" collapsed="1" ht="5.1" customHeight="1">
      <c r="D183" s="28" t="n"/>
      <c r="E183" s="28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</row>
    <row r="184" hidden="1" outlineLevel="1" ht="13.5" customHeight="1">
      <c r="C184" s="113" t="inlineStr">
        <is>
          <t>Leveraged Internal Rate of Return (IRR):</t>
        </is>
      </c>
      <c r="D184" s="91" t="n"/>
      <c r="E184" s="114">
        <f>+IRR(E181:O181)</f>
        <v/>
      </c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</row>
    <row r="185" hidden="1" outlineLevel="1" ht="13.5" customHeight="1">
      <c r="C185" s="115" t="inlineStr">
        <is>
          <t>Levered Cash-on-Cash Multiple:</t>
        </is>
      </c>
      <c r="D185" s="92" t="n"/>
      <c r="E185" s="604">
        <f>+SUM(F176:O179)/-SUM(E180:O180)</f>
        <v/>
      </c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</row>
    <row r="186" collapsed="1" ht="13.5" customHeight="1"/>
  </sheetData>
  <mergeCells count="9">
    <mergeCell ref="I1:I2"/>
    <mergeCell ref="C1:C2"/>
    <mergeCell ref="D1:D2"/>
    <mergeCell ref="G1:G2"/>
    <mergeCell ref="E1:E2"/>
    <mergeCell ref="F1:F2"/>
    <mergeCell ref="H1:H2"/>
    <mergeCell ref="P1:P2"/>
    <mergeCell ref="O1:O2"/>
  </mergeCells>
  <pageMargins left="0.7" right="0.7" top="0.75" bottom="0.75" header="0.3" footer="0.3"/>
  <pageSetup orientation="landscape" scale="17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5"/>
  <sheetViews>
    <sheetView showGridLines="1" view="normal" workbookViewId="0">
      <selection activeCell="A1" sqref="A1"/>
    </sheetView>
  </sheetViews>
  <sheetFormatPr baseColWidth="8" defaultColWidth="9.140625" defaultRowHeight="13.5" customHeight="1" outlineLevelRow="2"/>
  <cols>
    <col width="11.85546875" customWidth="1" style="13" min="1" max="1"/>
    <col width="1.7109375" customWidth="1" style="13" min="2" max="2"/>
    <col width="36" customWidth="1" style="13" min="3" max="3"/>
    <col width="13.5703125" bestFit="1" customWidth="1" style="13" min="4" max="5"/>
    <col width="13.5703125" customWidth="1" style="13" min="6" max="6"/>
    <col width="13" bestFit="1" customWidth="1" style="13" min="7" max="8"/>
    <col width="13" customWidth="1" style="13" min="9" max="10"/>
    <col hidden="1" outlineLevel="1" width="13" customWidth="1" style="13" min="11" max="15"/>
    <col collapsed="1" width="5.7109375" customWidth="1" style="13" min="16" max="16"/>
    <col width="9.140625" customWidth="1" style="13" min="17" max="16384"/>
  </cols>
  <sheetData>
    <row r="1" ht="15" customHeight="1">
      <c r="C1" s="570" t="inlineStr">
        <is>
          <t>Underwriting Model Scenario 4</t>
        </is>
      </c>
      <c r="D1" s="570" t="n"/>
      <c r="E1" s="570" t="n"/>
      <c r="F1" s="570" t="n"/>
      <c r="G1" s="570" t="n"/>
      <c r="H1" s="570" t="n"/>
      <c r="I1" s="570" t="n"/>
      <c r="J1" s="569" t="n"/>
      <c r="K1" s="569" t="n"/>
      <c r="L1" s="569" t="n"/>
      <c r="M1" s="569" t="n"/>
      <c r="N1" s="569" t="n"/>
      <c r="O1" s="570" t="n"/>
      <c r="P1" s="570" t="n"/>
    </row>
    <row r="2" ht="15.75" customHeight="1" thickBot="1">
      <c r="C2" s="582" t="n"/>
      <c r="D2" s="582" t="n"/>
      <c r="E2" s="582" t="n"/>
      <c r="F2" s="582" t="n"/>
      <c r="G2" s="582" t="n"/>
      <c r="H2" s="582" t="n"/>
      <c r="I2" s="582" t="n"/>
      <c r="J2" s="570" t="n"/>
      <c r="K2" s="570" t="n"/>
      <c r="L2" s="570" t="n"/>
      <c r="M2" s="570" t="n"/>
      <c r="N2" s="570" t="n"/>
      <c r="O2" s="582" t="n"/>
      <c r="P2" s="582" t="n"/>
    </row>
    <row r="3" ht="13.5" customHeight="1" thickTop="1">
      <c r="C3" s="104" t="n"/>
      <c r="D3" s="221" t="inlineStr">
        <is>
          <t>Year</t>
        </is>
      </c>
      <c r="E3" s="221">
        <f>+'Scenario 0'!E3</f>
        <v/>
      </c>
      <c r="F3" s="221">
        <f>+'Scenario 0'!F3</f>
        <v/>
      </c>
      <c r="G3" s="221">
        <f>+'Scenario 0'!G3</f>
        <v/>
      </c>
      <c r="H3" s="221">
        <f>+'Scenario 0'!H3</f>
        <v/>
      </c>
      <c r="I3" s="221">
        <f>+'Scenario 0'!I3</f>
        <v/>
      </c>
      <c r="J3" s="221">
        <f>+'Scenario 0'!J3</f>
        <v/>
      </c>
      <c r="K3" s="221">
        <f>+'Scenario 0'!K3</f>
        <v/>
      </c>
      <c r="L3" s="221">
        <f>+'Scenario 0'!L3</f>
        <v/>
      </c>
      <c r="M3" s="221">
        <f>+'Scenario 0'!M3</f>
        <v/>
      </c>
      <c r="N3" s="221">
        <f>+'Scenario 0'!N3</f>
        <v/>
      </c>
      <c r="O3" s="221">
        <f>+'Scenario 0'!O3</f>
        <v/>
      </c>
      <c r="P3" s="104" t="n"/>
    </row>
    <row r="4" ht="17.45" customHeight="1">
      <c r="C4" s="209">
        <f>+'Unit Mix'!AK3</f>
        <v/>
      </c>
      <c r="D4" s="210" t="n"/>
      <c r="E4" s="37" t="n"/>
      <c r="F4" s="583" t="n"/>
      <c r="G4" s="583" t="n"/>
      <c r="H4" s="583" t="n"/>
      <c r="I4" s="583" t="n"/>
      <c r="J4" s="583" t="n"/>
      <c r="K4" s="583" t="n"/>
      <c r="L4" s="583" t="n"/>
      <c r="M4" s="583" t="n"/>
      <c r="N4" s="583" t="n"/>
      <c r="O4" s="583" t="n"/>
    </row>
    <row r="5" ht="5.1" customHeight="1"/>
    <row r="6" ht="13.5" customHeight="1">
      <c r="C6" s="211" t="inlineStr">
        <is>
          <t>Income Statement</t>
        </is>
      </c>
      <c r="D6" s="36" t="n"/>
      <c r="E6" s="584">
        <f>+'Scenario 0'!E6</f>
        <v/>
      </c>
      <c r="F6" s="584">
        <f>+'Scenario 0'!F6</f>
        <v/>
      </c>
      <c r="G6" s="584">
        <f>+'Scenario 0'!G6</f>
        <v/>
      </c>
      <c r="H6" s="584">
        <f>+'Scenario 0'!H6</f>
        <v/>
      </c>
      <c r="I6" s="584">
        <f>+'Scenario 0'!I6</f>
        <v/>
      </c>
      <c r="J6" s="584">
        <f>+'Scenario 0'!J6</f>
        <v/>
      </c>
      <c r="K6" s="584">
        <f>+'Scenario 0'!K6</f>
        <v/>
      </c>
      <c r="L6" s="584">
        <f>+'Scenario 0'!L6</f>
        <v/>
      </c>
      <c r="M6" s="584">
        <f>+'Scenario 0'!M6</f>
        <v/>
      </c>
      <c r="N6" s="584">
        <f>+'Scenario 0'!N6</f>
        <v/>
      </c>
      <c r="O6" s="584">
        <f>+'Scenario 0'!O6</f>
        <v/>
      </c>
    </row>
    <row r="7" ht="13.5" customHeight="1">
      <c r="C7" s="13" t="inlineStr">
        <is>
          <t>Gross Potential Income</t>
        </is>
      </c>
      <c r="E7" s="249">
        <f>+'Scenario 0'!$E$7</f>
        <v/>
      </c>
      <c r="F7" s="40">
        <f>+'Unit Mix'!AP26</f>
        <v/>
      </c>
      <c r="G7" s="40">
        <f>+'Unit Mix'!AP49</f>
        <v/>
      </c>
      <c r="H7" s="40">
        <f>+'Unit Mix'!AP72</f>
        <v/>
      </c>
      <c r="I7" s="40">
        <f>+'Unit Mix'!AP95</f>
        <v/>
      </c>
      <c r="J7" s="40">
        <f>+'Unit Mix'!AP118</f>
        <v/>
      </c>
      <c r="K7" s="40">
        <f>+'Unit Mix'!AP141</f>
        <v/>
      </c>
      <c r="L7" s="40">
        <f>+'Unit Mix'!AP164</f>
        <v/>
      </c>
      <c r="M7" s="40">
        <f>+'Unit Mix'!AP187</f>
        <v/>
      </c>
      <c r="N7" s="40">
        <f>+'Unit Mix'!AP210</f>
        <v/>
      </c>
      <c r="O7" s="40">
        <f>+'Unit Mix'!AP233</f>
        <v/>
      </c>
    </row>
    <row r="8" ht="13.5" customHeight="1">
      <c r="C8" s="13" t="inlineStr">
        <is>
          <t>Vacancy Factor</t>
        </is>
      </c>
      <c r="D8" s="42">
        <f>+Dashboard!$P$10</f>
        <v/>
      </c>
      <c r="E8" s="605">
        <f>+'Scenario 0'!$E$8</f>
        <v/>
      </c>
      <c r="F8" s="579">
        <f>+F7*$D$8</f>
        <v/>
      </c>
      <c r="G8" s="579">
        <f>+G7*$D$8</f>
        <v/>
      </c>
      <c r="H8" s="579">
        <f>+H7*$D$8</f>
        <v/>
      </c>
      <c r="I8" s="579">
        <f>+I7*$D$8</f>
        <v/>
      </c>
      <c r="J8" s="579">
        <f>+J7*$D$8</f>
        <v/>
      </c>
      <c r="K8" s="579">
        <f>+K7*$D$8</f>
        <v/>
      </c>
      <c r="L8" s="579">
        <f>+L7*$D$8</f>
        <v/>
      </c>
      <c r="M8" s="579">
        <f>+M7*$D$8</f>
        <v/>
      </c>
      <c r="N8" s="579">
        <f>+N7*$D$8</f>
        <v/>
      </c>
      <c r="O8" s="579">
        <f>+O7*$D$8</f>
        <v/>
      </c>
    </row>
    <row r="9" ht="13.5" customHeight="1">
      <c r="C9" s="33" t="inlineStr">
        <is>
          <t>Net Rental Income</t>
        </is>
      </c>
      <c r="D9" s="33" t="n"/>
      <c r="E9" s="224">
        <f>+E7-E8</f>
        <v/>
      </c>
      <c r="F9" s="34">
        <f>+F7-F8</f>
        <v/>
      </c>
      <c r="G9" s="34">
        <f>+G7-G8</f>
        <v/>
      </c>
      <c r="H9" s="34">
        <f>+H7-H8</f>
        <v/>
      </c>
      <c r="I9" s="34">
        <f>+I7-I8</f>
        <v/>
      </c>
      <c r="J9" s="34">
        <f>+J7-J8</f>
        <v/>
      </c>
      <c r="K9" s="34">
        <f>+K7-K8</f>
        <v/>
      </c>
      <c r="L9" s="34">
        <f>+L7-L8</f>
        <v/>
      </c>
      <c r="M9" s="34">
        <f>+M7-M8</f>
        <v/>
      </c>
      <c r="N9" s="34">
        <f>+N7-N8</f>
        <v/>
      </c>
      <c r="O9" s="34">
        <f>+O7-O8</f>
        <v/>
      </c>
    </row>
    <row r="10" ht="5.1" customHeight="1">
      <c r="C10" s="28" t="n"/>
      <c r="D10" s="28" t="n"/>
      <c r="E10" s="225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</row>
    <row r="11" ht="13.5" customHeight="1">
      <c r="C11" s="13" t="inlineStr">
        <is>
          <t>Laundry and Other Income</t>
        </is>
      </c>
      <c r="D11" s="42">
        <f>+Dashboard!$P$14</f>
        <v/>
      </c>
      <c r="E11" s="249">
        <f>+'Scenario 0'!$E$11</f>
        <v/>
      </c>
      <c r="F11" s="103">
        <f>+Dashboard!$O$14</f>
        <v/>
      </c>
      <c r="G11" s="112">
        <f>+F11*(1+$D11)</f>
        <v/>
      </c>
      <c r="H11" s="112">
        <f>+G11*(1+$D11)</f>
        <v/>
      </c>
      <c r="I11" s="112">
        <f>+H11*(1+$D11)</f>
        <v/>
      </c>
      <c r="J11" s="112">
        <f>+I11*(1+$D11)</f>
        <v/>
      </c>
      <c r="K11" s="112">
        <f>+J11*(1+$D11)</f>
        <v/>
      </c>
      <c r="L11" s="112">
        <f>+K11*(1+$D11)</f>
        <v/>
      </c>
      <c r="M11" s="112">
        <f>+L11*(1+$D11)</f>
        <v/>
      </c>
      <c r="N11" s="112">
        <f>+M11*(1+$D11)</f>
        <v/>
      </c>
      <c r="O11" s="112">
        <f>+N11*(1+$D11)</f>
        <v/>
      </c>
    </row>
    <row r="12" ht="13.5" customHeight="1">
      <c r="C12" s="33" t="inlineStr">
        <is>
          <t>Total Gross Income</t>
        </is>
      </c>
      <c r="D12" s="34" t="n"/>
      <c r="E12" s="224">
        <f>+SUM(E9:E11)</f>
        <v/>
      </c>
      <c r="F12" s="34">
        <f>+SUM(F9:F11)</f>
        <v/>
      </c>
      <c r="G12" s="34">
        <f>+SUM(G9:G11)</f>
        <v/>
      </c>
      <c r="H12" s="34">
        <f>+SUM(H9:H11)</f>
        <v/>
      </c>
      <c r="I12" s="34">
        <f>+SUM(I9:I11)</f>
        <v/>
      </c>
      <c r="J12" s="34">
        <f>+SUM(J9:J11)</f>
        <v/>
      </c>
      <c r="K12" s="34">
        <f>+SUM(K9:K11)</f>
        <v/>
      </c>
      <c r="L12" s="34">
        <f>+SUM(L9:L11)</f>
        <v/>
      </c>
      <c r="M12" s="34">
        <f>+SUM(M9:M11)</f>
        <v/>
      </c>
      <c r="N12" s="34">
        <f>+SUM(N9:N11)</f>
        <v/>
      </c>
      <c r="O12" s="34">
        <f>+SUM(O9:O11)</f>
        <v/>
      </c>
    </row>
    <row r="13" ht="13.5" customHeight="1">
      <c r="C13" s="104" t="inlineStr">
        <is>
          <t>Gross Income Growth</t>
        </is>
      </c>
      <c r="D13" s="66" t="n"/>
      <c r="E13" s="259" t="inlineStr">
        <is>
          <t>--</t>
        </is>
      </c>
      <c r="F13" s="105">
        <f>+F12/E12-1</f>
        <v/>
      </c>
      <c r="G13" s="105">
        <f>+G12/F12-1</f>
        <v/>
      </c>
      <c r="H13" s="105">
        <f>+H12/G12-1</f>
        <v/>
      </c>
      <c r="I13" s="105">
        <f>+I12/H12-1</f>
        <v/>
      </c>
      <c r="J13" s="105">
        <f>+J12/I12-1</f>
        <v/>
      </c>
      <c r="K13" s="105">
        <f>+K12/J12-1</f>
        <v/>
      </c>
      <c r="L13" s="105">
        <f>+L12/K12-1</f>
        <v/>
      </c>
      <c r="M13" s="105">
        <f>+M12/L12-1</f>
        <v/>
      </c>
      <c r="N13" s="105">
        <f>+N12/M12-1</f>
        <v/>
      </c>
      <c r="O13" s="105">
        <f>+O12/N12-1</f>
        <v/>
      </c>
    </row>
    <row r="14" ht="5.1" customHeight="1">
      <c r="E14" s="226" t="n"/>
    </row>
    <row r="15" ht="13.5" customHeight="1">
      <c r="C15" s="28" t="inlineStr">
        <is>
          <t>Opertating Expenses</t>
        </is>
      </c>
      <c r="E15" s="226" t="n"/>
    </row>
    <row r="16" hidden="1" outlineLevel="1" ht="5.1" customHeight="1">
      <c r="C16" s="28" t="n"/>
      <c r="E16" s="226" t="n"/>
    </row>
    <row r="17" hidden="1" outlineLevel="1" ht="13.5" customHeight="1">
      <c r="A17" s="132" t="inlineStr">
        <is>
          <t>BAD</t>
        </is>
      </c>
      <c r="C17" s="206" t="n"/>
      <c r="D17" s="205" t="n"/>
      <c r="E17" s="240" t="n"/>
      <c r="F17" s="205" t="n"/>
      <c r="G17" s="205" t="n"/>
      <c r="H17" s="205" t="n"/>
      <c r="I17" s="205" t="n"/>
      <c r="J17" s="205" t="n"/>
      <c r="K17" s="205" t="n"/>
      <c r="L17" s="205" t="n"/>
      <c r="M17" s="205" t="n"/>
      <c r="N17" s="205" t="n"/>
      <c r="O17" s="205" t="n"/>
    </row>
    <row r="18" collapsed="1" ht="13.5" customHeight="1">
      <c r="C18" s="13" t="inlineStr">
        <is>
          <t>Bad Debt</t>
        </is>
      </c>
      <c r="D18" s="42" t="n"/>
      <c r="E18" s="249">
        <f>+'Scenario 0'!E18</f>
        <v/>
      </c>
      <c r="F18" s="40">
        <f>+'Scenario 0'!F18</f>
        <v/>
      </c>
      <c r="G18" s="40">
        <f>+'Scenario 0'!G18</f>
        <v/>
      </c>
      <c r="H18" s="40">
        <f>+'Scenario 0'!H18</f>
        <v/>
      </c>
      <c r="I18" s="40">
        <f>+'Scenario 0'!I18</f>
        <v/>
      </c>
      <c r="J18" s="40">
        <f>+'Scenario 0'!J18</f>
        <v/>
      </c>
      <c r="K18" s="40">
        <f>+'Scenario 0'!K18</f>
        <v/>
      </c>
      <c r="L18" s="40">
        <f>+'Scenario 0'!L18</f>
        <v/>
      </c>
      <c r="M18" s="40">
        <f>+'Scenario 0'!M18</f>
        <v/>
      </c>
      <c r="N18" s="40">
        <f>+'Scenario 0'!N18</f>
        <v/>
      </c>
      <c r="O18" s="40">
        <f>+'Scenario 0'!O18</f>
        <v/>
      </c>
    </row>
    <row r="19" hidden="1" outlineLevel="1" ht="13.5" customHeight="1">
      <c r="D19" s="42" t="n"/>
      <c r="E19" s="249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</row>
    <row r="20" hidden="1" outlineLevel="1" ht="13.5" customHeight="1">
      <c r="A20" s="132" t="inlineStr">
        <is>
          <t>RES</t>
        </is>
      </c>
      <c r="C20" s="206" t="n"/>
      <c r="D20" s="205" t="n"/>
      <c r="E20" s="248" t="n"/>
      <c r="F20" s="200" t="n"/>
      <c r="G20" s="200" t="n"/>
      <c r="H20" s="200" t="n"/>
      <c r="I20" s="200" t="n"/>
      <c r="J20" s="200" t="n"/>
      <c r="K20" s="200" t="n"/>
      <c r="L20" s="200" t="n"/>
      <c r="M20" s="200" t="n"/>
      <c r="N20" s="200" t="n"/>
      <c r="O20" s="200" t="n"/>
    </row>
    <row r="21" hidden="1" outlineLevel="1" ht="13.5" customHeight="1">
      <c r="A21" s="132" t="inlineStr">
        <is>
          <t>COM</t>
        </is>
      </c>
      <c r="C21" s="207" t="n"/>
      <c r="D21" s="205" t="n"/>
      <c r="E21" s="606" t="n"/>
      <c r="F21" s="587" t="n"/>
      <c r="G21" s="587" t="n"/>
      <c r="H21" s="587" t="n"/>
      <c r="I21" s="587" t="n"/>
      <c r="J21" s="587" t="n"/>
      <c r="K21" s="587" t="n"/>
      <c r="L21" s="587" t="n"/>
      <c r="M21" s="587" t="n"/>
      <c r="N21" s="587" t="n"/>
      <c r="O21" s="587" t="n"/>
    </row>
    <row r="22" collapsed="1" ht="13.5" customHeight="1">
      <c r="C22" s="13" t="inlineStr">
        <is>
          <t>Total Replacement Reserves</t>
        </is>
      </c>
      <c r="E22" s="592">
        <f>+'Scenario 0'!E22</f>
        <v/>
      </c>
      <c r="F22" s="593">
        <f>+'Scenario 0'!F22</f>
        <v/>
      </c>
      <c r="G22" s="593">
        <f>+'Scenario 0'!G22</f>
        <v/>
      </c>
      <c r="H22" s="593">
        <f>+'Scenario 0'!H22</f>
        <v/>
      </c>
      <c r="I22" s="593">
        <f>+'Scenario 0'!I22</f>
        <v/>
      </c>
      <c r="J22" s="593">
        <f>+'Scenario 0'!J22</f>
        <v/>
      </c>
      <c r="K22" s="593">
        <f>+'Scenario 0'!K22</f>
        <v/>
      </c>
      <c r="L22" s="593">
        <f>+'Scenario 0'!L22</f>
        <v/>
      </c>
      <c r="M22" s="593">
        <f>+'Scenario 0'!M22</f>
        <v/>
      </c>
      <c r="N22" s="593">
        <f>+'Scenario 0'!N22</f>
        <v/>
      </c>
      <c r="O22" s="593">
        <f>+'Scenario 0'!O22</f>
        <v/>
      </c>
    </row>
    <row r="23" hidden="1" outlineLevel="1" ht="13.5" customHeight="1">
      <c r="E23" s="592" t="n"/>
      <c r="F23" s="593" t="n"/>
      <c r="G23" s="593" t="n"/>
      <c r="H23" s="593" t="n"/>
      <c r="I23" s="593" t="n"/>
      <c r="J23" s="593" t="n"/>
      <c r="K23" s="593" t="n"/>
      <c r="L23" s="593" t="n"/>
      <c r="M23" s="593" t="n"/>
      <c r="N23" s="593" t="n"/>
      <c r="O23" s="593" t="n"/>
    </row>
    <row r="24" hidden="1" outlineLevel="1" ht="13.5" customHeight="1">
      <c r="A24" s="132" t="inlineStr">
        <is>
          <t>MAN</t>
        </is>
      </c>
      <c r="C24" s="206" t="n"/>
      <c r="D24" s="199" t="n"/>
      <c r="E24" s="248" t="n"/>
      <c r="F24" s="200" t="n"/>
      <c r="G24" s="200" t="n"/>
      <c r="H24" s="200" t="n"/>
      <c r="I24" s="200" t="n"/>
      <c r="J24" s="200" t="n"/>
      <c r="K24" s="200" t="n"/>
      <c r="L24" s="200" t="n"/>
      <c r="M24" s="200" t="n"/>
      <c r="N24" s="200" t="n"/>
      <c r="O24" s="200" t="n"/>
    </row>
    <row r="25" hidden="1" outlineLevel="1" ht="13.5" customHeight="1">
      <c r="A25" s="132" t="inlineStr">
        <is>
          <t>ASS</t>
        </is>
      </c>
      <c r="C25" s="207" t="n"/>
      <c r="D25" s="199" t="n"/>
      <c r="E25" s="606" t="n"/>
      <c r="F25" s="587" t="n"/>
      <c r="G25" s="587" t="n"/>
      <c r="H25" s="587" t="n"/>
      <c r="I25" s="587" t="n"/>
      <c r="J25" s="587" t="n"/>
      <c r="K25" s="587" t="n"/>
      <c r="L25" s="587" t="n"/>
      <c r="M25" s="587" t="n"/>
      <c r="N25" s="587" t="n"/>
      <c r="O25" s="587" t="n"/>
    </row>
    <row r="26" hidden="1" outlineLevel="1" ht="13.5" customHeight="1">
      <c r="A26" s="132" t="inlineStr">
        <is>
          <t>PAY</t>
        </is>
      </c>
      <c r="C26" s="207" t="n"/>
      <c r="D26" s="199" t="n"/>
      <c r="E26" s="606" t="n"/>
      <c r="F26" s="587" t="n"/>
      <c r="G26" s="587" t="n"/>
      <c r="H26" s="587" t="n"/>
      <c r="I26" s="587" t="n"/>
      <c r="J26" s="587" t="n"/>
      <c r="K26" s="587" t="n"/>
      <c r="L26" s="587" t="n"/>
      <c r="M26" s="587" t="n"/>
      <c r="N26" s="587" t="n"/>
      <c r="O26" s="587" t="n"/>
    </row>
    <row r="27" hidden="1" outlineLevel="1" ht="13.5" customHeight="1">
      <c r="A27" s="132" t="inlineStr">
        <is>
          <t>MAIT</t>
        </is>
      </c>
      <c r="C27" s="207" t="n"/>
      <c r="D27" s="199" t="n"/>
      <c r="E27" s="606" t="n"/>
      <c r="F27" s="587" t="n"/>
      <c r="G27" s="587" t="n"/>
      <c r="H27" s="587" t="n"/>
      <c r="I27" s="587" t="n"/>
      <c r="J27" s="587" t="n"/>
      <c r="K27" s="587" t="n"/>
      <c r="L27" s="587" t="n"/>
      <c r="M27" s="587" t="n"/>
      <c r="N27" s="587" t="n"/>
      <c r="O27" s="587" t="n"/>
    </row>
    <row r="28" collapsed="1" ht="13.5" customHeight="1">
      <c r="C28" s="13" t="inlineStr">
        <is>
          <t>Payroll</t>
        </is>
      </c>
      <c r="E28" s="592">
        <f>+'Scenario 0'!E29</f>
        <v/>
      </c>
      <c r="F28" s="593">
        <f>+'Scenario 0'!F29</f>
        <v/>
      </c>
      <c r="G28" s="593">
        <f>+'Scenario 0'!G29</f>
        <v/>
      </c>
      <c r="H28" s="593">
        <f>+'Scenario 0'!H29</f>
        <v/>
      </c>
      <c r="I28" s="593">
        <f>+'Scenario 0'!I29</f>
        <v/>
      </c>
      <c r="J28" s="593">
        <f>+'Scenario 0'!J29</f>
        <v/>
      </c>
      <c r="K28" s="593">
        <f>+'Scenario 0'!K29</f>
        <v/>
      </c>
      <c r="L28" s="593">
        <f>+'Scenario 0'!L29</f>
        <v/>
      </c>
      <c r="M28" s="593">
        <f>+'Scenario 0'!M29</f>
        <v/>
      </c>
      <c r="N28" s="593">
        <f>+'Scenario 0'!N29</f>
        <v/>
      </c>
      <c r="O28" s="593">
        <f>+'Scenario 0'!O29</f>
        <v/>
      </c>
    </row>
    <row r="29" hidden="1" outlineLevel="1" ht="13.5" customHeight="1">
      <c r="E29" s="592" t="n"/>
      <c r="F29" s="593" t="n"/>
      <c r="G29" s="593" t="n"/>
      <c r="H29" s="593" t="n"/>
      <c r="I29" s="593" t="n"/>
      <c r="J29" s="593" t="n"/>
      <c r="K29" s="593" t="n"/>
      <c r="L29" s="593" t="n"/>
      <c r="M29" s="593" t="n"/>
      <c r="N29" s="593" t="n"/>
      <c r="O29" s="593" t="n"/>
    </row>
    <row r="30" hidden="1" outlineLevel="1" ht="13.5" customHeight="1">
      <c r="A30" s="132" t="inlineStr">
        <is>
          <t>MGMT</t>
        </is>
      </c>
      <c r="C30" s="208" t="n"/>
      <c r="D30" s="199" t="n"/>
      <c r="E30" s="248" t="n"/>
      <c r="F30" s="200" t="n"/>
      <c r="G30" s="200" t="n"/>
      <c r="H30" s="200" t="n"/>
      <c r="I30" s="200" t="n"/>
      <c r="J30" s="200" t="n"/>
      <c r="K30" s="200" t="n"/>
      <c r="L30" s="200" t="n"/>
      <c r="M30" s="200" t="n"/>
      <c r="N30" s="200" t="n"/>
      <c r="O30" s="200" t="n"/>
    </row>
    <row r="31" hidden="1" outlineLevel="1" ht="13.5" customHeight="1">
      <c r="A31" s="132" t="inlineStr">
        <is>
          <t>LEGAL</t>
        </is>
      </c>
      <c r="C31" s="208" t="n"/>
      <c r="D31" s="199" t="n"/>
      <c r="E31" s="606" t="n"/>
      <c r="F31" s="591" t="n"/>
      <c r="G31" s="587" t="n"/>
      <c r="H31" s="587" t="n"/>
      <c r="I31" s="587" t="n"/>
      <c r="J31" s="587" t="n"/>
      <c r="K31" s="587" t="n"/>
      <c r="L31" s="587" t="n"/>
      <c r="M31" s="587" t="n"/>
      <c r="N31" s="587" t="n"/>
      <c r="O31" s="587" t="n"/>
    </row>
    <row r="32" hidden="1" outlineLevel="1" ht="13.5" customHeight="1">
      <c r="A32" s="132" t="inlineStr">
        <is>
          <t>OFF</t>
        </is>
      </c>
      <c r="C32" s="208" t="n"/>
      <c r="D32" s="199" t="n"/>
      <c r="E32" s="606" t="n"/>
      <c r="F32" s="591" t="n"/>
      <c r="G32" s="587" t="n"/>
      <c r="H32" s="587" t="n"/>
      <c r="I32" s="587" t="n"/>
      <c r="J32" s="587" t="n"/>
      <c r="K32" s="587" t="n"/>
      <c r="L32" s="587" t="n"/>
      <c r="M32" s="587" t="n"/>
      <c r="N32" s="587" t="n"/>
      <c r="O32" s="587" t="n"/>
    </row>
    <row r="33" hidden="1" outlineLevel="1" ht="13.5" customHeight="1">
      <c r="A33" s="132" t="inlineStr">
        <is>
          <t>TRAVEL</t>
        </is>
      </c>
      <c r="C33" s="208" t="n"/>
      <c r="D33" s="199" t="n"/>
      <c r="E33" s="606" t="n"/>
      <c r="F33" s="591" t="n"/>
      <c r="G33" s="587" t="n"/>
      <c r="H33" s="587" t="n"/>
      <c r="I33" s="587" t="n"/>
      <c r="J33" s="587" t="n"/>
      <c r="K33" s="587" t="n"/>
      <c r="L33" s="587" t="n"/>
      <c r="M33" s="587" t="n"/>
      <c r="N33" s="587" t="n"/>
      <c r="O33" s="587" t="n"/>
    </row>
    <row r="34" hidden="1" outlineLevel="1" ht="13.5" customHeight="1">
      <c r="A34" s="132" t="inlineStr">
        <is>
          <t>AUD</t>
        </is>
      </c>
      <c r="C34" s="208" t="n"/>
      <c r="D34" s="199" t="n"/>
      <c r="E34" s="606" t="n"/>
      <c r="F34" s="591" t="n"/>
      <c r="G34" s="587" t="n"/>
      <c r="H34" s="587" t="n"/>
      <c r="I34" s="587" t="n"/>
      <c r="J34" s="587" t="n"/>
      <c r="K34" s="587" t="n"/>
      <c r="L34" s="587" t="n"/>
      <c r="M34" s="587" t="n"/>
      <c r="N34" s="587" t="n"/>
      <c r="O34" s="587" t="n"/>
    </row>
    <row r="35" hidden="1" outlineLevel="1" ht="13.5" customHeight="1">
      <c r="A35" s="132" t="inlineStr">
        <is>
          <t>ADV</t>
        </is>
      </c>
      <c r="C35" s="208" t="n"/>
      <c r="D35" s="199" t="n"/>
      <c r="E35" s="606" t="n"/>
      <c r="F35" s="591" t="n"/>
      <c r="G35" s="587" t="n"/>
      <c r="H35" s="587" t="n"/>
      <c r="I35" s="587" t="n"/>
      <c r="J35" s="587" t="n"/>
      <c r="K35" s="587" t="n"/>
      <c r="L35" s="587" t="n"/>
      <c r="M35" s="587" t="n"/>
      <c r="N35" s="587" t="n"/>
      <c r="O35" s="587" t="n"/>
    </row>
    <row r="36" hidden="1" outlineLevel="1" ht="13.5" customHeight="1">
      <c r="A36" s="132" t="inlineStr">
        <is>
          <t>TRAIN</t>
        </is>
      </c>
      <c r="C36" s="208" t="n"/>
      <c r="D36" s="199" t="n"/>
      <c r="E36" s="606" t="n"/>
      <c r="F36" s="591" t="n"/>
      <c r="G36" s="587" t="n"/>
      <c r="H36" s="587" t="n"/>
      <c r="I36" s="587" t="n"/>
      <c r="J36" s="587" t="n"/>
      <c r="K36" s="587" t="n"/>
      <c r="L36" s="587" t="n"/>
      <c r="M36" s="587" t="n"/>
      <c r="N36" s="587" t="n"/>
      <c r="O36" s="587" t="n"/>
    </row>
    <row r="37" hidden="1" outlineLevel="1" ht="13.5" customHeight="1">
      <c r="A37" s="132" t="inlineStr">
        <is>
          <t>BANK</t>
        </is>
      </c>
      <c r="C37" s="208" t="n"/>
      <c r="D37" s="199" t="n"/>
      <c r="E37" s="606" t="n"/>
      <c r="F37" s="591" t="n"/>
      <c r="G37" s="587" t="n"/>
      <c r="H37" s="587" t="n"/>
      <c r="I37" s="587" t="n"/>
      <c r="J37" s="587" t="n"/>
      <c r="K37" s="587" t="n"/>
      <c r="L37" s="587" t="n"/>
      <c r="M37" s="587" t="n"/>
      <c r="N37" s="587" t="n"/>
      <c r="O37" s="587" t="n"/>
    </row>
    <row r="38" hidden="1" outlineLevel="1" ht="13.5" customHeight="1">
      <c r="A38" s="132" t="inlineStr">
        <is>
          <t>BOOK</t>
        </is>
      </c>
      <c r="C38" s="208" t="n"/>
      <c r="D38" s="199" t="n"/>
      <c r="E38" s="606" t="n"/>
      <c r="F38" s="591" t="n"/>
      <c r="G38" s="587" t="n"/>
      <c r="H38" s="587" t="n"/>
      <c r="I38" s="587" t="n"/>
      <c r="J38" s="587" t="n"/>
      <c r="K38" s="587" t="n"/>
      <c r="L38" s="587" t="n"/>
      <c r="M38" s="587" t="n"/>
      <c r="N38" s="587" t="n"/>
      <c r="O38" s="587" t="n"/>
    </row>
    <row r="39" hidden="1" outlineLevel="1" ht="13.5" customHeight="1">
      <c r="A39" s="132" t="inlineStr">
        <is>
          <t>PAYSERV</t>
        </is>
      </c>
      <c r="C39" s="208" t="n"/>
      <c r="D39" s="199" t="n"/>
      <c r="E39" s="606" t="n"/>
      <c r="F39" s="591" t="n"/>
      <c r="G39" s="587" t="n"/>
      <c r="H39" s="587" t="n"/>
      <c r="I39" s="587" t="n"/>
      <c r="J39" s="587" t="n"/>
      <c r="K39" s="587" t="n"/>
      <c r="L39" s="587" t="n"/>
      <c r="M39" s="587" t="n"/>
      <c r="N39" s="587" t="n"/>
      <c r="O39" s="587" t="n"/>
    </row>
    <row r="40" hidden="1" outlineLevel="1" ht="13.5" customHeight="1">
      <c r="A40" s="132" t="inlineStr">
        <is>
          <t>UNIT</t>
        </is>
      </c>
      <c r="C40" s="208" t="n"/>
      <c r="D40" s="199" t="n"/>
      <c r="E40" s="606" t="n"/>
      <c r="F40" s="591" t="n"/>
      <c r="G40" s="587" t="n"/>
      <c r="H40" s="587" t="n"/>
      <c r="I40" s="587" t="n"/>
      <c r="J40" s="587" t="n"/>
      <c r="K40" s="587" t="n"/>
      <c r="L40" s="587" t="n"/>
      <c r="M40" s="587" t="n"/>
      <c r="N40" s="587" t="n"/>
      <c r="O40" s="587" t="n"/>
    </row>
    <row r="41" hidden="1" outlineLevel="1" ht="13.5" customHeight="1">
      <c r="A41" s="132" t="inlineStr">
        <is>
          <t>MISCAD</t>
        </is>
      </c>
      <c r="C41" s="208" t="n"/>
      <c r="D41" s="199" t="n"/>
      <c r="E41" s="606" t="n"/>
      <c r="F41" s="591" t="n"/>
      <c r="G41" s="587" t="n"/>
      <c r="H41" s="587" t="n"/>
      <c r="I41" s="587" t="n"/>
      <c r="J41" s="587" t="n"/>
      <c r="K41" s="587" t="n"/>
      <c r="L41" s="587" t="n"/>
      <c r="M41" s="587" t="n"/>
      <c r="N41" s="587" t="n"/>
      <c r="O41" s="587" t="n"/>
    </row>
    <row r="42" collapsed="1" ht="13.5" customHeight="1">
      <c r="C42" s="13" t="inlineStr">
        <is>
          <t>Admin Expenses</t>
        </is>
      </c>
      <c r="E42" s="592">
        <f>+'Scenario 0'!E43</f>
        <v/>
      </c>
      <c r="F42" s="593">
        <f>+'Scenario 0'!F43</f>
        <v/>
      </c>
      <c r="G42" s="593">
        <f>+'Scenario 0'!G43</f>
        <v/>
      </c>
      <c r="H42" s="593">
        <f>+'Scenario 0'!H43</f>
        <v/>
      </c>
      <c r="I42" s="593">
        <f>+'Scenario 0'!I43</f>
        <v/>
      </c>
      <c r="J42" s="593">
        <f>+'Scenario 0'!J43</f>
        <v/>
      </c>
      <c r="K42" s="593">
        <f>+'Scenario 0'!K43</f>
        <v/>
      </c>
      <c r="L42" s="593">
        <f>+'Scenario 0'!L43</f>
        <v/>
      </c>
      <c r="M42" s="593">
        <f>+'Scenario 0'!M43</f>
        <v/>
      </c>
      <c r="N42" s="593">
        <f>+'Scenario 0'!N43</f>
        <v/>
      </c>
      <c r="O42" s="593">
        <f>+'Scenario 0'!O43</f>
        <v/>
      </c>
    </row>
    <row r="43" hidden="1" outlineLevel="1" ht="13.5" customHeight="1">
      <c r="E43" s="592" t="n"/>
      <c r="F43" s="593" t="n"/>
      <c r="G43" s="593" t="n"/>
      <c r="H43" s="593" t="n"/>
      <c r="I43" s="593" t="n"/>
      <c r="J43" s="593" t="n"/>
      <c r="K43" s="593" t="n"/>
      <c r="L43" s="593" t="n"/>
      <c r="M43" s="593" t="n"/>
      <c r="N43" s="593" t="n"/>
      <c r="O43" s="593" t="n"/>
    </row>
    <row r="44" hidden="1" outlineLevel="1" ht="13.5" customHeight="1">
      <c r="A44" s="132" t="inlineStr">
        <is>
          <t>ELEC</t>
        </is>
      </c>
      <c r="C44" s="206" t="n"/>
      <c r="D44" s="199" t="n"/>
      <c r="E44" s="248" t="n"/>
      <c r="F44" s="200" t="n"/>
      <c r="G44" s="587" t="n"/>
      <c r="H44" s="587" t="n"/>
      <c r="I44" s="587" t="n"/>
      <c r="J44" s="587" t="n"/>
      <c r="K44" s="587" t="n"/>
      <c r="L44" s="587" t="n"/>
      <c r="M44" s="587" t="n"/>
      <c r="N44" s="587" t="n"/>
      <c r="O44" s="587" t="n"/>
    </row>
    <row r="45" hidden="1" outlineLevel="1" ht="13.5" customHeight="1">
      <c r="A45" s="132" t="inlineStr">
        <is>
          <t>VAC</t>
        </is>
      </c>
      <c r="C45" s="207" t="n"/>
      <c r="D45" s="199" t="n"/>
      <c r="E45" s="606" t="n"/>
      <c r="F45" s="591" t="n"/>
      <c r="G45" s="587" t="n"/>
      <c r="H45" s="587" t="n"/>
      <c r="I45" s="587" t="n"/>
      <c r="J45" s="587" t="n"/>
      <c r="K45" s="587" t="n"/>
      <c r="L45" s="587" t="n"/>
      <c r="M45" s="587" t="n"/>
      <c r="N45" s="587" t="n"/>
      <c r="O45" s="587" t="n"/>
    </row>
    <row r="46" hidden="1" outlineLevel="1" ht="13.5" customHeight="1">
      <c r="A46" s="132" t="inlineStr">
        <is>
          <t>WS</t>
        </is>
      </c>
      <c r="C46" s="207" t="n"/>
      <c r="D46" s="199" t="n"/>
      <c r="E46" s="606" t="n"/>
      <c r="F46" s="591" t="n"/>
      <c r="G46" s="587" t="n"/>
      <c r="H46" s="587" t="n"/>
      <c r="I46" s="587" t="n"/>
      <c r="J46" s="587" t="n"/>
      <c r="K46" s="587" t="n"/>
      <c r="L46" s="587" t="n"/>
      <c r="M46" s="587" t="n"/>
      <c r="N46" s="587" t="n"/>
      <c r="O46" s="587" t="n"/>
    </row>
    <row r="47" hidden="1" outlineLevel="1" ht="13.5" customHeight="1">
      <c r="A47" s="132" t="inlineStr">
        <is>
          <t>GAS</t>
        </is>
      </c>
      <c r="C47" s="207" t="n"/>
      <c r="D47" s="199" t="n"/>
      <c r="E47" s="606" t="n"/>
      <c r="F47" s="591" t="n"/>
      <c r="G47" s="587" t="n"/>
      <c r="H47" s="587" t="n"/>
      <c r="I47" s="587" t="n"/>
      <c r="J47" s="587" t="n"/>
      <c r="K47" s="587" t="n"/>
      <c r="L47" s="587" t="n"/>
      <c r="M47" s="587" t="n"/>
      <c r="N47" s="587" t="n"/>
      <c r="O47" s="587" t="n"/>
    </row>
    <row r="48" hidden="1" outlineLevel="1" ht="13.5" customHeight="1">
      <c r="A48" s="132" t="inlineStr">
        <is>
          <t>CABLE</t>
        </is>
      </c>
      <c r="C48" s="207" t="n"/>
      <c r="D48" s="199" t="n"/>
      <c r="E48" s="606" t="n"/>
      <c r="F48" s="591" t="n"/>
      <c r="G48" s="587" t="n"/>
      <c r="H48" s="587" t="n"/>
      <c r="I48" s="587" t="n"/>
      <c r="J48" s="587" t="n"/>
      <c r="K48" s="587" t="n"/>
      <c r="L48" s="587" t="n"/>
      <c r="M48" s="587" t="n"/>
      <c r="N48" s="587" t="n"/>
      <c r="O48" s="587" t="n"/>
    </row>
    <row r="49" hidden="1" outlineLevel="1" ht="13.5" customHeight="1">
      <c r="A49" s="132" t="inlineStr">
        <is>
          <t>TRASH</t>
        </is>
      </c>
      <c r="C49" s="207" t="n"/>
      <c r="D49" s="199" t="n"/>
      <c r="E49" s="606" t="n"/>
      <c r="F49" s="591" t="n"/>
      <c r="G49" s="587" t="n"/>
      <c r="H49" s="587" t="n"/>
      <c r="I49" s="587" t="n"/>
      <c r="J49" s="587" t="n"/>
      <c r="K49" s="587" t="n"/>
      <c r="L49" s="587" t="n"/>
      <c r="M49" s="587" t="n"/>
      <c r="N49" s="587" t="n"/>
      <c r="O49" s="587" t="n"/>
    </row>
    <row r="50" collapsed="1" ht="13.5" customHeight="1">
      <c r="C50" s="13" t="inlineStr">
        <is>
          <t>Utility Expenses</t>
        </is>
      </c>
      <c r="E50" s="592">
        <f>+'Scenario 0'!E51</f>
        <v/>
      </c>
      <c r="F50" s="593">
        <f>+'Scenario 0'!F51</f>
        <v/>
      </c>
      <c r="G50" s="593">
        <f>+'Scenario 0'!G51</f>
        <v/>
      </c>
      <c r="H50" s="593">
        <f>+'Scenario 0'!H51</f>
        <v/>
      </c>
      <c r="I50" s="593">
        <f>+'Scenario 0'!I51</f>
        <v/>
      </c>
      <c r="J50" s="593">
        <f>+'Scenario 0'!J51</f>
        <v/>
      </c>
      <c r="K50" s="593">
        <f>+'Scenario 0'!K51</f>
        <v/>
      </c>
      <c r="L50" s="593">
        <f>+'Scenario 0'!L51</f>
        <v/>
      </c>
      <c r="M50" s="593">
        <f>+'Scenario 0'!M51</f>
        <v/>
      </c>
      <c r="N50" s="593">
        <f>+'Scenario 0'!N51</f>
        <v/>
      </c>
      <c r="O50" s="593">
        <f>+'Scenario 0'!O51</f>
        <v/>
      </c>
    </row>
    <row r="51" hidden="1" outlineLevel="1" ht="13.5" customHeight="1">
      <c r="E51" s="592" t="n"/>
      <c r="F51" s="593" t="n"/>
      <c r="G51" s="593" t="n"/>
      <c r="H51" s="593" t="n"/>
      <c r="I51" s="593" t="n"/>
      <c r="J51" s="593" t="n"/>
      <c r="K51" s="593" t="n"/>
      <c r="L51" s="593" t="n"/>
      <c r="M51" s="593" t="n"/>
      <c r="N51" s="593" t="n"/>
      <c r="O51" s="593" t="n"/>
    </row>
    <row r="52" hidden="1" outlineLevel="1" ht="13.5" customHeight="1">
      <c r="A52" s="132" t="inlineStr">
        <is>
          <t>RM</t>
        </is>
      </c>
      <c r="C52" s="206" t="n"/>
      <c r="D52" s="199" t="n"/>
      <c r="E52" s="248" t="n"/>
      <c r="F52" s="200" t="n"/>
      <c r="G52" s="587" t="n"/>
      <c r="H52" s="587" t="n"/>
      <c r="I52" s="587" t="n"/>
      <c r="J52" s="587" t="n"/>
      <c r="K52" s="587" t="n"/>
      <c r="L52" s="587" t="n"/>
      <c r="M52" s="587" t="n"/>
      <c r="N52" s="587" t="n"/>
      <c r="O52" s="587" t="n"/>
    </row>
    <row r="53" hidden="1" outlineLevel="1" ht="13.5" customHeight="1">
      <c r="A53" s="132" t="inlineStr">
        <is>
          <t>TURN</t>
        </is>
      </c>
      <c r="C53" s="207" t="n"/>
      <c r="D53" s="199" t="n"/>
      <c r="E53" s="606" t="n"/>
      <c r="F53" s="591" t="n"/>
      <c r="G53" s="587" t="n"/>
      <c r="H53" s="587" t="n"/>
      <c r="I53" s="587" t="n"/>
      <c r="J53" s="587" t="n"/>
      <c r="K53" s="587" t="n"/>
      <c r="L53" s="587" t="n"/>
      <c r="M53" s="587" t="n"/>
      <c r="N53" s="587" t="n"/>
      <c r="O53" s="587" t="n"/>
    </row>
    <row r="54" hidden="1" outlineLevel="1" ht="13.5" customHeight="1">
      <c r="A54" s="132" t="inlineStr">
        <is>
          <t>SUPP</t>
        </is>
      </c>
      <c r="C54" s="207" t="n"/>
      <c r="D54" s="199" t="n"/>
      <c r="E54" s="606" t="n"/>
      <c r="F54" s="591" t="n"/>
      <c r="G54" s="587" t="n"/>
      <c r="H54" s="587" t="n"/>
      <c r="I54" s="587" t="n"/>
      <c r="J54" s="587" t="n"/>
      <c r="K54" s="587" t="n"/>
      <c r="L54" s="587" t="n"/>
      <c r="M54" s="587" t="n"/>
      <c r="N54" s="587" t="n"/>
      <c r="O54" s="587" t="n"/>
    </row>
    <row r="55" hidden="1" outlineLevel="1" ht="13.5" customHeight="1">
      <c r="A55" s="132" t="inlineStr">
        <is>
          <t>APP</t>
        </is>
      </c>
      <c r="C55" s="207" t="n"/>
      <c r="D55" s="199" t="n"/>
      <c r="E55" s="606" t="n"/>
      <c r="F55" s="591" t="n"/>
      <c r="G55" s="587" t="n"/>
      <c r="H55" s="587" t="n"/>
      <c r="I55" s="587" t="n"/>
      <c r="J55" s="587" t="n"/>
      <c r="K55" s="587" t="n"/>
      <c r="L55" s="587" t="n"/>
      <c r="M55" s="587" t="n"/>
      <c r="N55" s="587" t="n"/>
      <c r="O55" s="587" t="n"/>
    </row>
    <row r="56" hidden="1" outlineLevel="1" ht="13.5" customHeight="1">
      <c r="A56" s="132" t="inlineStr">
        <is>
          <t>HP</t>
        </is>
      </c>
      <c r="C56" s="207" t="n"/>
      <c r="D56" s="199" t="n"/>
      <c r="E56" s="606" t="n"/>
      <c r="F56" s="591" t="n"/>
      <c r="G56" s="587" t="n"/>
      <c r="H56" s="587" t="n"/>
      <c r="I56" s="587" t="n"/>
      <c r="J56" s="587" t="n"/>
      <c r="K56" s="587" t="n"/>
      <c r="L56" s="587" t="n"/>
      <c r="M56" s="587" t="n"/>
      <c r="N56" s="587" t="n"/>
      <c r="O56" s="587" t="n"/>
    </row>
    <row r="57" hidden="1" outlineLevel="1" ht="13.5" customHeight="1">
      <c r="A57" s="13" t="inlineStr">
        <is>
          <t>CONC</t>
        </is>
      </c>
      <c r="C57" s="207" t="n"/>
      <c r="D57" s="199" t="n"/>
      <c r="E57" s="606" t="n"/>
      <c r="F57" s="591" t="n"/>
      <c r="G57" s="587" t="n"/>
      <c r="H57" s="587" t="n"/>
      <c r="I57" s="587" t="n"/>
      <c r="J57" s="587" t="n"/>
      <c r="K57" s="587" t="n"/>
      <c r="L57" s="587" t="n"/>
      <c r="M57" s="587" t="n"/>
      <c r="N57" s="587" t="n"/>
      <c r="O57" s="587" t="n"/>
    </row>
    <row r="58" collapsed="1" ht="13.5" customHeight="1">
      <c r="C58" s="13" t="inlineStr">
        <is>
          <t>Operating and Maint.</t>
        </is>
      </c>
      <c r="E58" s="592">
        <f>+'Scenario 0'!E59</f>
        <v/>
      </c>
      <c r="F58" s="593">
        <f>+'Scenario 0'!F59</f>
        <v/>
      </c>
      <c r="G58" s="593">
        <f>+'Scenario 0'!G59</f>
        <v/>
      </c>
      <c r="H58" s="593">
        <f>+'Scenario 0'!H59</f>
        <v/>
      </c>
      <c r="I58" s="593">
        <f>+'Scenario 0'!I59</f>
        <v/>
      </c>
      <c r="J58" s="593">
        <f>+'Scenario 0'!J59</f>
        <v/>
      </c>
      <c r="K58" s="593">
        <f>+'Scenario 0'!K59</f>
        <v/>
      </c>
      <c r="L58" s="593">
        <f>+'Scenario 0'!L59</f>
        <v/>
      </c>
      <c r="M58" s="593">
        <f>+'Scenario 0'!M59</f>
        <v/>
      </c>
      <c r="N58" s="593">
        <f>+'Scenario 0'!N59</f>
        <v/>
      </c>
      <c r="O58" s="593">
        <f>+'Scenario 0'!O59</f>
        <v/>
      </c>
    </row>
    <row r="59" hidden="1" outlineLevel="1" ht="13.5" customHeight="1">
      <c r="E59" s="592" t="n"/>
      <c r="F59" s="593" t="n"/>
      <c r="G59" s="593" t="n"/>
      <c r="H59" s="593" t="n"/>
      <c r="I59" s="593" t="n"/>
      <c r="J59" s="593" t="n"/>
      <c r="K59" s="593" t="n"/>
      <c r="L59" s="593" t="n"/>
      <c r="M59" s="593" t="n"/>
      <c r="N59" s="593" t="n"/>
      <c r="O59" s="593" t="n"/>
    </row>
    <row r="60" hidden="1" outlineLevel="1" ht="13.5" customHeight="1">
      <c r="A60" s="132" t="inlineStr">
        <is>
          <t>LAND</t>
        </is>
      </c>
      <c r="C60" s="206" t="n"/>
      <c r="D60" s="199" t="n"/>
      <c r="E60" s="248" t="n"/>
      <c r="F60" s="200" t="n"/>
      <c r="G60" s="200" t="n"/>
      <c r="H60" s="200" t="n"/>
      <c r="I60" s="200" t="n"/>
      <c r="J60" s="200" t="n"/>
      <c r="K60" s="200" t="n"/>
      <c r="L60" s="200" t="n"/>
      <c r="M60" s="200" t="n"/>
      <c r="N60" s="200" t="n"/>
      <c r="O60" s="200" t="n"/>
    </row>
    <row r="61" hidden="1" outlineLevel="1" ht="13.5" customHeight="1">
      <c r="A61" s="132" t="inlineStr">
        <is>
          <t>FIRE</t>
        </is>
      </c>
      <c r="C61" s="207" t="n"/>
      <c r="D61" s="199" t="n"/>
      <c r="E61" s="606" t="n"/>
      <c r="F61" s="591" t="n"/>
      <c r="G61" s="587" t="n"/>
      <c r="H61" s="587" t="n"/>
      <c r="I61" s="587" t="n"/>
      <c r="J61" s="587" t="n"/>
      <c r="K61" s="587" t="n"/>
      <c r="L61" s="587" t="n"/>
      <c r="M61" s="587" t="n"/>
      <c r="N61" s="587" t="n"/>
      <c r="O61" s="587" t="n"/>
    </row>
    <row r="62" hidden="1" outlineLevel="1" ht="13.5" customHeight="1">
      <c r="A62" s="132" t="inlineStr">
        <is>
          <t>SEC</t>
        </is>
      </c>
      <c r="C62" s="207" t="n"/>
      <c r="D62" s="199" t="n"/>
      <c r="E62" s="606" t="n"/>
      <c r="F62" s="591" t="n"/>
      <c r="G62" s="587" t="n"/>
      <c r="H62" s="587" t="n"/>
      <c r="I62" s="587" t="n"/>
      <c r="J62" s="587" t="n"/>
      <c r="K62" s="587" t="n"/>
      <c r="L62" s="587" t="n"/>
      <c r="M62" s="587" t="n"/>
      <c r="N62" s="587" t="n"/>
      <c r="O62" s="587" t="n"/>
    </row>
    <row r="63" hidden="1" outlineLevel="1" ht="13.5" customHeight="1">
      <c r="A63" s="132" t="inlineStr">
        <is>
          <t>PEST</t>
        </is>
      </c>
      <c r="C63" s="207" t="n"/>
      <c r="D63" s="199" t="n"/>
      <c r="E63" s="606" t="n"/>
      <c r="F63" s="591" t="n"/>
      <c r="G63" s="587" t="n"/>
      <c r="H63" s="587" t="n"/>
      <c r="I63" s="587" t="n"/>
      <c r="J63" s="587" t="n"/>
      <c r="K63" s="587" t="n"/>
      <c r="L63" s="587" t="n"/>
      <c r="M63" s="587" t="n"/>
      <c r="N63" s="587" t="n"/>
      <c r="O63" s="587" t="n"/>
    </row>
    <row r="64" hidden="1" outlineLevel="1" ht="13.5" customHeight="1">
      <c r="A64" s="132" t="inlineStr">
        <is>
          <t>CON</t>
        </is>
      </c>
      <c r="C64" s="207" t="n"/>
      <c r="D64" s="199" t="n"/>
      <c r="E64" s="606" t="n"/>
      <c r="F64" s="591" t="n"/>
      <c r="G64" s="587" t="n"/>
      <c r="H64" s="587" t="n"/>
      <c r="I64" s="587" t="n"/>
      <c r="J64" s="587" t="n"/>
      <c r="K64" s="587" t="n"/>
      <c r="L64" s="587" t="n"/>
      <c r="M64" s="587" t="n"/>
      <c r="N64" s="587" t="n"/>
      <c r="O64" s="587" t="n"/>
    </row>
    <row r="65" hidden="1" outlineLevel="1" ht="13.5" customHeight="1">
      <c r="A65" s="132" t="inlineStr">
        <is>
          <t>ELEV</t>
        </is>
      </c>
      <c r="C65" s="207" t="n"/>
      <c r="D65" s="199" t="n"/>
      <c r="E65" s="606" t="n"/>
      <c r="F65" s="591" t="n"/>
      <c r="G65" s="587" t="n"/>
      <c r="H65" s="587" t="n"/>
      <c r="I65" s="587" t="n"/>
      <c r="J65" s="587" t="n"/>
      <c r="K65" s="587" t="n"/>
      <c r="L65" s="587" t="n"/>
      <c r="M65" s="587" t="n"/>
      <c r="N65" s="587" t="n"/>
      <c r="O65" s="587" t="n"/>
    </row>
    <row r="66" hidden="1" outlineLevel="1" ht="13.5" customHeight="1">
      <c r="A66" s="132" t="inlineStr">
        <is>
          <t>SNOW</t>
        </is>
      </c>
      <c r="C66" s="207" t="n"/>
      <c r="D66" s="199" t="n"/>
      <c r="E66" s="606" t="n"/>
      <c r="F66" s="591" t="n"/>
      <c r="G66" s="587" t="n"/>
      <c r="H66" s="587" t="n"/>
      <c r="I66" s="587" t="n"/>
      <c r="J66" s="587" t="n"/>
      <c r="K66" s="587" t="n"/>
      <c r="L66" s="587" t="n"/>
      <c r="M66" s="587" t="n"/>
      <c r="N66" s="587" t="n"/>
      <c r="O66" s="587" t="n"/>
    </row>
    <row r="67" hidden="1" outlineLevel="1" ht="13.5" customHeight="1">
      <c r="A67" s="132" t="inlineStr">
        <is>
          <t>MISCOP</t>
        </is>
      </c>
      <c r="C67" s="207" t="n"/>
      <c r="D67" s="199" t="n"/>
      <c r="E67" s="606" t="n"/>
      <c r="F67" s="591" t="n"/>
      <c r="G67" s="587" t="n"/>
      <c r="H67" s="587" t="n"/>
      <c r="I67" s="587" t="n"/>
      <c r="J67" s="587" t="n"/>
      <c r="K67" s="587" t="n"/>
      <c r="L67" s="587" t="n"/>
      <c r="M67" s="587" t="n"/>
      <c r="N67" s="587" t="n"/>
      <c r="O67" s="587" t="n"/>
    </row>
    <row r="68" collapsed="1" ht="13.5" customHeight="1">
      <c r="C68" s="13" t="inlineStr">
        <is>
          <t>Contract Expenses</t>
        </is>
      </c>
      <c r="E68" s="592">
        <f>+'Scenario 0'!E69</f>
        <v/>
      </c>
      <c r="F68" s="593">
        <f>+'Scenario 0'!F69</f>
        <v/>
      </c>
      <c r="G68" s="593">
        <f>+'Scenario 0'!G69</f>
        <v/>
      </c>
      <c r="H68" s="593">
        <f>+'Scenario 0'!H69</f>
        <v/>
      </c>
      <c r="I68" s="593">
        <f>+'Scenario 0'!I69</f>
        <v/>
      </c>
      <c r="J68" s="593">
        <f>+'Scenario 0'!J69</f>
        <v/>
      </c>
      <c r="K68" s="593">
        <f>+'Scenario 0'!K69</f>
        <v/>
      </c>
      <c r="L68" s="593">
        <f>+'Scenario 0'!L69</f>
        <v/>
      </c>
      <c r="M68" s="593">
        <f>+'Scenario 0'!M69</f>
        <v/>
      </c>
      <c r="N68" s="593">
        <f>+'Scenario 0'!N69</f>
        <v/>
      </c>
      <c r="O68" s="593">
        <f>+'Scenario 0'!O69</f>
        <v/>
      </c>
    </row>
    <row r="69" hidden="1" outlineLevel="1" ht="13.5" customHeight="1">
      <c r="E69" s="592" t="n"/>
      <c r="F69" s="593" t="n"/>
      <c r="G69" s="593" t="n"/>
      <c r="H69" s="593" t="n"/>
      <c r="I69" s="593" t="n"/>
      <c r="J69" s="593" t="n"/>
      <c r="K69" s="593" t="n"/>
      <c r="L69" s="593" t="n"/>
      <c r="M69" s="593" t="n"/>
      <c r="N69" s="593" t="n"/>
      <c r="O69" s="593" t="n"/>
    </row>
    <row r="70" hidden="1" outlineLevel="1" ht="13.5" customHeight="1">
      <c r="A70" s="132" t="inlineStr">
        <is>
          <t>RETAX</t>
        </is>
      </c>
      <c r="C70" s="207" t="n"/>
      <c r="D70" s="199" t="n"/>
      <c r="E70" s="248" t="n"/>
      <c r="F70" s="200" t="n"/>
      <c r="G70" s="200" t="n"/>
      <c r="H70" s="200" t="n"/>
      <c r="I70" s="200" t="n"/>
      <c r="J70" s="200" t="n"/>
      <c r="K70" s="200" t="n"/>
      <c r="L70" s="200" t="n"/>
      <c r="M70" s="200" t="n"/>
      <c r="N70" s="200" t="n"/>
      <c r="O70" s="200" t="n"/>
    </row>
    <row r="71" hidden="1" outlineLevel="1" ht="13.5" customHeight="1">
      <c r="A71" s="132" t="inlineStr">
        <is>
          <t>INS</t>
        </is>
      </c>
      <c r="C71" s="207" t="n"/>
      <c r="D71" s="199" t="n"/>
      <c r="E71" s="606" t="n"/>
      <c r="F71" s="591" t="n"/>
      <c r="G71" s="587" t="n"/>
      <c r="H71" s="587" t="n"/>
      <c r="I71" s="587" t="n"/>
      <c r="J71" s="587" t="n"/>
      <c r="K71" s="587" t="n"/>
      <c r="L71" s="587" t="n"/>
      <c r="M71" s="587" t="n"/>
      <c r="N71" s="587" t="n"/>
      <c r="O71" s="587" t="n"/>
    </row>
    <row r="72" hidden="1" outlineLevel="1" ht="13.5" customHeight="1">
      <c r="A72" s="132" t="inlineStr">
        <is>
          <t>WORKCOMP</t>
        </is>
      </c>
      <c r="C72" s="207" t="n"/>
      <c r="D72" s="199" t="n"/>
      <c r="E72" s="606" t="n"/>
      <c r="F72" s="591" t="n"/>
      <c r="G72" s="587" t="n"/>
      <c r="H72" s="587" t="n"/>
      <c r="I72" s="587" t="n"/>
      <c r="J72" s="587" t="n"/>
      <c r="K72" s="587" t="n"/>
      <c r="L72" s="587" t="n"/>
      <c r="M72" s="587" t="n"/>
      <c r="N72" s="587" t="n"/>
      <c r="O72" s="587" t="n"/>
    </row>
    <row r="73" hidden="1" outlineLevel="1" ht="13.5" customHeight="1">
      <c r="A73" s="132" t="inlineStr">
        <is>
          <t>HEALTH</t>
        </is>
      </c>
      <c r="C73" s="207" t="n"/>
      <c r="D73" s="199" t="n"/>
      <c r="E73" s="606" t="n"/>
      <c r="F73" s="591" t="n"/>
      <c r="G73" s="587" t="n"/>
      <c r="H73" s="587" t="n"/>
      <c r="I73" s="587" t="n"/>
      <c r="J73" s="587" t="n"/>
      <c r="K73" s="587" t="n"/>
      <c r="L73" s="587" t="n"/>
      <c r="M73" s="587" t="n"/>
      <c r="N73" s="587" t="n"/>
      <c r="O73" s="587" t="n"/>
    </row>
    <row r="74" hidden="1" outlineLevel="1" ht="13.5" customHeight="1">
      <c r="A74" s="132" t="inlineStr">
        <is>
          <t>PTAX</t>
        </is>
      </c>
      <c r="C74" s="207" t="n"/>
      <c r="D74" s="199" t="n"/>
      <c r="E74" s="606" t="n"/>
      <c r="F74" s="591" t="n"/>
      <c r="G74" s="587" t="n"/>
      <c r="H74" s="587" t="n"/>
      <c r="I74" s="587" t="n"/>
      <c r="J74" s="587" t="n"/>
      <c r="K74" s="587" t="n"/>
      <c r="L74" s="587" t="n"/>
      <c r="M74" s="587" t="n"/>
      <c r="N74" s="587" t="n"/>
      <c r="O74" s="587" t="n"/>
    </row>
    <row r="75" hidden="1" outlineLevel="1" ht="13.5" customHeight="1">
      <c r="A75" s="132" t="inlineStr">
        <is>
          <t>MISCTAX</t>
        </is>
      </c>
      <c r="C75" s="207" t="n"/>
      <c r="D75" s="199" t="n"/>
      <c r="E75" s="606" t="n"/>
      <c r="F75" s="591" t="n"/>
      <c r="G75" s="587" t="n"/>
      <c r="H75" s="587" t="n"/>
      <c r="I75" s="587" t="n"/>
      <c r="J75" s="587" t="n"/>
      <c r="K75" s="587" t="n"/>
      <c r="L75" s="587" t="n"/>
      <c r="M75" s="587" t="n"/>
      <c r="N75" s="587" t="n"/>
      <c r="O75" s="587" t="n"/>
    </row>
    <row r="76" collapsed="1" ht="13.5" customHeight="1">
      <c r="C76" s="13" t="inlineStr">
        <is>
          <t>Total Taxes and Insurance Expenses</t>
        </is>
      </c>
      <c r="E76" s="592">
        <f>+'Scenario 0'!E77</f>
        <v/>
      </c>
      <c r="F76" s="593">
        <f>+'Scenario 0'!F77</f>
        <v/>
      </c>
      <c r="G76" s="593">
        <f>+'Scenario 0'!G77</f>
        <v/>
      </c>
      <c r="H76" s="593">
        <f>+'Scenario 0'!H77</f>
        <v/>
      </c>
      <c r="I76" s="593">
        <f>+'Scenario 0'!I77</f>
        <v/>
      </c>
      <c r="J76" s="593">
        <f>+'Scenario 0'!J77</f>
        <v/>
      </c>
      <c r="K76" s="593">
        <f>+'Scenario 0'!K77</f>
        <v/>
      </c>
      <c r="L76" s="593">
        <f>+'Scenario 0'!L77</f>
        <v/>
      </c>
      <c r="M76" s="593">
        <f>+'Scenario 0'!M77</f>
        <v/>
      </c>
      <c r="N76" s="593">
        <f>+'Scenario 0'!N77</f>
        <v/>
      </c>
      <c r="O76" s="593">
        <f>+'Scenario 0'!O77</f>
        <v/>
      </c>
    </row>
    <row r="77" ht="5.1" customHeight="1">
      <c r="E77" s="589" t="n"/>
      <c r="F77" s="590" t="n"/>
      <c r="G77" s="590" t="n"/>
      <c r="H77" s="590" t="n"/>
      <c r="I77" s="590" t="n"/>
      <c r="J77" s="590" t="n"/>
      <c r="K77" s="590" t="n"/>
      <c r="L77" s="590" t="n"/>
      <c r="M77" s="590" t="n"/>
      <c r="N77" s="590" t="n"/>
      <c r="O77" s="590" t="n"/>
    </row>
    <row r="78" ht="13.5" customHeight="1">
      <c r="C78" s="33" t="inlineStr">
        <is>
          <t>Total Operating Expenses</t>
        </is>
      </c>
      <c r="D78" s="34" t="n"/>
      <c r="E78" s="224">
        <f>+SUM(E18,E22,E28,E42,E50,E58,E68,E76,)</f>
        <v/>
      </c>
      <c r="F78" s="34">
        <f>+SUM(F18,F22,F28,F42,F50,F58,F68,F76,)</f>
        <v/>
      </c>
      <c r="G78" s="34">
        <f>+SUM(G18,G22,G28,G42,G50,G58,G68,G76,)</f>
        <v/>
      </c>
      <c r="H78" s="34">
        <f>+SUM(H18,H22,H28,H42,H50,H58,H68,H76,)</f>
        <v/>
      </c>
      <c r="I78" s="34">
        <f>+SUM(I18,I22,I28,I42,I50,I58,I68,I76,)</f>
        <v/>
      </c>
      <c r="J78" s="34">
        <f>+SUM(J18,J22,J28,J42,J50,J58,J68,J76,)</f>
        <v/>
      </c>
      <c r="K78" s="34">
        <f>+SUM(K18,K22,K28,K42,K50,K58,K68,K76,)</f>
        <v/>
      </c>
      <c r="L78" s="34">
        <f>+SUM(L18,L22,L28,L42,L50,L58,L68,L76,)</f>
        <v/>
      </c>
      <c r="M78" s="34">
        <f>+SUM(M18,M22,M28,M42,M50,M58,M68,M76,)</f>
        <v/>
      </c>
      <c r="N78" s="34">
        <f>+SUM(N18,N22,N28,N42,N50,N58,N68,N76,)</f>
        <v/>
      </c>
      <c r="O78" s="34">
        <f>+SUM(O18,O22,O28,O42,O50,O58,O68,O76,)</f>
        <v/>
      </c>
    </row>
    <row r="79" ht="5.1" customHeight="1">
      <c r="E79" s="232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</row>
    <row r="80" ht="13.5" customHeight="1">
      <c r="C80" s="33" t="inlineStr">
        <is>
          <t xml:space="preserve">Net Operating Income </t>
        </is>
      </c>
      <c r="D80" s="34" t="n"/>
      <c r="E80" s="224">
        <f>+E12-E78</f>
        <v/>
      </c>
      <c r="F80" s="34">
        <f>+F12-F78</f>
        <v/>
      </c>
      <c r="G80" s="34">
        <f>+G12-G78</f>
        <v/>
      </c>
      <c r="H80" s="34">
        <f>+H12-H78</f>
        <v/>
      </c>
      <c r="I80" s="34">
        <f>+I12-I78</f>
        <v/>
      </c>
      <c r="J80" s="34">
        <f>+J12-J78</f>
        <v/>
      </c>
      <c r="K80" s="34">
        <f>+K12-K78</f>
        <v/>
      </c>
      <c r="L80" s="34">
        <f>+L12-L78</f>
        <v/>
      </c>
      <c r="M80" s="34">
        <f>+M12-M78</f>
        <v/>
      </c>
      <c r="N80" s="34">
        <f>+N12-N78</f>
        <v/>
      </c>
      <c r="O80" s="34">
        <f>+O12-O78</f>
        <v/>
      </c>
    </row>
    <row r="81" ht="13.5" customHeight="1">
      <c r="C81" s="104" t="inlineStr">
        <is>
          <t>NOI Margin</t>
        </is>
      </c>
      <c r="D81" s="66" t="n"/>
      <c r="E81" s="233">
        <f>+IFERROR(E80/E12,"--")</f>
        <v/>
      </c>
      <c r="F81" s="105">
        <f>+F80/F12</f>
        <v/>
      </c>
      <c r="G81" s="105">
        <f>+G80/G12</f>
        <v/>
      </c>
      <c r="H81" s="105">
        <f>+H80/H12</f>
        <v/>
      </c>
      <c r="I81" s="105">
        <f>+I80/I12</f>
        <v/>
      </c>
      <c r="J81" s="105">
        <f>+J80/J12</f>
        <v/>
      </c>
      <c r="K81" s="105">
        <f>+K80/K12</f>
        <v/>
      </c>
      <c r="L81" s="105">
        <f>+L80/L12</f>
        <v/>
      </c>
      <c r="M81" s="105">
        <f>+M80/M12</f>
        <v/>
      </c>
      <c r="N81" s="105">
        <f>+N80/N12</f>
        <v/>
      </c>
      <c r="O81" s="105">
        <f>+O80/O12</f>
        <v/>
      </c>
    </row>
    <row r="82" ht="5.1" customHeight="1">
      <c r="C82" s="28" t="n"/>
      <c r="D82" s="66" t="n"/>
      <c r="E82" s="225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</row>
    <row r="83" hidden="1" outlineLevel="1" ht="13.5" customHeight="1">
      <c r="C83" s="28" t="inlineStr">
        <is>
          <t>Capital Expenditures</t>
        </is>
      </c>
      <c r="D83" s="66" t="n"/>
      <c r="E83" s="225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</row>
    <row r="84" hidden="1" outlineLevel="1" ht="13.5" customHeight="1">
      <c r="C84" s="13" t="inlineStr">
        <is>
          <t>Other CapEx</t>
        </is>
      </c>
      <c r="E84" s="594" t="n"/>
      <c r="F84" s="595" t="n"/>
      <c r="G84" s="595" t="n"/>
      <c r="H84" s="595" t="n"/>
      <c r="I84" s="595" t="n"/>
      <c r="J84" s="595" t="n"/>
      <c r="K84" s="595" t="n"/>
      <c r="L84" s="595" t="n"/>
      <c r="M84" s="595" t="n"/>
      <c r="N84" s="595" t="n"/>
      <c r="O84" s="595" t="n"/>
    </row>
    <row r="85" hidden="1" outlineLevel="1" ht="13.5" customHeight="1">
      <c r="C85" s="13" t="inlineStr">
        <is>
          <t>Capital Reserve</t>
        </is>
      </c>
      <c r="E85" s="594" t="n"/>
      <c r="F85" s="595" t="n"/>
      <c r="G85" s="595" t="n"/>
      <c r="H85" s="595" t="n"/>
      <c r="I85" s="595" t="n"/>
      <c r="J85" s="595" t="n"/>
      <c r="K85" s="595" t="n"/>
      <c r="L85" s="595" t="n"/>
      <c r="M85" s="595" t="n"/>
      <c r="N85" s="595" t="n"/>
      <c r="O85" s="595" t="n"/>
    </row>
    <row r="86" hidden="1" outlineLevel="1" ht="13.5" customHeight="1">
      <c r="C86" s="33" t="inlineStr">
        <is>
          <t>Total Capital Expenditures</t>
        </is>
      </c>
      <c r="D86" s="34" t="n"/>
      <c r="E86" s="224">
        <f>+SUM(E84:E85)</f>
        <v/>
      </c>
      <c r="F86" s="34">
        <f>+SUM(F84:F85)</f>
        <v/>
      </c>
      <c r="G86" s="34">
        <f>+SUM(G84:G85)</f>
        <v/>
      </c>
      <c r="H86" s="34">
        <f>+SUM(H84:H85)</f>
        <v/>
      </c>
      <c r="I86" s="34">
        <f>+SUM(I84:I85)</f>
        <v/>
      </c>
      <c r="J86" s="34">
        <f>+SUM(J84:J85)</f>
        <v/>
      </c>
      <c r="K86" s="34">
        <f>+SUM(K84:K85)</f>
        <v/>
      </c>
      <c r="L86" s="34">
        <f>+SUM(L84:L85)</f>
        <v/>
      </c>
      <c r="M86" s="34">
        <f>+SUM(M84:M85)</f>
        <v/>
      </c>
      <c r="N86" s="34">
        <f>+SUM(N84:N85)</f>
        <v/>
      </c>
      <c r="O86" s="34">
        <f>+SUM(O84:O85)</f>
        <v/>
      </c>
    </row>
    <row r="87" collapsed="1" ht="5.1" customHeight="1">
      <c r="C87" s="28" t="n"/>
      <c r="D87" s="66" t="n"/>
      <c r="E87" s="225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</row>
    <row r="88" ht="13.5" customHeight="1" thickBot="1">
      <c r="C88" s="89" t="inlineStr">
        <is>
          <t>Cash Flow from Operations (Adj. NOI)</t>
        </is>
      </c>
      <c r="D88" s="89" t="n"/>
      <c r="E88" s="235">
        <f>+E80-E86</f>
        <v/>
      </c>
      <c r="F88" s="90">
        <f>+F80-F86</f>
        <v/>
      </c>
      <c r="G88" s="90">
        <f>+G80-G86</f>
        <v/>
      </c>
      <c r="H88" s="90">
        <f>+H80-H86</f>
        <v/>
      </c>
      <c r="I88" s="90">
        <f>+I80-I86</f>
        <v/>
      </c>
      <c r="J88" s="90">
        <f>+J80-J86</f>
        <v/>
      </c>
      <c r="K88" s="90">
        <f>+K80-K86</f>
        <v/>
      </c>
      <c r="L88" s="90">
        <f>+L80-L86</f>
        <v/>
      </c>
      <c r="M88" s="90">
        <f>+M80-M86</f>
        <v/>
      </c>
      <c r="N88" s="90">
        <f>+N80-N86</f>
        <v/>
      </c>
      <c r="O88" s="90">
        <f>+O80-O86</f>
        <v/>
      </c>
    </row>
    <row r="89" ht="5.1" customHeight="1" thickTop="1">
      <c r="C89" s="28" t="n"/>
      <c r="D89" s="28" t="n"/>
      <c r="E89" s="236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9" t="n"/>
      <c r="O89" s="99" t="n"/>
    </row>
    <row r="90" ht="13.5" customHeight="1">
      <c r="C90" s="13" t="inlineStr">
        <is>
          <t>Debt Service</t>
        </is>
      </c>
      <c r="D90" s="28" t="n"/>
      <c r="E90" s="237" t="inlineStr">
        <is>
          <t>--</t>
        </is>
      </c>
      <c r="F90" s="103">
        <f>+Dashboard!$I$10*Dashboard!$E$50</f>
        <v/>
      </c>
      <c r="G90" s="112">
        <f>+F90</f>
        <v/>
      </c>
      <c r="H90" s="112">
        <f>+G90</f>
        <v/>
      </c>
      <c r="I90" s="112">
        <f>+H90</f>
        <v/>
      </c>
      <c r="J90" s="112">
        <f>+I90</f>
        <v/>
      </c>
      <c r="K90" s="112">
        <f>+J90</f>
        <v/>
      </c>
      <c r="L90" s="112">
        <f>+K90</f>
        <v/>
      </c>
      <c r="M90" s="112">
        <f>+L90</f>
        <v/>
      </c>
      <c r="N90" s="112">
        <f>+M90</f>
        <v/>
      </c>
      <c r="O90" s="112">
        <f>+N90</f>
        <v/>
      </c>
    </row>
    <row r="91" ht="13.5" customHeight="1">
      <c r="C91" s="13" t="inlineStr">
        <is>
          <t>Principal Repayment</t>
        </is>
      </c>
      <c r="D91" s="28" t="n"/>
      <c r="E91" s="238" t="inlineStr">
        <is>
          <t>--</t>
        </is>
      </c>
      <c r="F91" s="103">
        <f>IF(F$6&lt;=Dashboard!$E$56,0,-PPMT(Dashboard!$E$50,'Scenario 4'!F3-'Scenario 4'!$E3,Dashboard!$E$55,Dashboard!$D$49))</f>
        <v/>
      </c>
      <c r="G91" s="112">
        <f>IF(G$6&lt;=Dashboard!$E$56,0,-PPMT(Dashboard!$E$50,'Scenario 4'!G3-'Scenario 4'!$E3,Dashboard!$E$55,Dashboard!$D$49))</f>
        <v/>
      </c>
      <c r="H91" s="112">
        <f>IF(H$6&lt;=Dashboard!$E$56,0,-PPMT(Dashboard!$E$50,'Scenario 4'!H3-'Scenario 4'!$E3,Dashboard!$E$55,Dashboard!$D$49))</f>
        <v/>
      </c>
      <c r="I91" s="112">
        <f>IF(I$6&lt;=Dashboard!$E$56,0,-PPMT(Dashboard!$E$50,'Scenario 4'!I3-'Scenario 4'!$E3,Dashboard!$E$55,Dashboard!$D$49))</f>
        <v/>
      </c>
      <c r="J91" s="112">
        <f>IF(J$6&lt;=Dashboard!$E$56,0,-PPMT(Dashboard!$E$50,'Scenario 4'!J3-'Scenario 4'!$E3,Dashboard!$E$55,Dashboard!$D$49))</f>
        <v/>
      </c>
      <c r="K91" s="112">
        <f>IF(K$6&lt;=Dashboard!$E$56,0,-PPMT(Dashboard!$E$50,'Scenario 4'!K3-'Scenario 4'!$E3,Dashboard!$E$55,Dashboard!$D$49))</f>
        <v/>
      </c>
      <c r="L91" s="112">
        <f>IF(L$6&lt;=Dashboard!$E$56,0,-PPMT(Dashboard!$E$50,'Scenario 4'!L3-'Scenario 4'!$E3,Dashboard!$E$55,Dashboard!$D$49))</f>
        <v/>
      </c>
      <c r="M91" s="112">
        <f>IF(M$6&lt;=Dashboard!$E$56,0,-PPMT(Dashboard!$E$50,'Scenario 4'!M3-'Scenario 4'!$E3,Dashboard!$E$55,Dashboard!$D$49))</f>
        <v/>
      </c>
      <c r="N91" s="112">
        <f>IF(N$6&lt;=Dashboard!$E$56,0,-PPMT(Dashboard!$E$50,'Scenario 4'!N3-'Scenario 4'!$E3,Dashboard!$E$55,Dashboard!$D$49))</f>
        <v/>
      </c>
      <c r="O91" s="112">
        <f>IF(O$6&lt;=Dashboard!$E$56,0,-PPMT(Dashboard!$E$50,'Scenario 4'!O3-'Scenario 4'!$E3,Dashboard!$E$55,Dashboard!$D$49))</f>
        <v/>
      </c>
    </row>
    <row r="92" ht="13.5" customHeight="1" thickBot="1">
      <c r="C92" s="89" t="inlineStr">
        <is>
          <t>Cash Flow After Financing (CF to Equity Investors)</t>
        </is>
      </c>
      <c r="D92" s="89" t="n"/>
      <c r="E92" s="239" t="inlineStr">
        <is>
          <t>--</t>
        </is>
      </c>
      <c r="F92" s="90">
        <f>+F88-F90</f>
        <v/>
      </c>
      <c r="G92" s="90">
        <f>+G88-G90</f>
        <v/>
      </c>
      <c r="H92" s="90">
        <f>+H88-H90</f>
        <v/>
      </c>
      <c r="I92" s="90">
        <f>+I88-I90</f>
        <v/>
      </c>
      <c r="J92" s="90">
        <f>+J88-J90</f>
        <v/>
      </c>
      <c r="K92" s="90">
        <f>+K88-K90</f>
        <v/>
      </c>
      <c r="L92" s="90">
        <f>+L88-L90</f>
        <v/>
      </c>
      <c r="M92" s="90">
        <f>+M88-M90</f>
        <v/>
      </c>
      <c r="N92" s="90">
        <f>+N88-N90</f>
        <v/>
      </c>
      <c r="O92" s="90">
        <f>+O88-O90</f>
        <v/>
      </c>
    </row>
    <row r="93" ht="13.5" customHeight="1" thickTop="1">
      <c r="D93" s="28" t="n"/>
      <c r="E93" s="28" t="n"/>
      <c r="F93" s="100" t="n"/>
      <c r="G93" s="100" t="n"/>
      <c r="H93" s="100" t="n"/>
      <c r="I93" s="100" t="n"/>
      <c r="J93" s="100" t="n"/>
      <c r="K93" s="100" t="n"/>
      <c r="L93" s="100" t="n"/>
      <c r="M93" s="100" t="n"/>
      <c r="N93" s="100" t="n"/>
      <c r="O93" s="100" t="n"/>
    </row>
    <row r="94" ht="13.5" customHeight="1" thickBot="1">
      <c r="C94" s="89" t="inlineStr">
        <is>
          <t>Ending Debt Balance</t>
        </is>
      </c>
      <c r="D94" s="89" t="n"/>
      <c r="E94" s="89" t="n"/>
      <c r="F94" s="90">
        <f>+Dashboard!$D$49-SUM('Scenario 4'!$F$91:F91)</f>
        <v/>
      </c>
      <c r="G94" s="90">
        <f>+Dashboard!$D$49-SUM('Scenario 4'!$F$91:G91)</f>
        <v/>
      </c>
      <c r="H94" s="90">
        <f>+Dashboard!$D$49-SUM('Scenario 4'!$F$91:H91)</f>
        <v/>
      </c>
      <c r="I94" s="90">
        <f>+Dashboard!$D$49-SUM('Scenario 4'!$F$91:I91)</f>
        <v/>
      </c>
      <c r="J94" s="90">
        <f>+Dashboard!$D$49-SUM('Scenario 4'!$F$91:J91)</f>
        <v/>
      </c>
      <c r="K94" s="90">
        <f>+Dashboard!$D$49-SUM('Scenario 4'!$F$91:K91)</f>
        <v/>
      </c>
      <c r="L94" s="90">
        <f>+Dashboard!$D$49-SUM('Scenario 4'!$F$91:L91)</f>
        <v/>
      </c>
      <c r="M94" s="90">
        <f>+Dashboard!$D$49-SUM('Scenario 4'!$F$91:M91)</f>
        <v/>
      </c>
      <c r="N94" s="90">
        <f>+Dashboard!$D$49-SUM('Scenario 4'!$F$91:N91)</f>
        <v/>
      </c>
      <c r="O94" s="90">
        <f>+Dashboard!$D$49-SUM('Scenario 4'!$F$91:O91)</f>
        <v/>
      </c>
    </row>
    <row r="95" ht="13.5" customHeight="1" thickTop="1">
      <c r="D95" s="28" t="n"/>
      <c r="E95" s="28" t="n"/>
      <c r="F95" s="100" t="n"/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</row>
    <row r="96" ht="13.5" customHeight="1">
      <c r="C96" s="67" t="inlineStr">
        <is>
          <t>DSCR (NOI)</t>
        </is>
      </c>
      <c r="D96" s="68" t="n"/>
      <c r="E96" s="68" t="n"/>
      <c r="F96" s="596">
        <f>+IFERROR(F80/F90,"")</f>
        <v/>
      </c>
      <c r="G96" s="596">
        <f>+IFERROR(G80/G90,"")</f>
        <v/>
      </c>
      <c r="H96" s="596">
        <f>+IFERROR(H80/H90,"")</f>
        <v/>
      </c>
      <c r="I96" s="596">
        <f>+IFERROR(I80/I90,"")</f>
        <v/>
      </c>
      <c r="J96" s="597">
        <f>+IFERROR(J80/J90,"")</f>
        <v/>
      </c>
      <c r="K96" s="596">
        <f>+IFERROR(K80/K90,"")</f>
        <v/>
      </c>
      <c r="L96" s="596">
        <f>+IFERROR(L80/L90,"")</f>
        <v/>
      </c>
      <c r="M96" s="596">
        <f>+IFERROR(M80/M90,"")</f>
        <v/>
      </c>
      <c r="N96" s="596">
        <f>+IFERROR(N80/N90,"")</f>
        <v/>
      </c>
      <c r="O96" s="597">
        <f>+IFERROR(O80/O90,"")</f>
        <v/>
      </c>
    </row>
    <row r="97" ht="13.5" customHeight="1">
      <c r="C97" s="69" t="inlineStr">
        <is>
          <t>DSCR (CFO)</t>
        </is>
      </c>
      <c r="D97" s="70" t="n"/>
      <c r="E97" s="70" t="n"/>
      <c r="F97" s="598">
        <f>+IFERROR(F88/F90,"")</f>
        <v/>
      </c>
      <c r="G97" s="598">
        <f>+IFERROR(G88/G90,"")</f>
        <v/>
      </c>
      <c r="H97" s="598">
        <f>+IFERROR(H88/H90,"")</f>
        <v/>
      </c>
      <c r="I97" s="598">
        <f>+IFERROR(I88/I90,"")</f>
        <v/>
      </c>
      <c r="J97" s="599">
        <f>+IFERROR(J88/J90,"")</f>
        <v/>
      </c>
      <c r="K97" s="598">
        <f>+IFERROR(K88/K90,"")</f>
        <v/>
      </c>
      <c r="L97" s="598">
        <f>+IFERROR(L88/L90,"")</f>
        <v/>
      </c>
      <c r="M97" s="598">
        <f>+IFERROR(M88/M90,"")</f>
        <v/>
      </c>
      <c r="N97" s="598">
        <f>+IFERROR(N88/N90,"")</f>
        <v/>
      </c>
      <c r="O97" s="599">
        <f>+IFERROR(O88/O90,"")</f>
        <v/>
      </c>
    </row>
    <row r="98" ht="13.5" customHeight="1">
      <c r="C98" s="69" t="inlineStr">
        <is>
          <t>Debt Yield (CFO)</t>
        </is>
      </c>
      <c r="D98" s="70" t="n"/>
      <c r="E98" s="70" t="n"/>
      <c r="F98" s="71">
        <f>+F88/Dashboard!$I$10</f>
        <v/>
      </c>
      <c r="G98" s="71">
        <f>+G88/Dashboard!$I$10</f>
        <v/>
      </c>
      <c r="H98" s="71">
        <f>+H88/Dashboard!$I$10</f>
        <v/>
      </c>
      <c r="I98" s="71">
        <f>+I88/Dashboard!$I$10</f>
        <v/>
      </c>
      <c r="J98" s="72">
        <f>+J88/Dashboard!$I$10</f>
        <v/>
      </c>
      <c r="K98" s="71">
        <f>+K88/Dashboard!$I$10</f>
        <v/>
      </c>
      <c r="L98" s="71">
        <f>+L88/Dashboard!$I$10</f>
        <v/>
      </c>
      <c r="M98" s="71">
        <f>+M88/Dashboard!$I$10</f>
        <v/>
      </c>
      <c r="N98" s="71">
        <f>+N88/Dashboard!$I$10</f>
        <v/>
      </c>
      <c r="O98" s="72">
        <f>+O88/Dashboard!$I$10</f>
        <v/>
      </c>
    </row>
    <row r="99" ht="13.5" customHeight="1">
      <c r="C99" s="69" t="inlineStr">
        <is>
          <t xml:space="preserve">Break-Even Ratio </t>
        </is>
      </c>
      <c r="D99" s="70" t="n"/>
      <c r="E99" s="70" t="n"/>
      <c r="F99" s="71">
        <f>+SUM(F96,F78)/F12</f>
        <v/>
      </c>
      <c r="G99" s="71">
        <f>+SUM(G96,G78)/G12</f>
        <v/>
      </c>
      <c r="H99" s="71">
        <f>+SUM(H96,H78)/H12</f>
        <v/>
      </c>
      <c r="I99" s="71">
        <f>+SUM(I96,I78)/I12</f>
        <v/>
      </c>
      <c r="J99" s="72">
        <f>+SUM(J96,J78)/J12</f>
        <v/>
      </c>
      <c r="K99" s="71">
        <f>+SUM(K96,K78)/K12</f>
        <v/>
      </c>
      <c r="L99" s="71">
        <f>+SUM(L96,L78)/L12</f>
        <v/>
      </c>
      <c r="M99" s="71">
        <f>+SUM(M96,M78)/M12</f>
        <v/>
      </c>
      <c r="N99" s="71">
        <f>+SUM(N96,N78)/N12</f>
        <v/>
      </c>
      <c r="O99" s="72">
        <f>+SUM(O96,O78)/O12</f>
        <v/>
      </c>
    </row>
    <row r="100" ht="5.1" customHeight="1">
      <c r="C100" s="69" t="n"/>
      <c r="D100" s="70" t="n"/>
      <c r="E100" s="70" t="n"/>
      <c r="F100" s="70" t="n"/>
      <c r="G100" s="70" t="n"/>
      <c r="H100" s="70" t="n"/>
      <c r="I100" s="70" t="n"/>
      <c r="J100" s="73" t="n"/>
      <c r="K100" s="70" t="n"/>
      <c r="L100" s="70" t="n"/>
      <c r="M100" s="70" t="n"/>
      <c r="N100" s="70" t="n"/>
      <c r="O100" s="73" t="n"/>
    </row>
    <row r="101" ht="13.5" customHeight="1">
      <c r="C101" s="77" t="inlineStr">
        <is>
          <t>Cap Rate (Purchase Price)</t>
        </is>
      </c>
      <c r="D101" s="78" t="n"/>
      <c r="E101" s="78" t="n"/>
      <c r="F101" s="79">
        <f>+F80/Dashboard!$E$32</f>
        <v/>
      </c>
      <c r="G101" s="79">
        <f>+G80/Dashboard!$E$32</f>
        <v/>
      </c>
      <c r="H101" s="79">
        <f>+H80/Dashboard!$E$32</f>
        <v/>
      </c>
      <c r="I101" s="79">
        <f>+I80/Dashboard!$E$32</f>
        <v/>
      </c>
      <c r="J101" s="80">
        <f>+J80/Dashboard!$E$32</f>
        <v/>
      </c>
      <c r="K101" s="79">
        <f>+K80/Dashboard!$E$32</f>
        <v/>
      </c>
      <c r="L101" s="79">
        <f>+L80/Dashboard!$E$32</f>
        <v/>
      </c>
      <c r="M101" s="79">
        <f>+M80/Dashboard!$E$32</f>
        <v/>
      </c>
      <c r="N101" s="79">
        <f>+N80/Dashboard!$E$32</f>
        <v/>
      </c>
      <c r="O101" s="80">
        <f>+O80/Dashboard!$E$32</f>
        <v/>
      </c>
    </row>
    <row r="102" ht="13.5" customHeight="1">
      <c r="C102" s="69" t="inlineStr">
        <is>
          <t>Operating Cash Flow Before Taxes</t>
        </is>
      </c>
      <c r="D102" s="70" t="n"/>
      <c r="E102" s="70" t="n"/>
      <c r="F102" s="600">
        <f>+F80-F90-F91</f>
        <v/>
      </c>
      <c r="G102" s="600">
        <f>+G80-G90-G91</f>
        <v/>
      </c>
      <c r="H102" s="600">
        <f>+H80-H90-H91</f>
        <v/>
      </c>
      <c r="I102" s="600">
        <f>+I80-I90-I91</f>
        <v/>
      </c>
      <c r="J102" s="601">
        <f>+J80-J90-J91</f>
        <v/>
      </c>
      <c r="K102" s="600">
        <f>+K80-K90-K91</f>
        <v/>
      </c>
      <c r="L102" s="600">
        <f>+L80-L90-L91</f>
        <v/>
      </c>
      <c r="M102" s="600">
        <f>+M80-M90-M91</f>
        <v/>
      </c>
      <c r="N102" s="600">
        <f>+N80-N90-N91</f>
        <v/>
      </c>
      <c r="O102" s="601">
        <f>+O80-O90-O91</f>
        <v/>
      </c>
    </row>
    <row r="103" ht="13.5" customHeight="1">
      <c r="C103" s="77" t="inlineStr">
        <is>
          <t>Cash on Cash Return</t>
        </is>
      </c>
      <c r="D103" s="78" t="n"/>
      <c r="E103" s="78" t="n"/>
      <c r="F103" s="79">
        <f>+F102/Dashboard!$I$11</f>
        <v/>
      </c>
      <c r="G103" s="79">
        <f>+G102/Dashboard!$I$11</f>
        <v/>
      </c>
      <c r="H103" s="79">
        <f>+H102/Dashboard!$I$11</f>
        <v/>
      </c>
      <c r="I103" s="79">
        <f>+I102/Dashboard!$I$11</f>
        <v/>
      </c>
      <c r="J103" s="80">
        <f>+J102/Dashboard!$I$11</f>
        <v/>
      </c>
      <c r="K103" s="79">
        <f>+K102/Dashboard!$I$11</f>
        <v/>
      </c>
      <c r="L103" s="79">
        <f>+L102/Dashboard!$I$11</f>
        <v/>
      </c>
      <c r="M103" s="79">
        <f>+M102/Dashboard!$I$11</f>
        <v/>
      </c>
      <c r="N103" s="79">
        <f>+N102/Dashboard!$I$11</f>
        <v/>
      </c>
      <c r="O103" s="80">
        <f>+O102/Dashboard!$I$11</f>
        <v/>
      </c>
    </row>
    <row r="104" ht="13.5" customHeight="1">
      <c r="C104" s="69" t="inlineStr">
        <is>
          <t>General Partner Cash Return</t>
        </is>
      </c>
      <c r="D104" s="84">
        <f>+Dashboard!J58</f>
        <v/>
      </c>
      <c r="E104" s="84" t="n"/>
      <c r="F104" s="600">
        <f>+F102*$D$104</f>
        <v/>
      </c>
      <c r="G104" s="600">
        <f>+G102*$D$104</f>
        <v/>
      </c>
      <c r="H104" s="600">
        <f>+H102*$D$104</f>
        <v/>
      </c>
      <c r="I104" s="600">
        <f>+I102*$D$104</f>
        <v/>
      </c>
      <c r="J104" s="601">
        <f>+J102*$D$104</f>
        <v/>
      </c>
      <c r="K104" s="600">
        <f>+K102*$D$104</f>
        <v/>
      </c>
      <c r="L104" s="600">
        <f>+L102*$D$104</f>
        <v/>
      </c>
      <c r="M104" s="600">
        <f>+M102*$D$104</f>
        <v/>
      </c>
      <c r="N104" s="600">
        <f>+N102*$D$104</f>
        <v/>
      </c>
      <c r="O104" s="601">
        <f>+O102*$D$104</f>
        <v/>
      </c>
    </row>
    <row r="105" ht="13.5" customHeight="1">
      <c r="C105" s="69" t="inlineStr">
        <is>
          <t>Total Limited Partner Cash Return</t>
        </is>
      </c>
      <c r="D105" s="84">
        <f>+Dashboard!J59</f>
        <v/>
      </c>
      <c r="E105" s="84" t="n"/>
      <c r="F105" s="600">
        <f>+F102*$D$105</f>
        <v/>
      </c>
      <c r="G105" s="600">
        <f>+G102*$D$105</f>
        <v/>
      </c>
      <c r="H105" s="600">
        <f>+H102*$D$105</f>
        <v/>
      </c>
      <c r="I105" s="600">
        <f>+I102*$D$105</f>
        <v/>
      </c>
      <c r="J105" s="601">
        <f>+J102*$D$105</f>
        <v/>
      </c>
      <c r="K105" s="600">
        <f>+K102*$D$105</f>
        <v/>
      </c>
      <c r="L105" s="600">
        <f>+L102*$D$105</f>
        <v/>
      </c>
      <c r="M105" s="600">
        <f>+M102*$D$105</f>
        <v/>
      </c>
      <c r="N105" s="600">
        <f>+N102*$D$105</f>
        <v/>
      </c>
      <c r="O105" s="601">
        <f>+O102*$D$105</f>
        <v/>
      </c>
    </row>
    <row r="106" ht="13.5" customHeight="1">
      <c r="C106" s="74" t="inlineStr">
        <is>
          <t>Cash on Cash LP Return</t>
        </is>
      </c>
      <c r="D106" s="75" t="n"/>
      <c r="E106" s="75" t="n"/>
      <c r="F106" s="82">
        <f>+F105/Dashboard!$I$11</f>
        <v/>
      </c>
      <c r="G106" s="82">
        <f>+G105/Dashboard!$I$11</f>
        <v/>
      </c>
      <c r="H106" s="82">
        <f>+H105/Dashboard!$I$11</f>
        <v/>
      </c>
      <c r="I106" s="82">
        <f>+I105/Dashboard!$I$11</f>
        <v/>
      </c>
      <c r="J106" s="83">
        <f>+J105/Dashboard!$I$11</f>
        <v/>
      </c>
      <c r="K106" s="82">
        <f>+K105/Dashboard!$I$11</f>
        <v/>
      </c>
      <c r="L106" s="82">
        <f>+L105/Dashboard!$I$11</f>
        <v/>
      </c>
      <c r="M106" s="82">
        <f>+M105/Dashboard!$I$11</f>
        <v/>
      </c>
      <c r="N106" s="82">
        <f>+N105/Dashboard!$I$11</f>
        <v/>
      </c>
      <c r="O106" s="83">
        <f>+O105/Dashboard!$I$11</f>
        <v/>
      </c>
    </row>
    <row r="107" ht="13.5" customHeight="1">
      <c r="D107" s="28" t="n"/>
      <c r="E107" s="28" t="n"/>
      <c r="F107" s="100" t="n"/>
      <c r="G107" s="100" t="n"/>
      <c r="H107" s="100" t="n"/>
      <c r="I107" s="100" t="n"/>
      <c r="J107" s="100" t="n"/>
      <c r="K107" s="100" t="n"/>
      <c r="L107" s="100" t="n"/>
      <c r="M107" s="100" t="n"/>
      <c r="N107" s="100" t="n"/>
      <c r="O107" s="100" t="n"/>
    </row>
    <row r="108" ht="13.5" customHeight="1">
      <c r="C108" s="257" t="inlineStr">
        <is>
          <t>Return Metrics</t>
        </is>
      </c>
      <c r="D108" s="37" t="n"/>
      <c r="E108" s="583" t="n"/>
      <c r="F108" s="583" t="n"/>
      <c r="G108" s="583" t="n"/>
      <c r="H108" s="583" t="n"/>
      <c r="I108" s="583" t="n"/>
      <c r="J108" s="583" t="n"/>
      <c r="K108" s="583" t="n"/>
      <c r="L108" s="583" t="n"/>
      <c r="M108" s="583" t="n"/>
      <c r="N108" s="583" t="n"/>
      <c r="O108" s="583" t="n"/>
    </row>
    <row r="109" ht="5.1" customHeight="1">
      <c r="D109" s="28" t="n"/>
      <c r="E109" s="28" t="n"/>
      <c r="F109" s="100" t="n"/>
      <c r="G109" s="100" t="n"/>
      <c r="H109" s="100" t="n"/>
      <c r="I109" s="100" t="n"/>
      <c r="J109" s="100" t="n"/>
      <c r="K109" s="100" t="n"/>
      <c r="L109" s="100" t="n"/>
      <c r="M109" s="100" t="n"/>
      <c r="N109" s="100" t="n"/>
      <c r="O109" s="100" t="n"/>
    </row>
    <row r="110" ht="13.5" customHeight="1">
      <c r="C110" s="32" t="inlineStr">
        <is>
          <t>5 Year Hold IRR</t>
        </is>
      </c>
      <c r="D110" s="32" t="n"/>
      <c r="E110" s="602">
        <f>+'Scenario 0'!E111</f>
        <v/>
      </c>
      <c r="F110" s="602">
        <f>+'Scenario 0'!F111</f>
        <v/>
      </c>
      <c r="G110" s="602">
        <f>+'Scenario 0'!G111</f>
        <v/>
      </c>
      <c r="H110" s="602">
        <f>+'Scenario 0'!H111</f>
        <v/>
      </c>
      <c r="I110" s="602">
        <f>+'Scenario 0'!I111</f>
        <v/>
      </c>
      <c r="J110" s="602">
        <f>+'Scenario 0'!J111</f>
        <v/>
      </c>
      <c r="K110" s="602" t="n"/>
      <c r="L110" s="602" t="n"/>
      <c r="M110" s="602" t="n"/>
      <c r="N110" s="602" t="n"/>
      <c r="O110" s="602" t="n"/>
    </row>
    <row r="111" ht="5.1" customHeight="1">
      <c r="C111" s="39" t="n"/>
      <c r="D111" s="109" t="n"/>
      <c r="E111" s="603" t="n"/>
      <c r="F111" s="603" t="n"/>
      <c r="G111" s="603" t="n"/>
      <c r="H111" s="603" t="n"/>
      <c r="I111" s="603" t="n"/>
      <c r="J111" s="603" t="n"/>
    </row>
    <row r="112" ht="13.5" customHeight="1">
      <c r="C112" s="212" t="inlineStr">
        <is>
          <t>Exit Cap Rate Assumption</t>
        </is>
      </c>
      <c r="D112" s="217">
        <f>+Dashboard!$J$54</f>
        <v/>
      </c>
      <c r="E112" s="109" t="n"/>
      <c r="F112" s="603" t="n"/>
      <c r="G112" s="603" t="n"/>
      <c r="H112" s="603" t="n"/>
      <c r="I112" s="603" t="n"/>
      <c r="J112" s="603" t="n"/>
      <c r="K112" s="31" t="n"/>
      <c r="L112" s="31" t="n"/>
      <c r="M112" s="31" t="n"/>
      <c r="N112" s="31" t="n"/>
      <c r="O112" s="31" t="n"/>
    </row>
    <row r="113" ht="5.1" customHeight="1">
      <c r="C113" s="39" t="n"/>
      <c r="D113" s="109" t="n"/>
      <c r="E113" s="109" t="n"/>
      <c r="F113" s="603" t="n"/>
      <c r="G113" s="603" t="n"/>
      <c r="H113" s="603" t="n"/>
      <c r="I113" s="603" t="n"/>
      <c r="J113" s="603" t="n"/>
      <c r="K113" s="31" t="n"/>
      <c r="L113" s="31" t="n"/>
      <c r="M113" s="31" t="n"/>
      <c r="N113" s="31" t="n"/>
      <c r="O113" s="31" t="n"/>
    </row>
    <row r="114" ht="13.5" customHeight="1">
      <c r="C114" s="28" t="inlineStr">
        <is>
          <t>Project Cash Flows (Unleveraged IRR):</t>
        </is>
      </c>
      <c r="D114" s="28" t="n"/>
      <c r="E114" s="28" t="n"/>
      <c r="F114" s="100" t="n"/>
      <c r="G114" s="100" t="n"/>
      <c r="H114" s="100" t="n"/>
      <c r="I114" s="100" t="n"/>
      <c r="J114" s="100" t="n"/>
      <c r="K114" s="31" t="n"/>
      <c r="L114" s="31" t="n"/>
      <c r="M114" s="31" t="n"/>
      <c r="N114" s="31" t="n"/>
      <c r="O114" s="31" t="n"/>
    </row>
    <row r="115" ht="13.5" customHeight="1">
      <c r="C115" s="43" t="inlineStr">
        <is>
          <t>(+) Proceeds from Sale of Property:</t>
        </is>
      </c>
      <c r="D115" s="111" t="n"/>
      <c r="E115" s="111" t="n"/>
      <c r="F115" s="111" t="n">
        <v>0</v>
      </c>
      <c r="G115" s="111" t="n">
        <v>0</v>
      </c>
      <c r="H115" s="111" t="n">
        <v>0</v>
      </c>
      <c r="I115" s="111" t="n">
        <v>0</v>
      </c>
      <c r="J115" s="111">
        <f>+J$80/D$112</f>
        <v/>
      </c>
      <c r="K115" s="31" t="n"/>
      <c r="L115" s="31" t="n"/>
      <c r="M115" s="31" t="n"/>
      <c r="N115" s="31" t="n"/>
      <c r="O115" s="31" t="n"/>
    </row>
    <row r="116" ht="13.5" customHeight="1">
      <c r="C116" s="43" t="inlineStr">
        <is>
          <t>(-) Selling Costs:</t>
        </is>
      </c>
      <c r="D116" s="217">
        <f>+Dashboard!$J$55</f>
        <v/>
      </c>
      <c r="E116" s="112" t="n"/>
      <c r="F116" s="112" t="n">
        <v>0</v>
      </c>
      <c r="G116" s="112" t="n">
        <v>0</v>
      </c>
      <c r="H116" s="112" t="n">
        <v>0</v>
      </c>
      <c r="I116" s="112" t="n">
        <v>0</v>
      </c>
      <c r="J116" s="112">
        <f>-J$115*D$116</f>
        <v/>
      </c>
      <c r="K116" s="31" t="n"/>
      <c r="L116" s="31" t="n"/>
      <c r="M116" s="31" t="n"/>
      <c r="N116" s="31" t="n"/>
      <c r="O116" s="31" t="n"/>
    </row>
    <row r="117" ht="13.5" customHeight="1">
      <c r="C117" s="43" t="inlineStr">
        <is>
          <t>(+) Adjusted NOI (Cash Flows to All Investors):</t>
        </is>
      </c>
      <c r="D117" s="112" t="n"/>
      <c r="E117" s="112" t="n"/>
      <c r="F117" s="23">
        <f>+F$88</f>
        <v/>
      </c>
      <c r="G117" s="23">
        <f>+G$88</f>
        <v/>
      </c>
      <c r="H117" s="23">
        <f>+H$88</f>
        <v/>
      </c>
      <c r="I117" s="23">
        <f>+I$88</f>
        <v/>
      </c>
      <c r="J117" s="23">
        <f>+J$88</f>
        <v/>
      </c>
      <c r="K117" s="31" t="n"/>
      <c r="L117" s="31" t="n"/>
      <c r="M117" s="31" t="n"/>
      <c r="N117" s="31" t="n"/>
      <c r="O117" s="31" t="n"/>
    </row>
    <row r="118" ht="13.5" customHeight="1">
      <c r="C118" s="43" t="inlineStr">
        <is>
          <t>(-) Property Acquisition Price:</t>
        </is>
      </c>
      <c r="E118" s="103">
        <f>-Dashboard!$E$32</f>
        <v/>
      </c>
      <c r="F118" s="112" t="n">
        <v>0</v>
      </c>
      <c r="G118" s="112" t="n">
        <v>0</v>
      </c>
      <c r="H118" s="112" t="n">
        <v>0</v>
      </c>
      <c r="I118" s="112" t="n">
        <v>0</v>
      </c>
      <c r="J118" s="112" t="n">
        <v>0</v>
      </c>
      <c r="K118" s="31" t="n"/>
      <c r="L118" s="31" t="n"/>
      <c r="M118" s="31" t="n"/>
      <c r="N118" s="31" t="n"/>
      <c r="O118" s="31" t="n"/>
    </row>
    <row r="119" ht="13.5" customHeight="1">
      <c r="C119" s="33" t="inlineStr">
        <is>
          <t>Total Project Cash Flows (Unleveraged IRR):</t>
        </is>
      </c>
      <c r="D119" s="38" t="n"/>
      <c r="E119" s="88">
        <f>SUM(E115:E118)</f>
        <v/>
      </c>
      <c r="F119" s="88">
        <f>SUM(F115:F118)</f>
        <v/>
      </c>
      <c r="G119" s="88">
        <f>SUM(G115:G118)</f>
        <v/>
      </c>
      <c r="H119" s="88">
        <f>SUM(H115:H118)</f>
        <v/>
      </c>
      <c r="I119" s="88">
        <f>SUM(I115:I118)</f>
        <v/>
      </c>
      <c r="J119" s="88">
        <f>SUM(J115:J118)</f>
        <v/>
      </c>
      <c r="K119" s="31" t="n"/>
      <c r="L119" s="31" t="n"/>
      <c r="M119" s="31" t="n"/>
      <c r="N119" s="31" t="n"/>
      <c r="O119" s="31" t="n"/>
    </row>
    <row r="120" hidden="1" outlineLevel="1" ht="13.5" customHeight="1">
      <c r="C120" s="28" t="n"/>
      <c r="E120" s="99" t="n"/>
      <c r="F120" s="100">
        <f>+F119-F115</f>
        <v/>
      </c>
      <c r="G120" s="100">
        <f>+G119-G115</f>
        <v/>
      </c>
      <c r="H120" s="100">
        <f>+H119-H115</f>
        <v/>
      </c>
      <c r="I120" s="100">
        <f>+I119-I115</f>
        <v/>
      </c>
      <c r="J120" s="100">
        <f>+J119-J115</f>
        <v/>
      </c>
      <c r="K120" s="31" t="n"/>
      <c r="L120" s="31" t="n"/>
      <c r="M120" s="31" t="n"/>
      <c r="N120" s="31" t="n"/>
      <c r="O120" s="31" t="n"/>
    </row>
    <row r="121" collapsed="1" ht="5.1" customHeight="1">
      <c r="D121" s="28" t="n"/>
      <c r="E121" s="28" t="n"/>
      <c r="F121" s="100" t="n"/>
      <c r="G121" s="100" t="n"/>
      <c r="H121" s="100" t="n"/>
      <c r="I121" s="100" t="n"/>
      <c r="J121" s="100" t="n"/>
      <c r="K121" s="31" t="n"/>
      <c r="L121" s="31" t="n"/>
      <c r="M121" s="31" t="n"/>
      <c r="N121" s="31" t="n"/>
      <c r="O121" s="31" t="n"/>
    </row>
    <row r="122" ht="13.5" customHeight="1">
      <c r="C122" s="113" t="inlineStr">
        <is>
          <t>Unlevered IRR:</t>
        </is>
      </c>
      <c r="D122" s="91" t="n"/>
      <c r="E122" s="114">
        <f>+IRR(E119:J119)</f>
        <v/>
      </c>
      <c r="G122" s="100" t="n"/>
      <c r="H122" s="100" t="n"/>
      <c r="I122" s="100" t="n"/>
      <c r="J122" s="100" t="n"/>
      <c r="K122" s="31" t="n"/>
      <c r="L122" s="31" t="n"/>
      <c r="M122" s="31" t="n"/>
      <c r="N122" s="31" t="n"/>
      <c r="O122" s="31" t="n"/>
    </row>
    <row r="123" ht="13.5" customHeight="1">
      <c r="C123" s="115" t="inlineStr">
        <is>
          <t>Unlevered Cash-on-Cash Multiple:</t>
        </is>
      </c>
      <c r="D123" s="92" t="n"/>
      <c r="E123" s="604">
        <f>+SUM(F115:J117)/-SUM(E118:J118)</f>
        <v/>
      </c>
      <c r="G123" s="100" t="n"/>
      <c r="H123" s="100" t="n"/>
      <c r="I123" s="100" t="n"/>
      <c r="J123" s="100" t="n"/>
      <c r="K123" s="31" t="n"/>
      <c r="L123" s="31" t="n"/>
      <c r="M123" s="31" t="n"/>
      <c r="N123" s="31" t="n"/>
      <c r="O123" s="31" t="n"/>
    </row>
    <row r="124" ht="13.5" customHeight="1">
      <c r="D124" s="28" t="n"/>
      <c r="E124" s="28" t="n"/>
      <c r="F124" s="100" t="n"/>
      <c r="G124" s="100" t="n"/>
      <c r="H124" s="100" t="n"/>
      <c r="I124" s="100" t="n"/>
      <c r="J124" s="100" t="n"/>
      <c r="K124" s="31" t="n"/>
      <c r="L124" s="31" t="n"/>
      <c r="M124" s="31" t="n"/>
      <c r="N124" s="31" t="n"/>
      <c r="O124" s="31" t="n"/>
    </row>
    <row r="125" ht="13.5" customHeight="1">
      <c r="C125" s="28" t="inlineStr">
        <is>
          <t>Cash Flow to Equity Investors (Leveraged IRR):</t>
        </is>
      </c>
      <c r="D125" s="28" t="n"/>
      <c r="E125" s="28" t="n"/>
      <c r="F125" s="100" t="n"/>
      <c r="G125" s="100" t="n"/>
      <c r="H125" s="100" t="n"/>
      <c r="I125" s="100" t="n"/>
      <c r="J125" s="100" t="n"/>
      <c r="K125" s="31" t="n"/>
      <c r="L125" s="31" t="n"/>
      <c r="M125" s="31" t="n"/>
      <c r="N125" s="31" t="n"/>
      <c r="O125" s="31" t="n"/>
    </row>
    <row r="126" ht="13.5" customHeight="1">
      <c r="C126" s="43" t="inlineStr">
        <is>
          <t>(+) Proceeds from Sale of Property:</t>
        </is>
      </c>
      <c r="D126" s="111" t="n"/>
      <c r="E126" s="111" t="n"/>
      <c r="F126" s="111" t="n">
        <v>0</v>
      </c>
      <c r="G126" s="111" t="n">
        <v>0</v>
      </c>
      <c r="H126" s="111" t="n">
        <v>0</v>
      </c>
      <c r="I126" s="111" t="n">
        <v>0</v>
      </c>
      <c r="J126" s="111">
        <f>+J$80/D$112</f>
        <v/>
      </c>
      <c r="K126" s="31" t="n"/>
      <c r="L126" s="31" t="n"/>
      <c r="M126" s="31" t="n"/>
      <c r="N126" s="31" t="n"/>
      <c r="O126" s="31" t="n"/>
    </row>
    <row r="127" ht="13.5" customHeight="1">
      <c r="C127" s="43" t="inlineStr">
        <is>
          <t>(-) Selling Costs:</t>
        </is>
      </c>
      <c r="D127" s="95">
        <f>+D116</f>
        <v/>
      </c>
      <c r="E127" s="112" t="n"/>
      <c r="F127" s="112" t="n">
        <v>0</v>
      </c>
      <c r="G127" s="112" t="n">
        <v>0</v>
      </c>
      <c r="H127" s="112" t="n">
        <v>0</v>
      </c>
      <c r="I127" s="112" t="n">
        <v>0</v>
      </c>
      <c r="J127" s="112">
        <f>-J$126*D$127</f>
        <v/>
      </c>
      <c r="K127" s="31" t="n"/>
      <c r="L127" s="31" t="n"/>
      <c r="M127" s="31" t="n"/>
      <c r="N127" s="31" t="n"/>
      <c r="O127" s="31" t="n"/>
    </row>
    <row r="128" ht="13.5" customHeight="1">
      <c r="C128" s="43" t="inlineStr">
        <is>
          <t>(+) Cash Flows to Equity Investors:</t>
        </is>
      </c>
      <c r="E128" s="112" t="n"/>
      <c r="F128" s="23">
        <f>+F$92</f>
        <v/>
      </c>
      <c r="G128" s="23">
        <f>+G$92</f>
        <v/>
      </c>
      <c r="H128" s="23">
        <f>+H$92</f>
        <v/>
      </c>
      <c r="I128" s="23">
        <f>+I$92</f>
        <v/>
      </c>
      <c r="J128" s="23">
        <f>+J$92</f>
        <v/>
      </c>
      <c r="K128" s="31" t="n"/>
      <c r="L128" s="31" t="n"/>
      <c r="M128" s="31" t="n"/>
      <c r="N128" s="31" t="n"/>
      <c r="O128" s="31" t="n"/>
    </row>
    <row r="129" ht="13.5" customHeight="1">
      <c r="C129" s="43" t="inlineStr">
        <is>
          <t>(-) Debt Principal Repayment Upon Exit:</t>
        </is>
      </c>
      <c r="D129" s="112" t="n"/>
      <c r="E129" s="112" t="n"/>
      <c r="F129" s="112" t="n">
        <v>0</v>
      </c>
      <c r="G129" s="112" t="n">
        <v>0</v>
      </c>
      <c r="H129" s="112" t="n">
        <v>0</v>
      </c>
      <c r="I129" s="112" t="n">
        <v>0</v>
      </c>
      <c r="J129" s="112">
        <f>-J94</f>
        <v/>
      </c>
      <c r="K129" s="31" t="n"/>
      <c r="L129" s="31" t="n"/>
      <c r="M129" s="31" t="n"/>
      <c r="N129" s="31" t="n"/>
      <c r="O129" s="31" t="n"/>
    </row>
    <row r="130" ht="13.5" customHeight="1">
      <c r="C130" s="43" t="inlineStr">
        <is>
          <t>(-) Initial Equity Investment:</t>
        </is>
      </c>
      <c r="D130" s="103" t="n"/>
      <c r="E130" s="103">
        <f>-Dashboard!$I$11</f>
        <v/>
      </c>
      <c r="F130" s="112" t="n">
        <v>0</v>
      </c>
      <c r="G130" s="112" t="n">
        <v>0</v>
      </c>
      <c r="H130" s="112" t="n">
        <v>0</v>
      </c>
      <c r="I130" s="112" t="n">
        <v>0</v>
      </c>
      <c r="J130" s="112" t="n">
        <v>0</v>
      </c>
      <c r="K130" s="31" t="n"/>
      <c r="L130" s="31" t="n"/>
      <c r="M130" s="31" t="n"/>
      <c r="N130" s="31" t="n"/>
      <c r="O130" s="31" t="n"/>
    </row>
    <row r="131" ht="13.5" customHeight="1">
      <c r="C131" s="33" t="inlineStr">
        <is>
          <t>Total Cash Flows to Equity (Leveraged IRR):</t>
        </is>
      </c>
      <c r="D131" s="88" t="n"/>
      <c r="E131" s="88">
        <f>+SUM(E126:E130)</f>
        <v/>
      </c>
      <c r="F131" s="88">
        <f>+SUM(F126:F130)</f>
        <v/>
      </c>
      <c r="G131" s="88">
        <f>+SUM(G126:G130)</f>
        <v/>
      </c>
      <c r="H131" s="88">
        <f>+SUM(H126:H130)</f>
        <v/>
      </c>
      <c r="I131" s="88">
        <f>+SUM(I126:I130)</f>
        <v/>
      </c>
      <c r="J131" s="88">
        <f>+SUM(J126:J130)</f>
        <v/>
      </c>
      <c r="K131" s="31" t="n"/>
      <c r="L131" s="31" t="n"/>
      <c r="M131" s="31" t="n"/>
      <c r="N131" s="31" t="n"/>
      <c r="O131" s="31" t="n"/>
    </row>
    <row r="132" hidden="1" outlineLevel="1" ht="13.5" customHeight="1">
      <c r="C132" s="28" t="n"/>
      <c r="D132" s="99" t="n"/>
      <c r="E132" s="99" t="n"/>
      <c r="F132" s="100">
        <f>+F131-F126</f>
        <v/>
      </c>
      <c r="G132" s="100">
        <f>+G131-G126</f>
        <v/>
      </c>
      <c r="H132" s="100">
        <f>+H131-H126</f>
        <v/>
      </c>
      <c r="I132" s="100">
        <f>+I131-I126</f>
        <v/>
      </c>
      <c r="J132" s="100">
        <f>+J131-SUM(J126,J129)</f>
        <v/>
      </c>
      <c r="K132" s="31" t="n"/>
      <c r="L132" s="31" t="n"/>
      <c r="M132" s="31" t="n"/>
      <c r="N132" s="31" t="n"/>
      <c r="O132" s="31" t="n"/>
    </row>
    <row r="133" collapsed="1" ht="5.1" customHeight="1">
      <c r="D133" s="28" t="n"/>
      <c r="E133" s="28" t="n"/>
      <c r="F133" s="100" t="n"/>
      <c r="G133" s="100" t="n"/>
      <c r="H133" s="100" t="n"/>
      <c r="I133" s="100" t="n"/>
      <c r="J133" s="100" t="n"/>
      <c r="K133" s="31" t="n"/>
      <c r="L133" s="31" t="n"/>
      <c r="M133" s="31" t="n"/>
      <c r="N133" s="31" t="n"/>
      <c r="O133" s="31" t="n"/>
    </row>
    <row r="134" ht="13.5" customHeight="1">
      <c r="C134" s="113" t="inlineStr">
        <is>
          <t>Leveraged Internal Rate of Return (IRR):</t>
        </is>
      </c>
      <c r="D134" s="91" t="n"/>
      <c r="E134" s="114">
        <f>+IRR(E131:J131)</f>
        <v/>
      </c>
      <c r="G134" s="100" t="n"/>
      <c r="H134" s="100" t="n"/>
      <c r="I134" s="100" t="n"/>
      <c r="J134" s="100" t="n"/>
      <c r="K134" s="31" t="n"/>
      <c r="L134" s="31" t="n"/>
      <c r="M134" s="31" t="n"/>
      <c r="N134" s="31" t="n"/>
      <c r="O134" s="31" t="n"/>
    </row>
    <row r="135" ht="13.5" customHeight="1">
      <c r="C135" s="115" t="inlineStr">
        <is>
          <t>Levered Cash-on-Cash Multiple:</t>
        </is>
      </c>
      <c r="D135" s="92" t="n"/>
      <c r="E135" s="604">
        <f>+SUM(F126:J129)/-SUM(E130:J130)</f>
        <v/>
      </c>
      <c r="G135" s="100" t="n"/>
      <c r="H135" s="100" t="n"/>
      <c r="I135" s="100" t="n"/>
      <c r="J135" s="100" t="n"/>
      <c r="K135" s="31" t="n"/>
      <c r="L135" s="31" t="n"/>
      <c r="M135" s="31" t="n"/>
      <c r="N135" s="31" t="n"/>
      <c r="O135" s="31" t="n"/>
    </row>
    <row r="136"/>
    <row r="137" hidden="1" outlineLevel="1" ht="13.5" customHeight="1">
      <c r="C137" s="32" t="inlineStr">
        <is>
          <t>7 Year Hold IRR</t>
        </is>
      </c>
      <c r="D137" s="32" t="n"/>
      <c r="E137" s="602">
        <f>+'Scenario 0'!E138</f>
        <v/>
      </c>
      <c r="F137" s="602">
        <f>+'Scenario 0'!F138</f>
        <v/>
      </c>
      <c r="G137" s="602">
        <f>+'Scenario 0'!G138</f>
        <v/>
      </c>
      <c r="H137" s="602">
        <f>+'Scenario 0'!H138</f>
        <v/>
      </c>
      <c r="I137" s="602">
        <f>+'Scenario 0'!I138</f>
        <v/>
      </c>
      <c r="J137" s="602">
        <f>+'Scenario 0'!J138</f>
        <v/>
      </c>
      <c r="K137" s="602">
        <f>+'Scenario 0'!K138</f>
        <v/>
      </c>
      <c r="L137" s="602">
        <f>+'Scenario 0'!L138</f>
        <v/>
      </c>
      <c r="M137" s="602" t="n"/>
      <c r="N137" s="602" t="n"/>
      <c r="O137" s="602" t="n"/>
    </row>
    <row r="138" hidden="1" outlineLevel="1" ht="5.1" customHeight="1">
      <c r="C138" s="39" t="n"/>
      <c r="D138" s="109" t="n"/>
      <c r="E138" s="603" t="n"/>
      <c r="F138" s="603" t="n"/>
      <c r="G138" s="603" t="n"/>
      <c r="H138" s="603" t="n"/>
      <c r="I138" s="603" t="n"/>
      <c r="J138" s="603" t="n"/>
      <c r="K138" s="603" t="n"/>
      <c r="L138" s="603" t="n"/>
    </row>
    <row r="139" hidden="1" outlineLevel="1" ht="13.5" customHeight="1">
      <c r="C139" s="28" t="inlineStr">
        <is>
          <t>Project Cash Flows (Unleveraged IRR):</t>
        </is>
      </c>
      <c r="D139" s="28" t="n"/>
      <c r="E139" s="28" t="n"/>
      <c r="F139" s="100" t="n"/>
      <c r="G139" s="100" t="n"/>
      <c r="H139" s="100" t="n"/>
      <c r="I139" s="100" t="n"/>
      <c r="J139" s="100" t="n"/>
      <c r="K139" s="100" t="n"/>
      <c r="L139" s="100" t="n"/>
      <c r="M139" s="31" t="n"/>
      <c r="N139" s="31" t="n"/>
      <c r="O139" s="31" t="n"/>
    </row>
    <row r="140" hidden="1" outlineLevel="1" ht="13.5" customHeight="1">
      <c r="C140" s="43" t="inlineStr">
        <is>
          <t>(+) Proceeds from Sale of Property:</t>
        </is>
      </c>
      <c r="D140" s="111" t="n"/>
      <c r="E140" s="111" t="n"/>
      <c r="F140" s="111" t="n">
        <v>0</v>
      </c>
      <c r="G140" s="111" t="n">
        <v>0</v>
      </c>
      <c r="H140" s="111" t="n">
        <v>0</v>
      </c>
      <c r="I140" s="111" t="n">
        <v>0</v>
      </c>
      <c r="J140" s="111" t="n">
        <v>0</v>
      </c>
      <c r="K140" s="111" t="n">
        <v>0</v>
      </c>
      <c r="L140" s="111">
        <f>+L$80/D$112</f>
        <v/>
      </c>
      <c r="M140" s="31" t="n"/>
      <c r="N140" s="31" t="n"/>
      <c r="O140" s="31" t="n"/>
    </row>
    <row r="141" hidden="1" outlineLevel="1" ht="13.5" customHeight="1">
      <c r="C141" s="43" t="inlineStr">
        <is>
          <t>(-) Selling Costs:</t>
        </is>
      </c>
      <c r="D141" s="95">
        <f>+D116</f>
        <v/>
      </c>
      <c r="E141" s="112" t="n"/>
      <c r="F141" s="112" t="n">
        <v>0</v>
      </c>
      <c r="G141" s="112" t="n">
        <v>0</v>
      </c>
      <c r="H141" s="112" t="n">
        <v>0</v>
      </c>
      <c r="I141" s="112" t="n">
        <v>0</v>
      </c>
      <c r="J141" s="112" t="n">
        <v>0</v>
      </c>
      <c r="K141" s="112" t="n">
        <v>0</v>
      </c>
      <c r="L141" s="112">
        <f>-L$140*D$141</f>
        <v/>
      </c>
      <c r="M141" s="31" t="n"/>
      <c r="N141" s="31" t="n"/>
      <c r="O141" s="31" t="n"/>
    </row>
    <row r="142" hidden="1" outlineLevel="1" ht="13.5" customHeight="1">
      <c r="C142" s="43" t="inlineStr">
        <is>
          <t>(+) Adjusted NOI (Cash Flows to All Investors):</t>
        </is>
      </c>
      <c r="D142" s="112" t="n"/>
      <c r="E142" s="112" t="n"/>
      <c r="F142" s="23">
        <f>+F$88</f>
        <v/>
      </c>
      <c r="G142" s="23">
        <f>+G$88</f>
        <v/>
      </c>
      <c r="H142" s="23">
        <f>+H$88</f>
        <v/>
      </c>
      <c r="I142" s="23">
        <f>+I$88</f>
        <v/>
      </c>
      <c r="J142" s="23">
        <f>+J$88</f>
        <v/>
      </c>
      <c r="K142" s="23">
        <f>+K$88</f>
        <v/>
      </c>
      <c r="L142" s="23">
        <f>+L$88</f>
        <v/>
      </c>
      <c r="M142" s="31" t="n"/>
      <c r="N142" s="31" t="n"/>
      <c r="O142" s="31" t="n"/>
    </row>
    <row r="143" hidden="1" outlineLevel="1" ht="13.5" customHeight="1">
      <c r="C143" s="43" t="inlineStr">
        <is>
          <t>(-) Property Acquisition Price:</t>
        </is>
      </c>
      <c r="E143" s="103">
        <f>-Dashboard!$E$32</f>
        <v/>
      </c>
      <c r="F143" s="112" t="n">
        <v>0</v>
      </c>
      <c r="G143" s="112" t="n">
        <v>0</v>
      </c>
      <c r="H143" s="112" t="n">
        <v>0</v>
      </c>
      <c r="I143" s="112" t="n">
        <v>0</v>
      </c>
      <c r="J143" s="112" t="n">
        <v>0</v>
      </c>
      <c r="K143" s="112" t="n">
        <v>0</v>
      </c>
      <c r="L143" s="112" t="n">
        <v>0</v>
      </c>
      <c r="M143" s="31" t="n"/>
      <c r="N143" s="31" t="n"/>
      <c r="O143" s="31" t="n"/>
    </row>
    <row r="144" hidden="1" outlineLevel="1" ht="13.5" customHeight="1">
      <c r="C144" s="33" t="inlineStr">
        <is>
          <t>Total Project Cash Flows (Unleveraged IRR):</t>
        </is>
      </c>
      <c r="D144" s="38" t="n"/>
      <c r="E144" s="88">
        <f>SUM(E140:E143)</f>
        <v/>
      </c>
      <c r="F144" s="88">
        <f>SUM(F140:F143)</f>
        <v/>
      </c>
      <c r="G144" s="88">
        <f>SUM(G140:G143)</f>
        <v/>
      </c>
      <c r="H144" s="88">
        <f>SUM(H140:H143)</f>
        <v/>
      </c>
      <c r="I144" s="88">
        <f>SUM(I140:I143)</f>
        <v/>
      </c>
      <c r="J144" s="88">
        <f>SUM(J140:J143)</f>
        <v/>
      </c>
      <c r="K144" s="88">
        <f>SUM(K140:K143)</f>
        <v/>
      </c>
      <c r="L144" s="88">
        <f>SUM(L140:L143)</f>
        <v/>
      </c>
      <c r="M144" s="31" t="n"/>
      <c r="N144" s="31" t="n"/>
      <c r="O144" s="31" t="n"/>
    </row>
    <row r="145" hidden="1" outlineLevel="2" ht="13.5" customHeight="1">
      <c r="C145" s="28" t="n"/>
      <c r="E145" s="99" t="n"/>
      <c r="F145" s="100">
        <f>+F144-F140</f>
        <v/>
      </c>
      <c r="G145" s="100">
        <f>+G144-G140</f>
        <v/>
      </c>
      <c r="H145" s="100">
        <f>+H144-H140</f>
        <v/>
      </c>
      <c r="I145" s="100">
        <f>+I144-I140</f>
        <v/>
      </c>
      <c r="J145" s="100">
        <f>+J144-J140</f>
        <v/>
      </c>
      <c r="K145" s="100">
        <f>+K144-K140</f>
        <v/>
      </c>
      <c r="L145" s="100">
        <f>+L144-L140</f>
        <v/>
      </c>
      <c r="M145" s="31" t="n"/>
      <c r="N145" s="31" t="n"/>
      <c r="O145" s="31" t="n"/>
    </row>
    <row r="146" hidden="1" outlineLevel="1" collapsed="1" ht="5.1" customHeight="1">
      <c r="D146" s="28" t="n"/>
      <c r="E146" s="28" t="n"/>
      <c r="F146" s="100" t="n"/>
      <c r="G146" s="100" t="n"/>
      <c r="H146" s="100" t="n"/>
      <c r="I146" s="100" t="n"/>
      <c r="J146" s="100" t="n"/>
      <c r="K146" s="100" t="n"/>
      <c r="L146" s="100" t="n"/>
      <c r="M146" s="31" t="n"/>
      <c r="N146" s="31" t="n"/>
      <c r="O146" s="31" t="n"/>
    </row>
    <row r="147" hidden="1" outlineLevel="1" ht="13.5" customHeight="1">
      <c r="C147" s="113" t="inlineStr">
        <is>
          <t>Unlevered IRR:</t>
        </is>
      </c>
      <c r="D147" s="91" t="n"/>
      <c r="E147" s="114">
        <f>+IRR(E144:L144)</f>
        <v/>
      </c>
      <c r="G147" s="100" t="n"/>
      <c r="H147" s="100" t="n"/>
      <c r="I147" s="100" t="n"/>
      <c r="J147" s="100" t="n"/>
      <c r="K147" s="100" t="n"/>
      <c r="L147" s="100" t="n"/>
      <c r="M147" s="31" t="n"/>
      <c r="N147" s="31" t="n"/>
      <c r="O147" s="31" t="n"/>
    </row>
    <row r="148" hidden="1" outlineLevel="1" ht="13.5" customHeight="1">
      <c r="C148" s="115" t="inlineStr">
        <is>
          <t>Unlevered Cash-on-Cash Multiple:</t>
        </is>
      </c>
      <c r="D148" s="92" t="n"/>
      <c r="E148" s="604">
        <f>+SUM(F140:L142)/-SUM(E143:L143)</f>
        <v/>
      </c>
      <c r="G148" s="100" t="n"/>
      <c r="H148" s="100" t="n"/>
      <c r="I148" s="100" t="n"/>
      <c r="J148" s="100" t="n"/>
      <c r="K148" s="100" t="n"/>
      <c r="L148" s="100" t="n"/>
      <c r="M148" s="31" t="n"/>
      <c r="N148" s="31" t="n"/>
      <c r="O148" s="31" t="n"/>
    </row>
    <row r="149" hidden="1" outlineLevel="1" ht="13.5" customHeight="1">
      <c r="D149" s="28" t="n"/>
      <c r="E149" s="28" t="n"/>
      <c r="F149" s="100" t="n"/>
      <c r="G149" s="100" t="n"/>
      <c r="H149" s="100" t="n"/>
      <c r="I149" s="100" t="n"/>
      <c r="J149" s="100" t="n"/>
      <c r="K149" s="100" t="n"/>
      <c r="L149" s="100" t="n"/>
      <c r="M149" s="31" t="n"/>
      <c r="N149" s="31" t="n"/>
      <c r="O149" s="31" t="n"/>
    </row>
    <row r="150" hidden="1" outlineLevel="1" ht="13.5" customHeight="1">
      <c r="C150" s="28" t="inlineStr">
        <is>
          <t>Cash Flow to Equity Investors (Leveraged IRR):</t>
        </is>
      </c>
      <c r="D150" s="28" t="n"/>
      <c r="E150" s="28" t="n"/>
      <c r="F150" s="100" t="n"/>
      <c r="G150" s="100" t="n"/>
      <c r="H150" s="100" t="n"/>
      <c r="I150" s="100" t="n"/>
      <c r="J150" s="100" t="n"/>
      <c r="K150" s="100" t="n"/>
      <c r="L150" s="100" t="n"/>
      <c r="M150" s="31" t="n"/>
      <c r="N150" s="31" t="n"/>
      <c r="O150" s="31" t="n"/>
    </row>
    <row r="151" hidden="1" outlineLevel="1" ht="13.5" customHeight="1">
      <c r="C151" s="43" t="inlineStr">
        <is>
          <t>(+) Proceeds from Sale of Property:</t>
        </is>
      </c>
      <c r="D151" s="111" t="n"/>
      <c r="E151" s="111" t="n"/>
      <c r="F151" s="111" t="n">
        <v>0</v>
      </c>
      <c r="G151" s="111" t="n">
        <v>0</v>
      </c>
      <c r="H151" s="111" t="n">
        <v>0</v>
      </c>
      <c r="I151" s="111" t="n">
        <v>0</v>
      </c>
      <c r="J151" s="111" t="n">
        <v>0</v>
      </c>
      <c r="K151" s="111" t="n">
        <v>0</v>
      </c>
      <c r="L151" s="111">
        <f>+L$80/D$112</f>
        <v/>
      </c>
      <c r="M151" s="31" t="n"/>
      <c r="N151" s="31" t="n"/>
      <c r="O151" s="31" t="n"/>
    </row>
    <row r="152" hidden="1" outlineLevel="1" ht="13.5" customHeight="1">
      <c r="C152" s="43" t="inlineStr">
        <is>
          <t>(-) Selling Costs:</t>
        </is>
      </c>
      <c r="D152" s="95">
        <f>+D116</f>
        <v/>
      </c>
      <c r="E152" s="112" t="n"/>
      <c r="F152" s="112" t="n">
        <v>0</v>
      </c>
      <c r="G152" s="112" t="n">
        <v>0</v>
      </c>
      <c r="H152" s="112" t="n">
        <v>0</v>
      </c>
      <c r="I152" s="112" t="n">
        <v>0</v>
      </c>
      <c r="J152" s="112" t="n">
        <v>0</v>
      </c>
      <c r="K152" s="112" t="n">
        <v>0</v>
      </c>
      <c r="L152" s="112">
        <f>-L$151*D$152</f>
        <v/>
      </c>
      <c r="M152" s="31" t="n"/>
      <c r="N152" s="31" t="n"/>
      <c r="O152" s="31" t="n"/>
    </row>
    <row r="153" hidden="1" outlineLevel="1" ht="13.5" customHeight="1">
      <c r="C153" s="43" t="inlineStr">
        <is>
          <t>(+) Cash Flows to Equity Investors:</t>
        </is>
      </c>
      <c r="E153" s="112" t="n"/>
      <c r="F153" s="23">
        <f>+F$92</f>
        <v/>
      </c>
      <c r="G153" s="23">
        <f>+G$92</f>
        <v/>
      </c>
      <c r="H153" s="23">
        <f>+H$92</f>
        <v/>
      </c>
      <c r="I153" s="23">
        <f>+I$92</f>
        <v/>
      </c>
      <c r="J153" s="23">
        <f>+J$92</f>
        <v/>
      </c>
      <c r="K153" s="23">
        <f>+K$92</f>
        <v/>
      </c>
      <c r="L153" s="23">
        <f>+L$92</f>
        <v/>
      </c>
      <c r="M153" s="31" t="n"/>
      <c r="N153" s="31" t="n"/>
      <c r="O153" s="31" t="n"/>
    </row>
    <row r="154" hidden="1" outlineLevel="1" ht="13.5" customHeight="1">
      <c r="C154" s="43" t="inlineStr">
        <is>
          <t>(-) Debt Principal Repayment Upon Exit:</t>
        </is>
      </c>
      <c r="D154" s="112" t="n"/>
      <c r="E154" s="112" t="n"/>
      <c r="F154" s="112" t="n">
        <v>0</v>
      </c>
      <c r="G154" s="112" t="n">
        <v>0</v>
      </c>
      <c r="H154" s="112" t="n">
        <v>0</v>
      </c>
      <c r="I154" s="112" t="n">
        <v>0</v>
      </c>
      <c r="J154" s="112" t="n">
        <v>0</v>
      </c>
      <c r="K154" s="112" t="n">
        <v>0</v>
      </c>
      <c r="L154" s="112">
        <f>-L94</f>
        <v/>
      </c>
      <c r="M154" s="31" t="n"/>
      <c r="N154" s="31" t="n"/>
      <c r="O154" s="31" t="n"/>
    </row>
    <row r="155" hidden="1" outlineLevel="1" ht="13.5" customHeight="1">
      <c r="C155" s="43" t="inlineStr">
        <is>
          <t>(-) Initial Equity Investment:</t>
        </is>
      </c>
      <c r="D155" s="103" t="n"/>
      <c r="E155" s="103">
        <f>-Dashboard!$I$11</f>
        <v/>
      </c>
      <c r="F155" s="112" t="n">
        <v>0</v>
      </c>
      <c r="G155" s="112" t="n">
        <v>0</v>
      </c>
      <c r="H155" s="112" t="n">
        <v>0</v>
      </c>
      <c r="I155" s="112" t="n">
        <v>0</v>
      </c>
      <c r="J155" s="112" t="n">
        <v>0</v>
      </c>
      <c r="K155" s="112" t="n">
        <v>0</v>
      </c>
      <c r="L155" s="112" t="n">
        <v>0</v>
      </c>
      <c r="M155" s="31" t="n"/>
      <c r="N155" s="31" t="n"/>
      <c r="O155" s="31" t="n"/>
    </row>
    <row r="156" hidden="1" outlineLevel="1" ht="13.5" customHeight="1">
      <c r="C156" s="33" t="inlineStr">
        <is>
          <t>Total Cash Flows to Equity (Leveraged IRR):</t>
        </is>
      </c>
      <c r="D156" s="88" t="n"/>
      <c r="E156" s="88">
        <f>+SUM(E151:E155)</f>
        <v/>
      </c>
      <c r="F156" s="88">
        <f>+SUM(F151:F155)</f>
        <v/>
      </c>
      <c r="G156" s="88">
        <f>+SUM(G151:G155)</f>
        <v/>
      </c>
      <c r="H156" s="88">
        <f>+SUM(H151:H155)</f>
        <v/>
      </c>
      <c r="I156" s="88">
        <f>+SUM(I151:I155)</f>
        <v/>
      </c>
      <c r="J156" s="88">
        <f>+SUM(J151:J155)</f>
        <v/>
      </c>
      <c r="K156" s="88">
        <f>+SUM(K151:K155)</f>
        <v/>
      </c>
      <c r="L156" s="88">
        <f>+SUM(L151:L155)</f>
        <v/>
      </c>
      <c r="M156" s="31" t="n"/>
      <c r="N156" s="31" t="n"/>
      <c r="O156" s="31" t="n"/>
    </row>
    <row r="157" hidden="1" outlineLevel="2" ht="13.5" customHeight="1">
      <c r="C157" s="28" t="n"/>
      <c r="D157" s="99" t="n"/>
      <c r="E157" s="99" t="n"/>
      <c r="F157" s="100">
        <f>+F156-F151</f>
        <v/>
      </c>
      <c r="G157" s="100">
        <f>+G156-G151</f>
        <v/>
      </c>
      <c r="H157" s="100">
        <f>+H156-H151</f>
        <v/>
      </c>
      <c r="I157" s="100">
        <f>+I156-I151</f>
        <v/>
      </c>
      <c r="J157" s="100">
        <f>+J156-J151</f>
        <v/>
      </c>
      <c r="K157" s="100">
        <f>+K156-K151</f>
        <v/>
      </c>
      <c r="L157" s="100">
        <f>+L156-L151</f>
        <v/>
      </c>
      <c r="M157" s="31" t="n"/>
      <c r="N157" s="31" t="n"/>
      <c r="O157" s="31" t="n"/>
    </row>
    <row r="158" hidden="1" outlineLevel="1" collapsed="1" ht="5.1" customHeight="1">
      <c r="D158" s="28" t="n"/>
      <c r="E158" s="28" t="n"/>
      <c r="F158" s="100" t="n"/>
      <c r="G158" s="100" t="n"/>
      <c r="H158" s="100" t="n"/>
      <c r="I158" s="100" t="n"/>
      <c r="J158" s="100" t="n"/>
      <c r="K158" s="100" t="n"/>
      <c r="L158" s="100" t="n"/>
      <c r="M158" s="31" t="n"/>
      <c r="N158" s="31" t="n"/>
      <c r="O158" s="31" t="n"/>
    </row>
    <row r="159" hidden="1" outlineLevel="1" ht="13.5" customHeight="1">
      <c r="C159" s="113" t="inlineStr">
        <is>
          <t>Leveraged Internal Rate of Return (IRR):</t>
        </is>
      </c>
      <c r="D159" s="91" t="n"/>
      <c r="E159" s="114">
        <f>+IRR(E156:L156)</f>
        <v/>
      </c>
      <c r="G159" s="100" t="n"/>
      <c r="H159" s="100" t="n"/>
      <c r="I159" s="100" t="n"/>
      <c r="J159" s="100" t="n"/>
      <c r="K159" s="100" t="n"/>
      <c r="L159" s="100" t="n"/>
      <c r="M159" s="31" t="n"/>
      <c r="N159" s="31" t="n"/>
      <c r="O159" s="31" t="n"/>
    </row>
    <row r="160" hidden="1" outlineLevel="1" ht="13.5" customHeight="1">
      <c r="C160" s="115" t="inlineStr">
        <is>
          <t>Levered Cash-on-Cash Multiple:</t>
        </is>
      </c>
      <c r="D160" s="92" t="n"/>
      <c r="E160" s="604">
        <f>+SUM(F151:L154)/-SUM(E155:L155)</f>
        <v/>
      </c>
      <c r="G160" s="100" t="n"/>
      <c r="H160" s="100" t="n"/>
      <c r="I160" s="100" t="n"/>
      <c r="J160" s="100" t="n"/>
      <c r="K160" s="100" t="n"/>
      <c r="L160" s="100" t="n"/>
      <c r="M160" s="31" t="n"/>
      <c r="N160" s="31" t="n"/>
      <c r="O160" s="31" t="n"/>
    </row>
    <row r="161" hidden="1" outlineLevel="1" ht="13.5" customHeight="1"/>
    <row r="162" hidden="1" outlineLevel="1" ht="13.5" customHeight="1">
      <c r="C162" s="32" t="inlineStr">
        <is>
          <t>10 Year Hold IRR</t>
        </is>
      </c>
      <c r="D162" s="32" t="n"/>
      <c r="E162" s="602">
        <f>+'Scenario 0'!E163</f>
        <v/>
      </c>
      <c r="F162" s="602">
        <f>+'Scenario 0'!F163</f>
        <v/>
      </c>
      <c r="G162" s="602">
        <f>+'Scenario 0'!G163</f>
        <v/>
      </c>
      <c r="H162" s="602">
        <f>+'Scenario 0'!H163</f>
        <v/>
      </c>
      <c r="I162" s="602">
        <f>+'Scenario 0'!I163</f>
        <v/>
      </c>
      <c r="J162" s="602">
        <f>+'Scenario 0'!J163</f>
        <v/>
      </c>
      <c r="K162" s="602">
        <f>+'Scenario 0'!K163</f>
        <v/>
      </c>
      <c r="L162" s="602">
        <f>+'Scenario 0'!L163</f>
        <v/>
      </c>
      <c r="M162" s="602">
        <f>+'Scenario 0'!M163</f>
        <v/>
      </c>
      <c r="N162" s="602">
        <f>+'Scenario 0'!N163</f>
        <v/>
      </c>
      <c r="O162" s="602">
        <f>+'Scenario 0'!O163</f>
        <v/>
      </c>
    </row>
    <row r="163" hidden="1" outlineLevel="1" ht="5.1" customHeight="1">
      <c r="C163" s="39" t="n"/>
      <c r="D163" s="109" t="n"/>
      <c r="E163" s="603" t="n"/>
      <c r="F163" s="603" t="n"/>
      <c r="G163" s="603" t="n"/>
      <c r="H163" s="603" t="n"/>
      <c r="I163" s="603" t="n"/>
      <c r="J163" s="603" t="n"/>
      <c r="K163" s="603" t="n"/>
      <c r="L163" s="603" t="n"/>
      <c r="M163" s="603" t="n"/>
      <c r="N163" s="603" t="n"/>
      <c r="O163" s="603" t="n"/>
    </row>
    <row r="164" hidden="1" outlineLevel="1" ht="13.5" customHeight="1">
      <c r="C164" s="28" t="inlineStr">
        <is>
          <t>Project Cash Flows (Unleveraged IRR):</t>
        </is>
      </c>
      <c r="D164" s="28" t="n"/>
      <c r="E164" s="28" t="n"/>
      <c r="F164" s="100" t="n"/>
      <c r="G164" s="100" t="n"/>
      <c r="H164" s="100" t="n"/>
      <c r="I164" s="100" t="n"/>
      <c r="J164" s="100" t="n"/>
      <c r="K164" s="100" t="n"/>
      <c r="L164" s="100" t="n"/>
      <c r="M164" s="100" t="n"/>
      <c r="N164" s="100" t="n"/>
      <c r="O164" s="100" t="n"/>
    </row>
    <row r="165" hidden="1" outlineLevel="1" ht="13.5" customHeight="1">
      <c r="C165" s="43" t="inlineStr">
        <is>
          <t>(+) Proceeds from Sale of Property:</t>
        </is>
      </c>
      <c r="D165" s="111" t="n"/>
      <c r="E165" s="111" t="n"/>
      <c r="F165" s="111" t="n">
        <v>0</v>
      </c>
      <c r="G165" s="111" t="n">
        <v>0</v>
      </c>
      <c r="H165" s="111" t="n">
        <v>0</v>
      </c>
      <c r="I165" s="111" t="n">
        <v>0</v>
      </c>
      <c r="J165" s="111" t="n">
        <v>0</v>
      </c>
      <c r="K165" s="111" t="n">
        <v>0</v>
      </c>
      <c r="L165" s="111" t="n">
        <v>0</v>
      </c>
      <c r="M165" s="111" t="n">
        <v>0</v>
      </c>
      <c r="N165" s="111" t="n">
        <v>0</v>
      </c>
      <c r="O165" s="111">
        <f>+O$80/D$112</f>
        <v/>
      </c>
    </row>
    <row r="166" hidden="1" outlineLevel="1" ht="13.5" customHeight="1">
      <c r="C166" s="43" t="inlineStr">
        <is>
          <t>(-) Selling Costs:</t>
        </is>
      </c>
      <c r="D166" s="95">
        <f>+D116</f>
        <v/>
      </c>
      <c r="E166" s="112" t="n"/>
      <c r="F166" s="112" t="n">
        <v>0</v>
      </c>
      <c r="G166" s="112" t="n">
        <v>0</v>
      </c>
      <c r="H166" s="112" t="n">
        <v>0</v>
      </c>
      <c r="I166" s="112" t="n">
        <v>0</v>
      </c>
      <c r="J166" s="112" t="n">
        <v>0</v>
      </c>
      <c r="K166" s="112" t="n">
        <v>0</v>
      </c>
      <c r="L166" s="112" t="n">
        <v>0</v>
      </c>
      <c r="M166" s="112" t="n">
        <v>0</v>
      </c>
      <c r="N166" s="112" t="n">
        <v>0</v>
      </c>
      <c r="O166" s="112">
        <f>-O$165*D$166</f>
        <v/>
      </c>
    </row>
    <row r="167" hidden="1" outlineLevel="1" ht="13.5" customHeight="1">
      <c r="C167" s="43" t="inlineStr">
        <is>
          <t>(+) Adjusted NOI (Cash Flows to All Investors):</t>
        </is>
      </c>
      <c r="D167" s="112" t="n"/>
      <c r="E167" s="112" t="n"/>
      <c r="F167" s="23">
        <f>+F$88</f>
        <v/>
      </c>
      <c r="G167" s="23">
        <f>+G$88</f>
        <v/>
      </c>
      <c r="H167" s="23">
        <f>+H$88</f>
        <v/>
      </c>
      <c r="I167" s="23">
        <f>+I$88</f>
        <v/>
      </c>
      <c r="J167" s="23">
        <f>+J$88</f>
        <v/>
      </c>
      <c r="K167" s="23">
        <f>+K$88</f>
        <v/>
      </c>
      <c r="L167" s="23">
        <f>+L$88</f>
        <v/>
      </c>
      <c r="M167" s="23">
        <f>+M$88</f>
        <v/>
      </c>
      <c r="N167" s="23">
        <f>+N$88</f>
        <v/>
      </c>
      <c r="O167" s="23">
        <f>+O$88</f>
        <v/>
      </c>
    </row>
    <row r="168" hidden="1" outlineLevel="1" ht="13.5" customHeight="1">
      <c r="C168" s="43" t="inlineStr">
        <is>
          <t>(-) Property Acquisition Price:</t>
        </is>
      </c>
      <c r="E168" s="103">
        <f>-Dashboard!$E$32</f>
        <v/>
      </c>
      <c r="F168" s="112" t="n">
        <v>0</v>
      </c>
      <c r="G168" s="112" t="n">
        <v>0</v>
      </c>
      <c r="H168" s="112" t="n">
        <v>0</v>
      </c>
      <c r="I168" s="112" t="n">
        <v>0</v>
      </c>
      <c r="J168" s="112" t="n">
        <v>0</v>
      </c>
      <c r="K168" s="112" t="n">
        <v>0</v>
      </c>
      <c r="L168" s="112" t="n">
        <v>0</v>
      </c>
      <c r="M168" s="112" t="n">
        <v>0</v>
      </c>
      <c r="N168" s="112" t="n">
        <v>0</v>
      </c>
      <c r="O168" s="112" t="n">
        <v>0</v>
      </c>
    </row>
    <row r="169" hidden="1" outlineLevel="1" ht="13.5" customHeight="1">
      <c r="C169" s="33" t="inlineStr">
        <is>
          <t>Total Project Cash Flows (Unleveraged IRR):</t>
        </is>
      </c>
      <c r="D169" s="38" t="n"/>
      <c r="E169" s="88">
        <f>SUM(E165:E168)</f>
        <v/>
      </c>
      <c r="F169" s="88">
        <f>SUM(F165:F168)</f>
        <v/>
      </c>
      <c r="G169" s="88">
        <f>SUM(G165:G168)</f>
        <v/>
      </c>
      <c r="H169" s="88">
        <f>SUM(H165:H168)</f>
        <v/>
      </c>
      <c r="I169" s="88">
        <f>SUM(I165:I168)</f>
        <v/>
      </c>
      <c r="J169" s="88">
        <f>SUM(J165:J168)</f>
        <v/>
      </c>
      <c r="K169" s="88">
        <f>SUM(K165:K168)</f>
        <v/>
      </c>
      <c r="L169" s="88">
        <f>SUM(L165:L168)</f>
        <v/>
      </c>
      <c r="M169" s="88">
        <f>SUM(M165:M168)</f>
        <v/>
      </c>
      <c r="N169" s="88">
        <f>SUM(N165:N168)</f>
        <v/>
      </c>
      <c r="O169" s="88">
        <f>SUM(O165:O168)</f>
        <v/>
      </c>
    </row>
    <row r="170" hidden="1" outlineLevel="2" ht="13.5" customHeight="1">
      <c r="C170" s="28" t="n"/>
      <c r="E170" s="99" t="n"/>
      <c r="F170" s="100">
        <f>+F169-F165</f>
        <v/>
      </c>
      <c r="G170" s="100">
        <f>+G169-G165</f>
        <v/>
      </c>
      <c r="H170" s="100">
        <f>+H169-H165</f>
        <v/>
      </c>
      <c r="I170" s="100">
        <f>+I169-I165</f>
        <v/>
      </c>
      <c r="J170" s="100">
        <f>+J169-J165</f>
        <v/>
      </c>
      <c r="K170" s="100">
        <f>+K169-K165</f>
        <v/>
      </c>
      <c r="L170" s="100">
        <f>+L169-L165</f>
        <v/>
      </c>
      <c r="M170" s="100">
        <f>+M169-M165</f>
        <v/>
      </c>
      <c r="N170" s="100">
        <f>+N169-N165</f>
        <v/>
      </c>
      <c r="O170" s="100">
        <f>+O169-O165</f>
        <v/>
      </c>
    </row>
    <row r="171" hidden="1" outlineLevel="1" collapsed="1" ht="5.1" customHeight="1">
      <c r="D171" s="28" t="n"/>
      <c r="E171" s="28" t="n"/>
      <c r="F171" s="100" t="n"/>
      <c r="G171" s="100" t="n"/>
      <c r="H171" s="100" t="n"/>
      <c r="I171" s="100" t="n"/>
      <c r="J171" s="100" t="n"/>
      <c r="K171" s="100" t="n"/>
      <c r="L171" s="100" t="n"/>
      <c r="M171" s="100" t="n"/>
      <c r="N171" s="100" t="n"/>
      <c r="O171" s="100" t="n"/>
    </row>
    <row r="172" hidden="1" outlineLevel="1" ht="13.5" customHeight="1">
      <c r="C172" s="113" t="inlineStr">
        <is>
          <t>Unlevered IRR:</t>
        </is>
      </c>
      <c r="D172" s="91" t="n"/>
      <c r="E172" s="114">
        <f>+IRR(E169:O169)</f>
        <v/>
      </c>
      <c r="G172" s="100" t="n"/>
      <c r="H172" s="100" t="n"/>
      <c r="I172" s="100" t="n"/>
      <c r="J172" s="100" t="n"/>
      <c r="K172" s="100" t="n"/>
      <c r="L172" s="100" t="n"/>
      <c r="M172" s="100" t="n"/>
      <c r="N172" s="100" t="n"/>
      <c r="O172" s="100" t="n"/>
    </row>
    <row r="173" hidden="1" outlineLevel="1" ht="13.5" customHeight="1">
      <c r="C173" s="115" t="inlineStr">
        <is>
          <t>Unlevered Cash-on-Cash Multiple:</t>
        </is>
      </c>
      <c r="D173" s="92" t="n"/>
      <c r="E173" s="604">
        <f>+SUM(F165:O167)/-SUM(E168:O168)</f>
        <v/>
      </c>
      <c r="G173" s="100" t="n"/>
      <c r="H173" s="100" t="n"/>
      <c r="I173" s="100" t="n"/>
      <c r="J173" s="100" t="n"/>
      <c r="K173" s="100" t="n"/>
      <c r="L173" s="100" t="n"/>
      <c r="M173" s="100" t="n"/>
      <c r="N173" s="100" t="n"/>
      <c r="O173" s="100" t="n"/>
    </row>
    <row r="174" hidden="1" outlineLevel="1" ht="13.5" customHeight="1">
      <c r="D174" s="28" t="n"/>
      <c r="E174" s="28" t="n"/>
      <c r="F174" s="100" t="n"/>
      <c r="G174" s="100" t="n"/>
      <c r="H174" s="100" t="n"/>
      <c r="I174" s="100" t="n"/>
      <c r="J174" s="100" t="n"/>
      <c r="K174" s="100" t="n"/>
      <c r="L174" s="100" t="n"/>
      <c r="M174" s="100" t="n"/>
      <c r="N174" s="100" t="n"/>
      <c r="O174" s="100" t="n"/>
    </row>
    <row r="175" hidden="1" outlineLevel="1" ht="13.5" customHeight="1">
      <c r="C175" s="28" t="inlineStr">
        <is>
          <t>Cash Flow to Equity Investors (Leveraged IRR):</t>
        </is>
      </c>
      <c r="D175" s="28" t="n"/>
      <c r="E175" s="28" t="n"/>
      <c r="F175" s="100" t="n"/>
      <c r="G175" s="100" t="n"/>
      <c r="H175" s="100" t="n"/>
      <c r="I175" s="100" t="n"/>
      <c r="J175" s="100" t="n"/>
      <c r="K175" s="100" t="n"/>
      <c r="L175" s="100" t="n"/>
      <c r="M175" s="100" t="n"/>
      <c r="N175" s="100" t="n"/>
      <c r="O175" s="100" t="n"/>
    </row>
    <row r="176" hidden="1" outlineLevel="1" ht="13.5" customHeight="1">
      <c r="C176" s="43" t="inlineStr">
        <is>
          <t>(+) Proceeds from Sale of Property:</t>
        </is>
      </c>
      <c r="D176" s="111" t="n"/>
      <c r="E176" s="111" t="n"/>
      <c r="F176" s="111" t="n">
        <v>0</v>
      </c>
      <c r="G176" s="111" t="n">
        <v>0</v>
      </c>
      <c r="H176" s="111" t="n">
        <v>0</v>
      </c>
      <c r="I176" s="111" t="n">
        <v>0</v>
      </c>
      <c r="J176" s="111" t="n">
        <v>0</v>
      </c>
      <c r="K176" s="111" t="n">
        <v>0</v>
      </c>
      <c r="L176" s="111" t="n">
        <v>0</v>
      </c>
      <c r="M176" s="111" t="n">
        <v>0</v>
      </c>
      <c r="N176" s="111" t="n">
        <v>0</v>
      </c>
      <c r="O176" s="111">
        <f>+O$80/D$112</f>
        <v/>
      </c>
    </row>
    <row r="177" hidden="1" outlineLevel="1" ht="13.5" customHeight="1">
      <c r="C177" s="43" t="inlineStr">
        <is>
          <t>(-) Selling Costs:</t>
        </is>
      </c>
      <c r="D177" s="95">
        <f>+D127</f>
        <v/>
      </c>
      <c r="E177" s="112" t="n"/>
      <c r="F177" s="112" t="n">
        <v>0</v>
      </c>
      <c r="G177" s="112" t="n">
        <v>0</v>
      </c>
      <c r="H177" s="112" t="n">
        <v>0</v>
      </c>
      <c r="I177" s="112" t="n">
        <v>0</v>
      </c>
      <c r="J177" s="112" t="n">
        <v>0</v>
      </c>
      <c r="K177" s="112" t="n">
        <v>0</v>
      </c>
      <c r="L177" s="112" t="n">
        <v>0</v>
      </c>
      <c r="M177" s="112" t="n">
        <v>0</v>
      </c>
      <c r="N177" s="112" t="n">
        <v>0</v>
      </c>
      <c r="O177" s="112">
        <f>-O$165*D$166</f>
        <v/>
      </c>
    </row>
    <row r="178" hidden="1" outlineLevel="1" ht="13.5" customHeight="1">
      <c r="C178" s="43" t="inlineStr">
        <is>
          <t>(+) Cash Flows to Equity Investors:</t>
        </is>
      </c>
      <c r="E178" s="112" t="n"/>
      <c r="F178" s="23">
        <f>+F$92</f>
        <v/>
      </c>
      <c r="G178" s="23">
        <f>+G$92</f>
        <v/>
      </c>
      <c r="H178" s="23">
        <f>+H$92</f>
        <v/>
      </c>
      <c r="I178" s="23">
        <f>+I$92</f>
        <v/>
      </c>
      <c r="J178" s="23">
        <f>+J$92</f>
        <v/>
      </c>
      <c r="K178" s="23">
        <f>+K$92</f>
        <v/>
      </c>
      <c r="L178" s="23">
        <f>+L$92</f>
        <v/>
      </c>
      <c r="M178" s="23">
        <f>+M$92</f>
        <v/>
      </c>
      <c r="N178" s="23">
        <f>+N$92</f>
        <v/>
      </c>
      <c r="O178" s="23">
        <f>+O$92</f>
        <v/>
      </c>
    </row>
    <row r="179" hidden="1" outlineLevel="1" ht="13.5" customHeight="1">
      <c r="C179" s="43" t="inlineStr">
        <is>
          <t>(-) Debt Principal Repayment Upon Exit:</t>
        </is>
      </c>
      <c r="D179" s="112" t="n"/>
      <c r="E179" s="112" t="n"/>
      <c r="F179" s="112" t="n">
        <v>0</v>
      </c>
      <c r="G179" s="112" t="n">
        <v>0</v>
      </c>
      <c r="H179" s="112" t="n">
        <v>0</v>
      </c>
      <c r="I179" s="112" t="n">
        <v>0</v>
      </c>
      <c r="J179" s="112" t="n">
        <v>0</v>
      </c>
      <c r="K179" s="112" t="n">
        <v>0</v>
      </c>
      <c r="L179" s="112" t="n">
        <v>0</v>
      </c>
      <c r="M179" s="112" t="n">
        <v>0</v>
      </c>
      <c r="N179" s="112" t="n">
        <v>0</v>
      </c>
      <c r="O179" s="112">
        <f>-O94</f>
        <v/>
      </c>
    </row>
    <row r="180" hidden="1" outlineLevel="1" ht="13.5" customHeight="1">
      <c r="C180" s="43" t="inlineStr">
        <is>
          <t>(-) Initial Equity Investment:</t>
        </is>
      </c>
      <c r="D180" s="103" t="n"/>
      <c r="E180" s="103">
        <f>-Dashboard!$I$11</f>
        <v/>
      </c>
      <c r="F180" s="112" t="n">
        <v>0</v>
      </c>
      <c r="G180" s="112" t="n">
        <v>0</v>
      </c>
      <c r="H180" s="112" t="n">
        <v>0</v>
      </c>
      <c r="I180" s="112" t="n">
        <v>0</v>
      </c>
      <c r="J180" s="112" t="n">
        <v>0</v>
      </c>
      <c r="K180" s="112" t="n">
        <v>0</v>
      </c>
      <c r="L180" s="112" t="n">
        <v>0</v>
      </c>
      <c r="M180" s="112" t="n">
        <v>0</v>
      </c>
      <c r="N180" s="112" t="n">
        <v>0</v>
      </c>
      <c r="O180" s="112" t="n">
        <v>0</v>
      </c>
    </row>
    <row r="181" hidden="1" outlineLevel="1" ht="13.5" customHeight="1">
      <c r="C181" s="33" t="inlineStr">
        <is>
          <t>Total Cash Flows to Equity (Leveraged IRR):</t>
        </is>
      </c>
      <c r="D181" s="88" t="n"/>
      <c r="E181" s="88">
        <f>+SUM(E176:E180)</f>
        <v/>
      </c>
      <c r="F181" s="88">
        <f>+SUM(F176:F180)</f>
        <v/>
      </c>
      <c r="G181" s="88">
        <f>+SUM(G176:G180)</f>
        <v/>
      </c>
      <c r="H181" s="88">
        <f>+SUM(H176:H180)</f>
        <v/>
      </c>
      <c r="I181" s="88">
        <f>+SUM(I176:I180)</f>
        <v/>
      </c>
      <c r="J181" s="88">
        <f>+SUM(J176:J180)</f>
        <v/>
      </c>
      <c r="K181" s="88">
        <f>+SUM(K176:K180)</f>
        <v/>
      </c>
      <c r="L181" s="88">
        <f>+SUM(L176:L180)</f>
        <v/>
      </c>
      <c r="M181" s="88">
        <f>+SUM(M176:M180)</f>
        <v/>
      </c>
      <c r="N181" s="88">
        <f>+SUM(N176:N180)</f>
        <v/>
      </c>
      <c r="O181" s="88">
        <f>+SUM(O176:O180)</f>
        <v/>
      </c>
    </row>
    <row r="182" hidden="1" outlineLevel="2" ht="13.5" customHeight="1">
      <c r="C182" s="28" t="n"/>
      <c r="D182" s="99" t="n"/>
      <c r="E182" s="99" t="n"/>
      <c r="F182" s="100">
        <f>+F181-F176</f>
        <v/>
      </c>
      <c r="G182" s="100">
        <f>+G181-G176</f>
        <v/>
      </c>
      <c r="H182" s="100">
        <f>+H181-H176</f>
        <v/>
      </c>
      <c r="I182" s="100">
        <f>+I181-I176</f>
        <v/>
      </c>
      <c r="J182" s="100">
        <f>+J181-J176</f>
        <v/>
      </c>
      <c r="K182" s="100">
        <f>+K181-K176</f>
        <v/>
      </c>
      <c r="L182" s="100">
        <f>+L181-L176</f>
        <v/>
      </c>
      <c r="M182" s="100">
        <f>+M181-M176</f>
        <v/>
      </c>
      <c r="N182" s="100">
        <f>+N181-N176</f>
        <v/>
      </c>
      <c r="O182" s="100">
        <f>+O181-O176</f>
        <v/>
      </c>
    </row>
    <row r="183" hidden="1" outlineLevel="1" collapsed="1" ht="5.1" customHeight="1">
      <c r="D183" s="28" t="n"/>
      <c r="E183" s="28" t="n"/>
      <c r="F183" s="100" t="n"/>
      <c r="G183" s="100" t="n"/>
      <c r="H183" s="100" t="n"/>
      <c r="I183" s="100" t="n"/>
      <c r="J183" s="100" t="n"/>
      <c r="K183" s="100" t="n"/>
      <c r="L183" s="100" t="n"/>
      <c r="M183" s="100" t="n"/>
      <c r="N183" s="100" t="n"/>
      <c r="O183" s="100" t="n"/>
    </row>
    <row r="184" hidden="1" outlineLevel="1" ht="13.5" customHeight="1">
      <c r="C184" s="113" t="inlineStr">
        <is>
          <t>Leveraged Internal Rate of Return (IRR):</t>
        </is>
      </c>
      <c r="D184" s="91" t="n"/>
      <c r="E184" s="114">
        <f>+IRR(E181:O181)</f>
        <v/>
      </c>
      <c r="G184" s="100" t="n"/>
      <c r="H184" s="100" t="n"/>
      <c r="I184" s="100" t="n"/>
      <c r="J184" s="100" t="n"/>
      <c r="K184" s="100" t="n"/>
      <c r="L184" s="100" t="n"/>
      <c r="M184" s="100" t="n"/>
      <c r="N184" s="100" t="n"/>
      <c r="O184" s="100" t="n"/>
    </row>
    <row r="185" hidden="1" outlineLevel="1" ht="13.5" customHeight="1">
      <c r="C185" s="115" t="inlineStr">
        <is>
          <t>Levered Cash-on-Cash Multiple:</t>
        </is>
      </c>
      <c r="D185" s="92" t="n"/>
      <c r="E185" s="604">
        <f>+SUM(F176:O179)/-SUM(E180:O180)</f>
        <v/>
      </c>
      <c r="G185" s="100" t="n"/>
      <c r="H185" s="100" t="n"/>
      <c r="I185" s="100" t="n"/>
      <c r="J185" s="100" t="n"/>
      <c r="K185" s="100" t="n"/>
      <c r="L185" s="100" t="n"/>
      <c r="M185" s="100" t="n"/>
      <c r="N185" s="100" t="n"/>
      <c r="O185" s="100" t="n"/>
    </row>
    <row r="186" collapsed="1" ht="13.5" customHeight="1"/>
  </sheetData>
  <mergeCells count="9">
    <mergeCell ref="H1:H2"/>
    <mergeCell ref="C1:C2"/>
    <mergeCell ref="D1:D2"/>
    <mergeCell ref="G1:G2"/>
    <mergeCell ref="E1:E2"/>
    <mergeCell ref="F1:F2"/>
    <mergeCell ref="I1:I2"/>
    <mergeCell ref="P1:P2"/>
    <mergeCell ref="O1:O2"/>
  </mergeCells>
  <pageMargins left="0.7" right="0.7" top="0.75" bottom="0.75" header="0.3" footer="0.3"/>
  <pageSetup orientation="landscape" scale="17"/>
</worksheet>
</file>

<file path=xl/worksheets/sheet9.xml><?xml version="1.0" encoding="utf-8"?>
<worksheet xmlns="http://schemas.openxmlformats.org/spreadsheetml/2006/main">
  <sheetPr>
    <tabColor rgb="FF00274C"/>
    <outlinePr summaryBelow="1" summaryRight="1"/>
    <pageSetUpPr/>
  </sheetPr>
  <dimension ref="A1:A1"/>
  <sheetViews>
    <sheetView showGridLines="1" view="normal" zoomScale="60" zoomScaleNormal="100"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P233"/>
  <sheetViews>
    <sheetView showGridLines="1" view="normal" zoomScale="85" zoomScaleNormal="85" workbookViewId="0">
      <selection activeCell="I26" sqref="I26"/>
    </sheetView>
  </sheetViews>
  <sheetFormatPr baseColWidth="8" defaultColWidth="11.42578125" defaultRowHeight="15.75" customHeight="1"/>
  <cols>
    <col width="11.42578125" customWidth="1" style="132" min="1" max="1"/>
    <col width="15.7109375" customWidth="1" style="132" min="2" max="2"/>
    <col width="10.7109375" customWidth="1" style="132" min="3" max="3"/>
    <col width="7.7109375" customWidth="1" style="132" min="4" max="4"/>
    <col width="10.7109375" customWidth="1" style="132" min="5" max="13"/>
    <col width="11.42578125" customWidth="1" style="132" min="14" max="14"/>
    <col width="5.7109375" customWidth="1" style="132" min="15" max="15"/>
    <col width="11.42578125" customWidth="1" style="132" min="16" max="21"/>
    <col width="5.7109375" customWidth="1" style="132" min="22" max="22"/>
    <col width="11.42578125" customWidth="1" style="132" min="23" max="16384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>
      <c r="AK1" s="607" t="n"/>
      <c r="AL1" s="607" t="n"/>
      <c r="AM1" s="607" t="n"/>
      <c r="AN1" s="607" t="n"/>
      <c r="AO1" s="607" t="n"/>
      <c r="AP1" s="607" t="n"/>
    </row>
    <row r="2">
      <c r="AK2" s="607" t="n"/>
      <c r="AL2" s="607" t="n"/>
      <c r="AM2" s="607" t="n"/>
      <c r="AN2" s="607" t="n"/>
      <c r="AO2" s="607" t="n"/>
      <c r="AP2" s="607" t="n"/>
    </row>
    <row r="3" ht="15.75" customFormat="1" customHeight="1" s="167">
      <c r="B3" s="169" t="inlineStr">
        <is>
          <t>Scenario 0 (No Change to Asset)</t>
        </is>
      </c>
      <c r="C3" s="169" t="n"/>
      <c r="D3" s="169" t="n"/>
      <c r="E3" s="169" t="n"/>
      <c r="F3" s="169" t="n"/>
      <c r="G3" s="169" t="n"/>
      <c r="H3" s="169" t="n"/>
      <c r="I3" s="169" t="n"/>
      <c r="J3" s="169" t="n"/>
      <c r="K3" s="169" t="n"/>
      <c r="L3" s="169" t="n"/>
      <c r="M3" s="169" t="n"/>
      <c r="N3" s="169" t="n"/>
      <c r="P3" s="169" t="inlineStr">
        <is>
          <t>Scenario 1 ( Max Current Vouchers)</t>
        </is>
      </c>
      <c r="Q3" s="169" t="n"/>
      <c r="R3" s="169" t="n"/>
      <c r="S3" s="169" t="n"/>
      <c r="T3" s="169" t="n"/>
      <c r="U3" s="169" t="n"/>
      <c r="W3" s="169" t="inlineStr">
        <is>
          <t>Scenario 2 (Max Net LIHTC)</t>
        </is>
      </c>
      <c r="X3" s="169" t="n"/>
      <c r="Y3" s="169" t="n"/>
      <c r="Z3" s="169" t="n"/>
      <c r="AA3" s="169" t="n"/>
      <c r="AB3" s="169" t="n"/>
      <c r="AD3" s="169" t="inlineStr">
        <is>
          <t>Scenario 3 ( Max Current Vouchers + NET LIHTC)</t>
        </is>
      </c>
      <c r="AE3" s="169" t="n"/>
      <c r="AF3" s="169" t="n"/>
      <c r="AG3" s="169" t="n"/>
      <c r="AH3" s="169" t="n"/>
      <c r="AI3" s="169" t="n"/>
      <c r="AK3" s="169" t="inlineStr">
        <is>
          <t>Scenario 4 (Max Net LIHTC)</t>
        </is>
      </c>
      <c r="AL3" s="169" t="n"/>
      <c r="AM3" s="169" t="n"/>
      <c r="AN3" s="169" t="n"/>
      <c r="AO3" s="169" t="n"/>
      <c r="AP3" s="169" t="n"/>
    </row>
    <row r="4" ht="5.1" customHeight="1">
      <c r="AK4" s="607" t="n"/>
      <c r="AL4" s="607" t="n"/>
      <c r="AM4" s="607" t="n"/>
      <c r="AN4" s="607" t="n"/>
      <c r="AO4" s="607" t="n"/>
      <c r="AP4" s="607" t="n"/>
    </row>
    <row r="5" ht="15.75" customFormat="1" customHeight="1" s="167">
      <c r="B5" s="170" t="inlineStr">
        <is>
          <t>Year 1</t>
        </is>
      </c>
      <c r="C5" s="170" t="n"/>
      <c r="D5" s="170" t="n"/>
      <c r="E5" s="170" t="n"/>
      <c r="F5" s="170" t="n"/>
      <c r="G5" s="170" t="n"/>
      <c r="H5" s="170" t="n"/>
      <c r="I5" s="170" t="n"/>
      <c r="J5" s="170" t="n"/>
      <c r="K5" s="170" t="n"/>
      <c r="L5" s="170" t="n"/>
      <c r="M5" s="170" t="n"/>
      <c r="N5" s="170" t="n"/>
      <c r="P5" s="170">
        <f>+$B5</f>
        <v/>
      </c>
      <c r="Q5" s="170" t="n"/>
      <c r="R5" s="170" t="n"/>
      <c r="S5" s="170" t="n"/>
      <c r="T5" s="170" t="n"/>
      <c r="U5" s="170" t="n"/>
      <c r="W5" s="170">
        <f>+$B5</f>
        <v/>
      </c>
      <c r="X5" s="170" t="n"/>
      <c r="Y5" s="170" t="n"/>
      <c r="Z5" s="170" t="n"/>
      <c r="AA5" s="170" t="n"/>
      <c r="AB5" s="170" t="n"/>
      <c r="AD5" s="170">
        <f>+$B5</f>
        <v/>
      </c>
      <c r="AE5" s="170" t="n"/>
      <c r="AF5" s="170" t="n"/>
      <c r="AG5" s="170" t="n"/>
      <c r="AH5" s="170" t="n"/>
      <c r="AI5" s="170" t="n"/>
      <c r="AK5" s="170">
        <f>+$B5</f>
        <v/>
      </c>
      <c r="AL5" s="170" t="n"/>
      <c r="AM5" s="170" t="n"/>
      <c r="AN5" s="170" t="n"/>
      <c r="AO5" s="170" t="n"/>
      <c r="AP5" s="170" t="n"/>
    </row>
    <row r="6" ht="38.25" customFormat="1" customHeight="1" s="164">
      <c r="B6" s="543" t="inlineStr">
        <is>
          <t>Unit Type</t>
        </is>
      </c>
      <c r="C6" s="543" t="inlineStr">
        <is>
          <t>AMI / S8</t>
        </is>
      </c>
      <c r="D6" s="543" t="inlineStr">
        <is>
          <t># of Units</t>
        </is>
      </c>
      <c r="E6" s="543" t="inlineStr">
        <is>
          <t>Avg. SF</t>
        </is>
      </c>
      <c r="F6" s="543" t="inlineStr">
        <is>
          <t>Avg. Utilities</t>
        </is>
      </c>
      <c r="G6" s="544" t="inlineStr">
        <is>
          <t>Avg. Max LITHC</t>
        </is>
      </c>
      <c r="H6" s="543" t="inlineStr">
        <is>
          <t>Net LIHTC</t>
        </is>
      </c>
      <c r="I6" s="543" t="inlineStr">
        <is>
          <t>Avg. Max FMR</t>
        </is>
      </c>
      <c r="J6" s="543" t="inlineStr">
        <is>
          <t>Net FMR</t>
        </is>
      </c>
      <c r="K6" s="543" t="inlineStr">
        <is>
          <t>CoStar Rent</t>
        </is>
      </c>
      <c r="L6" s="543" t="inlineStr">
        <is>
          <t>Gross Rent</t>
        </is>
      </c>
      <c r="M6" s="543" t="inlineStr">
        <is>
          <t>Avg. Current Rent</t>
        </is>
      </c>
      <c r="N6" s="543" t="inlineStr">
        <is>
          <t>Yrly. Gross Income (Net Rent)</t>
        </is>
      </c>
      <c r="P6" s="543" t="inlineStr">
        <is>
          <t>Unit Type</t>
        </is>
      </c>
      <c r="Q6" s="543" t="inlineStr">
        <is>
          <t>AMI / S8</t>
        </is>
      </c>
      <c r="R6" s="543" t="inlineStr">
        <is>
          <t># of Units</t>
        </is>
      </c>
      <c r="S6" s="543" t="inlineStr">
        <is>
          <t>Avg. SF</t>
        </is>
      </c>
      <c r="T6" s="543" t="inlineStr">
        <is>
          <t>Avg. Utilities</t>
        </is>
      </c>
      <c r="U6" s="543" t="inlineStr">
        <is>
          <t>Max Current Vouchers</t>
        </is>
      </c>
      <c r="W6" s="543" t="inlineStr">
        <is>
          <t>Unit Type</t>
        </is>
      </c>
      <c r="X6" s="543" t="inlineStr">
        <is>
          <t>AMI / S8</t>
        </is>
      </c>
      <c r="Y6" s="543" t="inlineStr">
        <is>
          <t># of Units</t>
        </is>
      </c>
      <c r="Z6" s="543" t="inlineStr">
        <is>
          <t>Avg. SF</t>
        </is>
      </c>
      <c r="AA6" s="543" t="inlineStr">
        <is>
          <t>Avg. Utilities</t>
        </is>
      </c>
      <c r="AB6" s="543" t="inlineStr">
        <is>
          <t>Max NET LIHTC</t>
        </is>
      </c>
      <c r="AD6" s="543" t="inlineStr">
        <is>
          <t>Unit Type</t>
        </is>
      </c>
      <c r="AE6" s="543" t="inlineStr">
        <is>
          <t>AMI / S8</t>
        </is>
      </c>
      <c r="AF6" s="543" t="inlineStr">
        <is>
          <t># of Units</t>
        </is>
      </c>
      <c r="AG6" s="543" t="inlineStr">
        <is>
          <t>Avg. SF</t>
        </is>
      </c>
      <c r="AH6" s="543" t="inlineStr">
        <is>
          <t>Avg. Utilities</t>
        </is>
      </c>
      <c r="AI6" s="543" t="inlineStr">
        <is>
          <t xml:space="preserve">Max Current Vouchers + NET LIHTC </t>
        </is>
      </c>
      <c r="AK6" s="543" t="inlineStr">
        <is>
          <t>Unit Type</t>
        </is>
      </c>
      <c r="AL6" s="543" t="inlineStr">
        <is>
          <t>AMI / S8</t>
        </is>
      </c>
      <c r="AM6" s="543" t="inlineStr">
        <is>
          <t># of Units</t>
        </is>
      </c>
      <c r="AN6" s="543" t="inlineStr">
        <is>
          <t>Avg. SF</t>
        </is>
      </c>
      <c r="AO6" s="543" t="inlineStr">
        <is>
          <t>Avg. Utilities</t>
        </is>
      </c>
      <c r="AP6" s="543" t="inlineStr">
        <is>
          <t>Max Net LIHTC / Voucher Floor</t>
        </is>
      </c>
    </row>
    <row r="7" ht="15.75" customFormat="1" customHeight="1" s="120">
      <c r="B7" s="551">
        <f>'Rent Roll'!C13</f>
        <v/>
      </c>
      <c r="C7" s="552">
        <f>'Rent Roll'!D13</f>
        <v/>
      </c>
      <c r="D7" s="551">
        <f>'Rent Roll'!E13</f>
        <v/>
      </c>
      <c r="E7" s="553">
        <f>'Rent Roll'!F13</f>
        <v/>
      </c>
      <c r="F7" s="554">
        <f>'Rent Roll'!K13</f>
        <v/>
      </c>
      <c r="G7" s="555">
        <f>'Rent Roll'!M13</f>
        <v/>
      </c>
      <c r="H7" s="549">
        <f>+G7-F7</f>
        <v/>
      </c>
      <c r="I7" s="556">
        <f>'Rent Roll'!O13</f>
        <v/>
      </c>
      <c r="J7" s="557">
        <f>I7-F7</f>
        <v/>
      </c>
      <c r="K7" s="558">
        <f>'Rent Roll'!G13</f>
        <v/>
      </c>
      <c r="L7" s="559">
        <f>'Rent Roll'!L13</f>
        <v/>
      </c>
      <c r="M7" s="559">
        <f>'Rent Roll'!J13</f>
        <v/>
      </c>
      <c r="N7" s="548">
        <f>((M7*D7)*12)</f>
        <v/>
      </c>
      <c r="P7" s="545">
        <f>B7</f>
        <v/>
      </c>
      <c r="Q7" s="545">
        <f>C7</f>
        <v/>
      </c>
      <c r="R7" s="545">
        <f>D7</f>
        <v/>
      </c>
      <c r="S7" s="546">
        <f>E7</f>
        <v/>
      </c>
      <c r="T7" s="547">
        <f>F7</f>
        <v/>
      </c>
      <c r="U7" s="548">
        <f>((M7*R7)*12)</f>
        <v/>
      </c>
      <c r="W7" s="545">
        <f>B7</f>
        <v/>
      </c>
      <c r="X7" s="545">
        <f>C7</f>
        <v/>
      </c>
      <c r="Y7" s="545">
        <f>D7</f>
        <v/>
      </c>
      <c r="Z7" s="546">
        <f>E7</f>
        <v/>
      </c>
      <c r="AA7" s="547">
        <f>F7</f>
        <v/>
      </c>
      <c r="AB7" s="549">
        <f>((H7*Y7)*12)</f>
        <v/>
      </c>
      <c r="AD7" s="545">
        <f>B7</f>
        <v/>
      </c>
      <c r="AE7" s="545">
        <f>C7</f>
        <v/>
      </c>
      <c r="AF7" s="545">
        <f>D7</f>
        <v/>
      </c>
      <c r="AG7" s="546">
        <f>E7</f>
        <v/>
      </c>
      <c r="AH7" s="547">
        <f>F7</f>
        <v/>
      </c>
      <c r="AI7" s="548">
        <f>+MAX(U7,AB7)</f>
        <v/>
      </c>
      <c r="AK7" s="545">
        <f>B7</f>
        <v/>
      </c>
      <c r="AL7" s="545">
        <f>C7</f>
        <v/>
      </c>
      <c r="AM7" s="545">
        <f>D7</f>
        <v/>
      </c>
      <c r="AN7" s="546">
        <f>E7</f>
        <v/>
      </c>
      <c r="AO7" s="547">
        <f>F7</f>
        <v/>
      </c>
      <c r="AP7" s="548">
        <f>IF(G7&gt;0,MAX(U7,AB7),N7)</f>
        <v/>
      </c>
    </row>
    <row r="8" ht="15.75" customFormat="1" customHeight="1" s="120">
      <c r="B8" s="551">
        <f>'Rent Roll'!C14</f>
        <v/>
      </c>
      <c r="C8" s="552">
        <f>'Rent Roll'!D14</f>
        <v/>
      </c>
      <c r="D8" s="551">
        <f>'Rent Roll'!E14</f>
        <v/>
      </c>
      <c r="E8" s="553">
        <f>'Rent Roll'!F14</f>
        <v/>
      </c>
      <c r="F8" s="554">
        <f>'Rent Roll'!K14</f>
        <v/>
      </c>
      <c r="G8" s="555">
        <f>'Rent Roll'!M14</f>
        <v/>
      </c>
      <c r="H8" s="549">
        <f>+G8-F8</f>
        <v/>
      </c>
      <c r="I8" s="556">
        <f>'Rent Roll'!O14</f>
        <v/>
      </c>
      <c r="J8" s="557">
        <f>I8-F8</f>
        <v/>
      </c>
      <c r="K8" s="558">
        <f>'Rent Roll'!G14</f>
        <v/>
      </c>
      <c r="L8" s="559">
        <f>'Rent Roll'!L14</f>
        <v/>
      </c>
      <c r="M8" s="559">
        <f>'Rent Roll'!J14</f>
        <v/>
      </c>
      <c r="N8" s="548">
        <f>((M8*D8)*12)</f>
        <v/>
      </c>
      <c r="P8" s="545">
        <f>B8</f>
        <v/>
      </c>
      <c r="Q8" s="550">
        <f>C8</f>
        <v/>
      </c>
      <c r="R8" s="545">
        <f>D8</f>
        <v/>
      </c>
      <c r="S8" s="546">
        <f>E8</f>
        <v/>
      </c>
      <c r="T8" s="547">
        <f>F8</f>
        <v/>
      </c>
      <c r="U8" s="548">
        <f>((M8*R8)*12)</f>
        <v/>
      </c>
      <c r="W8" s="545">
        <f>B8</f>
        <v/>
      </c>
      <c r="X8" s="550">
        <f>C8</f>
        <v/>
      </c>
      <c r="Y8" s="545">
        <f>D8</f>
        <v/>
      </c>
      <c r="Z8" s="546">
        <f>E8</f>
        <v/>
      </c>
      <c r="AA8" s="547">
        <f>F8</f>
        <v/>
      </c>
      <c r="AB8" s="549">
        <f>((H8*Y8)*12)</f>
        <v/>
      </c>
      <c r="AD8" s="545">
        <f>B8</f>
        <v/>
      </c>
      <c r="AE8" s="550">
        <f>C8</f>
        <v/>
      </c>
      <c r="AF8" s="545">
        <f>D8</f>
        <v/>
      </c>
      <c r="AG8" s="546">
        <f>E8</f>
        <v/>
      </c>
      <c r="AH8" s="547">
        <f>F8</f>
        <v/>
      </c>
      <c r="AI8" s="548">
        <f>+MAX(U8,AB8)</f>
        <v/>
      </c>
      <c r="AK8" s="545">
        <f>B8</f>
        <v/>
      </c>
      <c r="AL8" s="550">
        <f>C8</f>
        <v/>
      </c>
      <c r="AM8" s="545">
        <f>D8</f>
        <v/>
      </c>
      <c r="AN8" s="546">
        <f>E8</f>
        <v/>
      </c>
      <c r="AO8" s="547">
        <f>F8</f>
        <v/>
      </c>
      <c r="AP8" s="548">
        <f>IF(G8&gt;0,MAX(U8,AB8),N8)</f>
        <v/>
      </c>
    </row>
    <row r="9" ht="15.75" customFormat="1" customHeight="1" s="120">
      <c r="B9" s="551">
        <f>'Rent Roll'!C15</f>
        <v/>
      </c>
      <c r="C9" s="552">
        <f>'Rent Roll'!D15</f>
        <v/>
      </c>
      <c r="D9" s="551">
        <f>'Rent Roll'!E15</f>
        <v/>
      </c>
      <c r="E9" s="553">
        <f>'Rent Roll'!F15</f>
        <v/>
      </c>
      <c r="F9" s="554">
        <f>'Rent Roll'!K15</f>
        <v/>
      </c>
      <c r="G9" s="555">
        <f>'Rent Roll'!M15</f>
        <v/>
      </c>
      <c r="H9" s="549">
        <f>+G9-F9</f>
        <v/>
      </c>
      <c r="I9" s="556">
        <f>'Rent Roll'!O15</f>
        <v/>
      </c>
      <c r="J9" s="557">
        <f>I9-F9</f>
        <v/>
      </c>
      <c r="K9" s="558">
        <f>'Rent Roll'!G15</f>
        <v/>
      </c>
      <c r="L9" s="559">
        <f>'Rent Roll'!L15</f>
        <v/>
      </c>
      <c r="M9" s="559">
        <f>'Rent Roll'!J15</f>
        <v/>
      </c>
      <c r="N9" s="548">
        <f>((M9*D9)*12)</f>
        <v/>
      </c>
      <c r="P9" s="545">
        <f>B9</f>
        <v/>
      </c>
      <c r="Q9" s="550">
        <f>C9</f>
        <v/>
      </c>
      <c r="R9" s="545">
        <f>D9</f>
        <v/>
      </c>
      <c r="S9" s="546">
        <f>E9</f>
        <v/>
      </c>
      <c r="T9" s="547">
        <f>F9</f>
        <v/>
      </c>
      <c r="U9" s="548">
        <f>((M9*R9)*12)</f>
        <v/>
      </c>
      <c r="W9" s="545">
        <f>B9</f>
        <v/>
      </c>
      <c r="X9" s="550">
        <f>C9</f>
        <v/>
      </c>
      <c r="Y9" s="545">
        <f>D9</f>
        <v/>
      </c>
      <c r="Z9" s="546">
        <f>E9</f>
        <v/>
      </c>
      <c r="AA9" s="547">
        <f>F9</f>
        <v/>
      </c>
      <c r="AB9" s="549">
        <f>((H9*Y9)*12)</f>
        <v/>
      </c>
      <c r="AD9" s="545">
        <f>B9</f>
        <v/>
      </c>
      <c r="AE9" s="550">
        <f>C9</f>
        <v/>
      </c>
      <c r="AF9" s="545">
        <f>D9</f>
        <v/>
      </c>
      <c r="AG9" s="546">
        <f>E9</f>
        <v/>
      </c>
      <c r="AH9" s="547">
        <f>F9</f>
        <v/>
      </c>
      <c r="AI9" s="548">
        <f>+MAX(U9,AB9)</f>
        <v/>
      </c>
      <c r="AK9" s="545">
        <f>B9</f>
        <v/>
      </c>
      <c r="AL9" s="550">
        <f>C9</f>
        <v/>
      </c>
      <c r="AM9" s="545">
        <f>D9</f>
        <v/>
      </c>
      <c r="AN9" s="546">
        <f>E9</f>
        <v/>
      </c>
      <c r="AO9" s="547">
        <f>F9</f>
        <v/>
      </c>
      <c r="AP9" s="548">
        <f>IF(G9&gt;0,MAX(U9,AB9),N9)</f>
        <v/>
      </c>
    </row>
    <row r="10" ht="15.75" customFormat="1" customHeight="1" s="120">
      <c r="B10" s="551">
        <f>'Rent Roll'!C16</f>
        <v/>
      </c>
      <c r="C10" s="552">
        <f>'Rent Roll'!D16</f>
        <v/>
      </c>
      <c r="D10" s="551">
        <f>'Rent Roll'!E16</f>
        <v/>
      </c>
      <c r="E10" s="553">
        <f>'Rent Roll'!F16</f>
        <v/>
      </c>
      <c r="F10" s="554">
        <f>'Rent Roll'!K16</f>
        <v/>
      </c>
      <c r="G10" s="555">
        <f>'Rent Roll'!M16</f>
        <v/>
      </c>
      <c r="H10" s="549">
        <f>+G10-F10</f>
        <v/>
      </c>
      <c r="I10" s="556">
        <f>'Rent Roll'!O16</f>
        <v/>
      </c>
      <c r="J10" s="557">
        <f>I10-F10</f>
        <v/>
      </c>
      <c r="K10" s="558">
        <f>'Rent Roll'!G16</f>
        <v/>
      </c>
      <c r="L10" s="559">
        <f>'Rent Roll'!L16</f>
        <v/>
      </c>
      <c r="M10" s="559">
        <f>'Rent Roll'!J16</f>
        <v/>
      </c>
      <c r="N10" s="548">
        <f>((M10*D10)*12)</f>
        <v/>
      </c>
      <c r="P10" s="545">
        <f>B10</f>
        <v/>
      </c>
      <c r="Q10" s="550">
        <f>C10</f>
        <v/>
      </c>
      <c r="R10" s="545">
        <f>D10</f>
        <v/>
      </c>
      <c r="S10" s="546">
        <f>E10</f>
        <v/>
      </c>
      <c r="T10" s="547">
        <f>F10</f>
        <v/>
      </c>
      <c r="U10" s="548">
        <f>((M10*R10)*12)</f>
        <v/>
      </c>
      <c r="W10" s="545">
        <f>B10</f>
        <v/>
      </c>
      <c r="X10" s="550">
        <f>C10</f>
        <v/>
      </c>
      <c r="Y10" s="545">
        <f>D10</f>
        <v/>
      </c>
      <c r="Z10" s="546">
        <f>E10</f>
        <v/>
      </c>
      <c r="AA10" s="547">
        <f>F10</f>
        <v/>
      </c>
      <c r="AB10" s="549">
        <f>((H10*Y10)*12)</f>
        <v/>
      </c>
      <c r="AD10" s="545">
        <f>B10</f>
        <v/>
      </c>
      <c r="AE10" s="550">
        <f>C10</f>
        <v/>
      </c>
      <c r="AF10" s="545">
        <f>D10</f>
        <v/>
      </c>
      <c r="AG10" s="546">
        <f>E10</f>
        <v/>
      </c>
      <c r="AH10" s="547">
        <f>F10</f>
        <v/>
      </c>
      <c r="AI10" s="548">
        <f>+MAX(U10,AB10)</f>
        <v/>
      </c>
      <c r="AK10" s="545">
        <f>B10</f>
        <v/>
      </c>
      <c r="AL10" s="550">
        <f>C10</f>
        <v/>
      </c>
      <c r="AM10" s="545">
        <f>D10</f>
        <v/>
      </c>
      <c r="AN10" s="546">
        <f>E10</f>
        <v/>
      </c>
      <c r="AO10" s="547">
        <f>F10</f>
        <v/>
      </c>
      <c r="AP10" s="548">
        <f>IF(G10&gt;0,MAX(U10,AB10),N10)</f>
        <v/>
      </c>
    </row>
    <row r="11" ht="15.75" customFormat="1" customHeight="1" s="120">
      <c r="B11" s="551">
        <f>'Rent Roll'!C17</f>
        <v/>
      </c>
      <c r="C11" s="552">
        <f>'Rent Roll'!D17</f>
        <v/>
      </c>
      <c r="D11" s="551">
        <f>'Rent Roll'!E17</f>
        <v/>
      </c>
      <c r="E11" s="553">
        <f>'Rent Roll'!F17</f>
        <v/>
      </c>
      <c r="F11" s="554">
        <f>'Rent Roll'!K17</f>
        <v/>
      </c>
      <c r="G11" s="555">
        <f>'Rent Roll'!M17</f>
        <v/>
      </c>
      <c r="H11" s="549">
        <f>+G11-F11</f>
        <v/>
      </c>
      <c r="I11" s="556">
        <f>'Rent Roll'!O17</f>
        <v/>
      </c>
      <c r="J11" s="557">
        <f>I11-F11</f>
        <v/>
      </c>
      <c r="K11" s="558">
        <f>'Rent Roll'!G17</f>
        <v/>
      </c>
      <c r="L11" s="559">
        <f>'Rent Roll'!L17</f>
        <v/>
      </c>
      <c r="M11" s="559">
        <f>'Rent Roll'!J17</f>
        <v/>
      </c>
      <c r="N11" s="548">
        <f>((M11*D11)*12)</f>
        <v/>
      </c>
      <c r="P11" s="545">
        <f>B11</f>
        <v/>
      </c>
      <c r="Q11" s="550">
        <f>C11</f>
        <v/>
      </c>
      <c r="R11" s="545">
        <f>D11</f>
        <v/>
      </c>
      <c r="S11" s="546">
        <f>E11</f>
        <v/>
      </c>
      <c r="T11" s="547">
        <f>F11</f>
        <v/>
      </c>
      <c r="U11" s="548">
        <f>((M11*R11)*12)</f>
        <v/>
      </c>
      <c r="W11" s="545">
        <f>B11</f>
        <v/>
      </c>
      <c r="X11" s="550">
        <f>C11</f>
        <v/>
      </c>
      <c r="Y11" s="545">
        <f>D11</f>
        <v/>
      </c>
      <c r="Z11" s="546">
        <f>E11</f>
        <v/>
      </c>
      <c r="AA11" s="547">
        <f>F11</f>
        <v/>
      </c>
      <c r="AB11" s="549">
        <f>((H11*Y11)*12)</f>
        <v/>
      </c>
      <c r="AD11" s="545">
        <f>B11</f>
        <v/>
      </c>
      <c r="AE11" s="550">
        <f>C11</f>
        <v/>
      </c>
      <c r="AF11" s="545">
        <f>D11</f>
        <v/>
      </c>
      <c r="AG11" s="546">
        <f>E11</f>
        <v/>
      </c>
      <c r="AH11" s="547">
        <f>F11</f>
        <v/>
      </c>
      <c r="AI11" s="548">
        <f>+MAX(U11,AB11)</f>
        <v/>
      </c>
      <c r="AK11" s="545">
        <f>B11</f>
        <v/>
      </c>
      <c r="AL11" s="550">
        <f>C11</f>
        <v/>
      </c>
      <c r="AM11" s="545">
        <f>D11</f>
        <v/>
      </c>
      <c r="AN11" s="546">
        <f>E11</f>
        <v/>
      </c>
      <c r="AO11" s="547">
        <f>F11</f>
        <v/>
      </c>
      <c r="AP11" s="548">
        <f>IF(G11&gt;0,MAX(U11,AB11),N11)</f>
        <v/>
      </c>
    </row>
    <row r="12" ht="15.75" customFormat="1" customHeight="1" s="120">
      <c r="B12" s="551">
        <f>'Rent Roll'!C18</f>
        <v/>
      </c>
      <c r="C12" s="552">
        <f>'Rent Roll'!D18</f>
        <v/>
      </c>
      <c r="D12" s="551">
        <f>'Rent Roll'!E18</f>
        <v/>
      </c>
      <c r="E12" s="553">
        <f>'Rent Roll'!F18</f>
        <v/>
      </c>
      <c r="F12" s="554">
        <f>'Rent Roll'!K18</f>
        <v/>
      </c>
      <c r="G12" s="555">
        <f>'Rent Roll'!M18</f>
        <v/>
      </c>
      <c r="H12" s="549">
        <f>+G12-F12</f>
        <v/>
      </c>
      <c r="I12" s="556">
        <f>'Rent Roll'!O18</f>
        <v/>
      </c>
      <c r="J12" s="557">
        <f>I12-F12</f>
        <v/>
      </c>
      <c r="K12" s="558">
        <f>'Rent Roll'!G18</f>
        <v/>
      </c>
      <c r="L12" s="559">
        <f>'Rent Roll'!L18</f>
        <v/>
      </c>
      <c r="M12" s="559">
        <f>'Rent Roll'!J18</f>
        <v/>
      </c>
      <c r="N12" s="548">
        <f>((M12*D12)*12)</f>
        <v/>
      </c>
      <c r="P12" s="545">
        <f>B12</f>
        <v/>
      </c>
      <c r="Q12" s="550">
        <f>C12</f>
        <v/>
      </c>
      <c r="R12" s="545">
        <f>D12</f>
        <v/>
      </c>
      <c r="S12" s="546">
        <f>E12</f>
        <v/>
      </c>
      <c r="T12" s="547">
        <f>F12</f>
        <v/>
      </c>
      <c r="U12" s="548">
        <f>((M12*R12)*12)</f>
        <v/>
      </c>
      <c r="W12" s="545">
        <f>B12</f>
        <v/>
      </c>
      <c r="X12" s="550">
        <f>C12</f>
        <v/>
      </c>
      <c r="Y12" s="545">
        <f>D12</f>
        <v/>
      </c>
      <c r="Z12" s="546">
        <f>E12</f>
        <v/>
      </c>
      <c r="AA12" s="547">
        <f>F12</f>
        <v/>
      </c>
      <c r="AB12" s="549">
        <f>((H12*Y12)*12)</f>
        <v/>
      </c>
      <c r="AD12" s="545">
        <f>B12</f>
        <v/>
      </c>
      <c r="AE12" s="550">
        <f>C12</f>
        <v/>
      </c>
      <c r="AF12" s="545">
        <f>D12</f>
        <v/>
      </c>
      <c r="AG12" s="546">
        <f>E12</f>
        <v/>
      </c>
      <c r="AH12" s="547">
        <f>F12</f>
        <v/>
      </c>
      <c r="AI12" s="548">
        <f>+MAX(U12,AB12)</f>
        <v/>
      </c>
      <c r="AK12" s="545">
        <f>B12</f>
        <v/>
      </c>
      <c r="AL12" s="550">
        <f>C12</f>
        <v/>
      </c>
      <c r="AM12" s="545">
        <f>D12</f>
        <v/>
      </c>
      <c r="AN12" s="546">
        <f>E12</f>
        <v/>
      </c>
      <c r="AO12" s="547">
        <f>F12</f>
        <v/>
      </c>
      <c r="AP12" s="548">
        <f>IF(G12&gt;0,MAX(U12,AB12),N12)</f>
        <v/>
      </c>
    </row>
    <row r="13" ht="15.75" customFormat="1" customHeight="1" s="120">
      <c r="B13" s="551">
        <f>'Rent Roll'!C19</f>
        <v/>
      </c>
      <c r="C13" s="552">
        <f>'Rent Roll'!D19</f>
        <v/>
      </c>
      <c r="D13" s="551">
        <f>'Rent Roll'!E19</f>
        <v/>
      </c>
      <c r="E13" s="553">
        <f>'Rent Roll'!F19</f>
        <v/>
      </c>
      <c r="F13" s="554">
        <f>'Rent Roll'!K19</f>
        <v/>
      </c>
      <c r="G13" s="555">
        <f>'Rent Roll'!M19</f>
        <v/>
      </c>
      <c r="H13" s="549">
        <f>+G13-F13</f>
        <v/>
      </c>
      <c r="I13" s="556">
        <f>'Rent Roll'!O19</f>
        <v/>
      </c>
      <c r="J13" s="557">
        <f>I13-F13</f>
        <v/>
      </c>
      <c r="K13" s="558">
        <f>'Rent Roll'!G19</f>
        <v/>
      </c>
      <c r="L13" s="559">
        <f>'Rent Roll'!L19</f>
        <v/>
      </c>
      <c r="M13" s="559">
        <f>'Rent Roll'!J19</f>
        <v/>
      </c>
      <c r="N13" s="548">
        <f>((M13*D13)*12)</f>
        <v/>
      </c>
      <c r="P13" s="545">
        <f>B13</f>
        <v/>
      </c>
      <c r="Q13" s="550">
        <f>C13</f>
        <v/>
      </c>
      <c r="R13" s="545">
        <f>D13</f>
        <v/>
      </c>
      <c r="S13" s="546">
        <f>E13</f>
        <v/>
      </c>
      <c r="T13" s="547">
        <f>F13</f>
        <v/>
      </c>
      <c r="U13" s="548">
        <f>((M13*R13)*12)</f>
        <v/>
      </c>
      <c r="W13" s="545">
        <f>B13</f>
        <v/>
      </c>
      <c r="X13" s="550">
        <f>C13</f>
        <v/>
      </c>
      <c r="Y13" s="545">
        <f>D13</f>
        <v/>
      </c>
      <c r="Z13" s="546">
        <f>E13</f>
        <v/>
      </c>
      <c r="AA13" s="547">
        <f>F13</f>
        <v/>
      </c>
      <c r="AB13" s="549">
        <f>((H13*Y13)*12)</f>
        <v/>
      </c>
      <c r="AD13" s="545">
        <f>B13</f>
        <v/>
      </c>
      <c r="AE13" s="550">
        <f>C13</f>
        <v/>
      </c>
      <c r="AF13" s="545">
        <f>D13</f>
        <v/>
      </c>
      <c r="AG13" s="546">
        <f>E13</f>
        <v/>
      </c>
      <c r="AH13" s="547">
        <f>F13</f>
        <v/>
      </c>
      <c r="AI13" s="548">
        <f>+MAX(U13,AB13)</f>
        <v/>
      </c>
      <c r="AK13" s="545">
        <f>B13</f>
        <v/>
      </c>
      <c r="AL13" s="550">
        <f>C13</f>
        <v/>
      </c>
      <c r="AM13" s="545">
        <f>D13</f>
        <v/>
      </c>
      <c r="AN13" s="546">
        <f>E13</f>
        <v/>
      </c>
      <c r="AO13" s="547">
        <f>F13</f>
        <v/>
      </c>
      <c r="AP13" s="548">
        <f>IF(G13&gt;0,MAX(U13,AB13),N13)</f>
        <v/>
      </c>
    </row>
    <row r="14" ht="15.75" customFormat="1" customHeight="1" s="120">
      <c r="B14" s="551">
        <f>'Rent Roll'!C20</f>
        <v/>
      </c>
      <c r="C14" s="552">
        <f>'Rent Roll'!D20</f>
        <v/>
      </c>
      <c r="D14" s="551">
        <f>'Rent Roll'!E20</f>
        <v/>
      </c>
      <c r="E14" s="553">
        <f>'Rent Roll'!F20</f>
        <v/>
      </c>
      <c r="F14" s="554">
        <f>'Rent Roll'!K20</f>
        <v/>
      </c>
      <c r="G14" s="555">
        <f>'Rent Roll'!M20</f>
        <v/>
      </c>
      <c r="H14" s="549">
        <f>+G14-F14</f>
        <v/>
      </c>
      <c r="I14" s="556">
        <f>'Rent Roll'!O20</f>
        <v/>
      </c>
      <c r="J14" s="557">
        <f>I14-F14</f>
        <v/>
      </c>
      <c r="K14" s="558">
        <f>'Rent Roll'!G20</f>
        <v/>
      </c>
      <c r="L14" s="559">
        <f>'Rent Roll'!L20</f>
        <v/>
      </c>
      <c r="M14" s="559">
        <f>'Rent Roll'!J20</f>
        <v/>
      </c>
      <c r="N14" s="548">
        <f>((M14*D14)*12)</f>
        <v/>
      </c>
      <c r="P14" s="545">
        <f>B14</f>
        <v/>
      </c>
      <c r="Q14" s="550">
        <f>C14</f>
        <v/>
      </c>
      <c r="R14" s="545">
        <f>D14</f>
        <v/>
      </c>
      <c r="S14" s="546">
        <f>E14</f>
        <v/>
      </c>
      <c r="T14" s="547">
        <f>F14</f>
        <v/>
      </c>
      <c r="U14" s="548">
        <f>((M14*R14)*12)</f>
        <v/>
      </c>
      <c r="W14" s="545">
        <f>B14</f>
        <v/>
      </c>
      <c r="X14" s="550">
        <f>C14</f>
        <v/>
      </c>
      <c r="Y14" s="545">
        <f>D14</f>
        <v/>
      </c>
      <c r="Z14" s="546">
        <f>E14</f>
        <v/>
      </c>
      <c r="AA14" s="547">
        <f>F14</f>
        <v/>
      </c>
      <c r="AB14" s="549">
        <f>((H14*Y14)*12)</f>
        <v/>
      </c>
      <c r="AD14" s="545">
        <f>B14</f>
        <v/>
      </c>
      <c r="AE14" s="550">
        <f>C14</f>
        <v/>
      </c>
      <c r="AF14" s="545">
        <f>D14</f>
        <v/>
      </c>
      <c r="AG14" s="546">
        <f>E14</f>
        <v/>
      </c>
      <c r="AH14" s="547">
        <f>F14</f>
        <v/>
      </c>
      <c r="AI14" s="548">
        <f>+MAX(U14,AB14)</f>
        <v/>
      </c>
      <c r="AK14" s="545">
        <f>B14</f>
        <v/>
      </c>
      <c r="AL14" s="550">
        <f>C14</f>
        <v/>
      </c>
      <c r="AM14" s="545">
        <f>D14</f>
        <v/>
      </c>
      <c r="AN14" s="546">
        <f>E14</f>
        <v/>
      </c>
      <c r="AO14" s="547">
        <f>F14</f>
        <v/>
      </c>
      <c r="AP14" s="548">
        <f>IF(G14&gt;0,MAX(U14,AB14),N14)</f>
        <v/>
      </c>
    </row>
    <row r="15" ht="15.75" customFormat="1" customHeight="1" s="120">
      <c r="B15" s="551">
        <f>'Rent Roll'!C21</f>
        <v/>
      </c>
      <c r="C15" s="552">
        <f>'Rent Roll'!D21</f>
        <v/>
      </c>
      <c r="D15" s="551">
        <f>'Rent Roll'!E21</f>
        <v/>
      </c>
      <c r="E15" s="553">
        <f>'Rent Roll'!F21</f>
        <v/>
      </c>
      <c r="F15" s="554">
        <f>'Rent Roll'!K21</f>
        <v/>
      </c>
      <c r="G15" s="555">
        <f>'Rent Roll'!M21</f>
        <v/>
      </c>
      <c r="H15" s="549">
        <f>+G15-F15</f>
        <v/>
      </c>
      <c r="I15" s="556">
        <f>'Rent Roll'!O21</f>
        <v/>
      </c>
      <c r="J15" s="557">
        <f>I15-F15</f>
        <v/>
      </c>
      <c r="K15" s="558">
        <f>'Rent Roll'!G21</f>
        <v/>
      </c>
      <c r="L15" s="559">
        <f>'Rent Roll'!L21</f>
        <v/>
      </c>
      <c r="M15" s="559">
        <f>'Rent Roll'!J21</f>
        <v/>
      </c>
      <c r="N15" s="548">
        <f>((M15*D15)*12)</f>
        <v/>
      </c>
      <c r="P15" s="545">
        <f>B15</f>
        <v/>
      </c>
      <c r="Q15" s="550">
        <f>C15</f>
        <v/>
      </c>
      <c r="R15" s="545">
        <f>D15</f>
        <v/>
      </c>
      <c r="S15" s="546">
        <f>E15</f>
        <v/>
      </c>
      <c r="T15" s="547">
        <f>F15</f>
        <v/>
      </c>
      <c r="U15" s="548">
        <f>((M15*R15)*12)</f>
        <v/>
      </c>
      <c r="W15" s="545">
        <f>B15</f>
        <v/>
      </c>
      <c r="X15" s="550">
        <f>C15</f>
        <v/>
      </c>
      <c r="Y15" s="545">
        <f>D15</f>
        <v/>
      </c>
      <c r="Z15" s="546">
        <f>E15</f>
        <v/>
      </c>
      <c r="AA15" s="547">
        <f>F15</f>
        <v/>
      </c>
      <c r="AB15" s="549">
        <f>((H15*Y15)*12)</f>
        <v/>
      </c>
      <c r="AD15" s="545">
        <f>B15</f>
        <v/>
      </c>
      <c r="AE15" s="550">
        <f>C15</f>
        <v/>
      </c>
      <c r="AF15" s="545">
        <f>D15</f>
        <v/>
      </c>
      <c r="AG15" s="546">
        <f>E15</f>
        <v/>
      </c>
      <c r="AH15" s="547">
        <f>F15</f>
        <v/>
      </c>
      <c r="AI15" s="548">
        <f>+MAX(U15,AB15)</f>
        <v/>
      </c>
      <c r="AK15" s="545">
        <f>B15</f>
        <v/>
      </c>
      <c r="AL15" s="550">
        <f>C15</f>
        <v/>
      </c>
      <c r="AM15" s="545">
        <f>D15</f>
        <v/>
      </c>
      <c r="AN15" s="546">
        <f>E15</f>
        <v/>
      </c>
      <c r="AO15" s="547">
        <f>F15</f>
        <v/>
      </c>
      <c r="AP15" s="548">
        <f>IF(G15&gt;0,MAX(U15,AB15),N15)</f>
        <v/>
      </c>
    </row>
    <row r="16" ht="15.75" customFormat="1" customHeight="1" s="120">
      <c r="B16" s="551">
        <f>'Rent Roll'!C22</f>
        <v/>
      </c>
      <c r="C16" s="552">
        <f>'Rent Roll'!D22</f>
        <v/>
      </c>
      <c r="D16" s="551">
        <f>'Rent Roll'!E22</f>
        <v/>
      </c>
      <c r="E16" s="553">
        <f>'Rent Roll'!F22</f>
        <v/>
      </c>
      <c r="F16" s="554">
        <f>'Rent Roll'!K22</f>
        <v/>
      </c>
      <c r="G16" s="555">
        <f>'Rent Roll'!M22</f>
        <v/>
      </c>
      <c r="H16" s="549">
        <f>+G16-F16</f>
        <v/>
      </c>
      <c r="I16" s="556">
        <f>'Rent Roll'!O22</f>
        <v/>
      </c>
      <c r="J16" s="557">
        <f>I16-F16</f>
        <v/>
      </c>
      <c r="K16" s="558">
        <f>'Rent Roll'!G22</f>
        <v/>
      </c>
      <c r="L16" s="559">
        <f>'Rent Roll'!L22</f>
        <v/>
      </c>
      <c r="M16" s="559">
        <f>'Rent Roll'!J22</f>
        <v/>
      </c>
      <c r="N16" s="548">
        <f>((M16*D16)*12)</f>
        <v/>
      </c>
      <c r="P16" s="545">
        <f>B16</f>
        <v/>
      </c>
      <c r="Q16" s="550">
        <f>C16</f>
        <v/>
      </c>
      <c r="R16" s="545">
        <f>D16</f>
        <v/>
      </c>
      <c r="S16" s="546">
        <f>E16</f>
        <v/>
      </c>
      <c r="T16" s="547">
        <f>F16</f>
        <v/>
      </c>
      <c r="U16" s="548">
        <f>((M16*R16)*12)</f>
        <v/>
      </c>
      <c r="W16" s="545">
        <f>B16</f>
        <v/>
      </c>
      <c r="X16" s="550">
        <f>C16</f>
        <v/>
      </c>
      <c r="Y16" s="545">
        <f>D16</f>
        <v/>
      </c>
      <c r="Z16" s="546">
        <f>E16</f>
        <v/>
      </c>
      <c r="AA16" s="547">
        <f>F16</f>
        <v/>
      </c>
      <c r="AB16" s="549">
        <f>((H16*Y16)*12)</f>
        <v/>
      </c>
      <c r="AD16" s="545">
        <f>B16</f>
        <v/>
      </c>
      <c r="AE16" s="550">
        <f>C16</f>
        <v/>
      </c>
      <c r="AF16" s="545">
        <f>D16</f>
        <v/>
      </c>
      <c r="AG16" s="546">
        <f>E16</f>
        <v/>
      </c>
      <c r="AH16" s="547">
        <f>F16</f>
        <v/>
      </c>
      <c r="AI16" s="548">
        <f>+MAX(U16,AB16)</f>
        <v/>
      </c>
      <c r="AK16" s="545">
        <f>B16</f>
        <v/>
      </c>
      <c r="AL16" s="550">
        <f>C16</f>
        <v/>
      </c>
      <c r="AM16" s="545">
        <f>D16</f>
        <v/>
      </c>
      <c r="AN16" s="546">
        <f>E16</f>
        <v/>
      </c>
      <c r="AO16" s="547">
        <f>F16</f>
        <v/>
      </c>
      <c r="AP16" s="548">
        <f>IF(G16&gt;0,MAX(U16,AB16),N16)</f>
        <v/>
      </c>
    </row>
    <row r="17" ht="15.75" customFormat="1" customHeight="1" s="120">
      <c r="B17" s="551">
        <f>'Rent Roll'!C23</f>
        <v/>
      </c>
      <c r="C17" s="552">
        <f>'Rent Roll'!D23</f>
        <v/>
      </c>
      <c r="D17" s="551">
        <f>'Rent Roll'!E23</f>
        <v/>
      </c>
      <c r="E17" s="553">
        <f>'Rent Roll'!F23</f>
        <v/>
      </c>
      <c r="F17" s="554">
        <f>'Rent Roll'!K23</f>
        <v/>
      </c>
      <c r="G17" s="555">
        <f>'Rent Roll'!M23</f>
        <v/>
      </c>
      <c r="H17" s="549">
        <f>+G17-F17</f>
        <v/>
      </c>
      <c r="I17" s="556">
        <f>'Rent Roll'!O23</f>
        <v/>
      </c>
      <c r="J17" s="557">
        <f>I17-F17</f>
        <v/>
      </c>
      <c r="K17" s="558">
        <f>'Rent Roll'!G23</f>
        <v/>
      </c>
      <c r="L17" s="559">
        <f>'Rent Roll'!L23</f>
        <v/>
      </c>
      <c r="M17" s="559">
        <f>'Rent Roll'!J23</f>
        <v/>
      </c>
      <c r="N17" s="548">
        <f>((M17*D17)*12)</f>
        <v/>
      </c>
      <c r="P17" s="545">
        <f>B17</f>
        <v/>
      </c>
      <c r="Q17" s="550">
        <f>C17</f>
        <v/>
      </c>
      <c r="R17" s="545">
        <f>D17</f>
        <v/>
      </c>
      <c r="S17" s="546">
        <f>E17</f>
        <v/>
      </c>
      <c r="T17" s="547">
        <f>F17</f>
        <v/>
      </c>
      <c r="U17" s="548">
        <f>((M17*R17)*12)</f>
        <v/>
      </c>
      <c r="W17" s="545">
        <f>B17</f>
        <v/>
      </c>
      <c r="X17" s="550">
        <f>C17</f>
        <v/>
      </c>
      <c r="Y17" s="545">
        <f>D17</f>
        <v/>
      </c>
      <c r="Z17" s="546">
        <f>E17</f>
        <v/>
      </c>
      <c r="AA17" s="547">
        <f>F17</f>
        <v/>
      </c>
      <c r="AB17" s="549">
        <f>((H17*Y17)*12)</f>
        <v/>
      </c>
      <c r="AD17" s="545">
        <f>B17</f>
        <v/>
      </c>
      <c r="AE17" s="550">
        <f>C17</f>
        <v/>
      </c>
      <c r="AF17" s="545">
        <f>D17</f>
        <v/>
      </c>
      <c r="AG17" s="546">
        <f>E17</f>
        <v/>
      </c>
      <c r="AH17" s="547">
        <f>F17</f>
        <v/>
      </c>
      <c r="AI17" s="548">
        <f>+MAX(U17,AB17)</f>
        <v/>
      </c>
      <c r="AK17" s="545">
        <f>B17</f>
        <v/>
      </c>
      <c r="AL17" s="550">
        <f>C17</f>
        <v/>
      </c>
      <c r="AM17" s="545">
        <f>D17</f>
        <v/>
      </c>
      <c r="AN17" s="546">
        <f>E17</f>
        <v/>
      </c>
      <c r="AO17" s="547">
        <f>F17</f>
        <v/>
      </c>
      <c r="AP17" s="548">
        <f>IF(G17&gt;0,MAX(U17,AB17),N17)</f>
        <v/>
      </c>
    </row>
    <row r="18" ht="15.75" customFormat="1" customHeight="1" s="120">
      <c r="B18" s="551">
        <f>'Rent Roll'!C24</f>
        <v/>
      </c>
      <c r="C18" s="552">
        <f>'Rent Roll'!D24</f>
        <v/>
      </c>
      <c r="D18" s="551">
        <f>'Rent Roll'!E24</f>
        <v/>
      </c>
      <c r="E18" s="553">
        <f>'Rent Roll'!F24</f>
        <v/>
      </c>
      <c r="F18" s="554">
        <f>'Rent Roll'!K24</f>
        <v/>
      </c>
      <c r="G18" s="555">
        <f>'Rent Roll'!M24</f>
        <v/>
      </c>
      <c r="H18" s="549">
        <f>+G18-F18</f>
        <v/>
      </c>
      <c r="I18" s="556">
        <f>'Rent Roll'!O24</f>
        <v/>
      </c>
      <c r="J18" s="557">
        <f>I18-F18</f>
        <v/>
      </c>
      <c r="K18" s="558">
        <f>'Rent Roll'!G24</f>
        <v/>
      </c>
      <c r="L18" s="559">
        <f>'Rent Roll'!L24</f>
        <v/>
      </c>
      <c r="M18" s="559">
        <f>'Rent Roll'!J24</f>
        <v/>
      </c>
      <c r="N18" s="548">
        <f>((M18*D18)*12)</f>
        <v/>
      </c>
      <c r="P18" s="545">
        <f>B18</f>
        <v/>
      </c>
      <c r="Q18" s="550">
        <f>C18</f>
        <v/>
      </c>
      <c r="R18" s="545">
        <f>D18</f>
        <v/>
      </c>
      <c r="S18" s="546">
        <f>E18</f>
        <v/>
      </c>
      <c r="T18" s="547">
        <f>F18</f>
        <v/>
      </c>
      <c r="U18" s="548">
        <f>((M18*R18)*12)</f>
        <v/>
      </c>
      <c r="W18" s="545">
        <f>B18</f>
        <v/>
      </c>
      <c r="X18" s="550">
        <f>C18</f>
        <v/>
      </c>
      <c r="Y18" s="545">
        <f>D18</f>
        <v/>
      </c>
      <c r="Z18" s="546">
        <f>E18</f>
        <v/>
      </c>
      <c r="AA18" s="547">
        <f>F18</f>
        <v/>
      </c>
      <c r="AB18" s="549">
        <f>((H18*Y18)*12)</f>
        <v/>
      </c>
      <c r="AD18" s="545">
        <f>B18</f>
        <v/>
      </c>
      <c r="AE18" s="550">
        <f>C18</f>
        <v/>
      </c>
      <c r="AF18" s="545">
        <f>D18</f>
        <v/>
      </c>
      <c r="AG18" s="546">
        <f>E18</f>
        <v/>
      </c>
      <c r="AH18" s="547">
        <f>F18</f>
        <v/>
      </c>
      <c r="AI18" s="548">
        <f>+MAX(U18,AB18)</f>
        <v/>
      </c>
      <c r="AK18" s="545">
        <f>B18</f>
        <v/>
      </c>
      <c r="AL18" s="550">
        <f>C18</f>
        <v/>
      </c>
      <c r="AM18" s="545">
        <f>D18</f>
        <v/>
      </c>
      <c r="AN18" s="546">
        <f>E18</f>
        <v/>
      </c>
      <c r="AO18" s="547">
        <f>F18</f>
        <v/>
      </c>
      <c r="AP18" s="548">
        <f>IF(G18&gt;0,MAX(U18,AB18),N18)</f>
        <v/>
      </c>
    </row>
    <row r="19" ht="15.75" customFormat="1" customHeight="1" s="120">
      <c r="B19" s="551">
        <f>'Rent Roll'!C25</f>
        <v/>
      </c>
      <c r="C19" s="552">
        <f>'Rent Roll'!D25</f>
        <v/>
      </c>
      <c r="D19" s="551">
        <f>'Rent Roll'!E25</f>
        <v/>
      </c>
      <c r="E19" s="553">
        <f>'Rent Roll'!F25</f>
        <v/>
      </c>
      <c r="F19" s="554">
        <f>'Rent Roll'!K25</f>
        <v/>
      </c>
      <c r="G19" s="555">
        <f>'Rent Roll'!M25</f>
        <v/>
      </c>
      <c r="H19" s="549">
        <f>+G19-F19</f>
        <v/>
      </c>
      <c r="I19" s="556">
        <f>'Rent Roll'!O25</f>
        <v/>
      </c>
      <c r="J19" s="557">
        <f>I19-F19</f>
        <v/>
      </c>
      <c r="K19" s="558">
        <f>'Rent Roll'!G25</f>
        <v/>
      </c>
      <c r="L19" s="559">
        <f>'Rent Roll'!L25</f>
        <v/>
      </c>
      <c r="M19" s="559">
        <f>'Rent Roll'!J25</f>
        <v/>
      </c>
      <c r="N19" s="548">
        <f>((M19*D19)*12)</f>
        <v/>
      </c>
      <c r="P19" s="545">
        <f>B19</f>
        <v/>
      </c>
      <c r="Q19" s="550">
        <f>C19</f>
        <v/>
      </c>
      <c r="R19" s="545">
        <f>D19</f>
        <v/>
      </c>
      <c r="S19" s="546">
        <f>E19</f>
        <v/>
      </c>
      <c r="T19" s="547">
        <f>F19</f>
        <v/>
      </c>
      <c r="U19" s="548">
        <f>((M19*R19)*12)</f>
        <v/>
      </c>
      <c r="W19" s="545">
        <f>B19</f>
        <v/>
      </c>
      <c r="X19" s="550">
        <f>C19</f>
        <v/>
      </c>
      <c r="Y19" s="545">
        <f>D19</f>
        <v/>
      </c>
      <c r="Z19" s="546">
        <f>E19</f>
        <v/>
      </c>
      <c r="AA19" s="547">
        <f>F19</f>
        <v/>
      </c>
      <c r="AB19" s="549">
        <f>((H19*Y19)*12)</f>
        <v/>
      </c>
      <c r="AD19" s="545">
        <f>B19</f>
        <v/>
      </c>
      <c r="AE19" s="550">
        <f>C19</f>
        <v/>
      </c>
      <c r="AF19" s="545">
        <f>D19</f>
        <v/>
      </c>
      <c r="AG19" s="546">
        <f>E19</f>
        <v/>
      </c>
      <c r="AH19" s="547">
        <f>F19</f>
        <v/>
      </c>
      <c r="AI19" s="548">
        <f>+MAX(U19,AB19)</f>
        <v/>
      </c>
      <c r="AK19" s="545">
        <f>B19</f>
        <v/>
      </c>
      <c r="AL19" s="550">
        <f>C19</f>
        <v/>
      </c>
      <c r="AM19" s="545">
        <f>D19</f>
        <v/>
      </c>
      <c r="AN19" s="546">
        <f>E19</f>
        <v/>
      </c>
      <c r="AO19" s="547">
        <f>F19</f>
        <v/>
      </c>
      <c r="AP19" s="548">
        <f>IF(G19&gt;0,MAX(U19,AB19),N19)</f>
        <v/>
      </c>
    </row>
    <row r="20" ht="15.75" customFormat="1" customHeight="1" s="120">
      <c r="B20" s="551">
        <f>'Rent Roll'!C26</f>
        <v/>
      </c>
      <c r="C20" s="552">
        <f>'Rent Roll'!D26</f>
        <v/>
      </c>
      <c r="D20" s="551">
        <f>'Rent Roll'!E26</f>
        <v/>
      </c>
      <c r="E20" s="553">
        <f>'Rent Roll'!F26</f>
        <v/>
      </c>
      <c r="F20" s="554">
        <f>'Rent Roll'!K26</f>
        <v/>
      </c>
      <c r="G20" s="555">
        <f>'Rent Roll'!M26</f>
        <v/>
      </c>
      <c r="H20" s="549">
        <f>+G20-F20</f>
        <v/>
      </c>
      <c r="I20" s="556">
        <f>'Rent Roll'!O26</f>
        <v/>
      </c>
      <c r="J20" s="557">
        <f>I20-F20</f>
        <v/>
      </c>
      <c r="K20" s="558">
        <f>'Rent Roll'!G26</f>
        <v/>
      </c>
      <c r="L20" s="559">
        <f>'Rent Roll'!L26</f>
        <v/>
      </c>
      <c r="M20" s="559">
        <f>'Rent Roll'!J26</f>
        <v/>
      </c>
      <c r="N20" s="548">
        <f>((M20*D20)*12)</f>
        <v/>
      </c>
      <c r="P20" s="545">
        <f>B20</f>
        <v/>
      </c>
      <c r="Q20" s="550">
        <f>C20</f>
        <v/>
      </c>
      <c r="R20" s="545">
        <f>D20</f>
        <v/>
      </c>
      <c r="S20" s="546">
        <f>E20</f>
        <v/>
      </c>
      <c r="T20" s="547">
        <f>F20</f>
        <v/>
      </c>
      <c r="U20" s="548">
        <f>((M20*R20)*12)</f>
        <v/>
      </c>
      <c r="W20" s="545">
        <f>B20</f>
        <v/>
      </c>
      <c r="X20" s="550">
        <f>C20</f>
        <v/>
      </c>
      <c r="Y20" s="545">
        <f>D20</f>
        <v/>
      </c>
      <c r="Z20" s="546">
        <f>E20</f>
        <v/>
      </c>
      <c r="AA20" s="547">
        <f>F20</f>
        <v/>
      </c>
      <c r="AB20" s="549">
        <f>((H20*Y20)*12)</f>
        <v/>
      </c>
      <c r="AD20" s="545">
        <f>B20</f>
        <v/>
      </c>
      <c r="AE20" s="550">
        <f>C20</f>
        <v/>
      </c>
      <c r="AF20" s="545">
        <f>D20</f>
        <v/>
      </c>
      <c r="AG20" s="546">
        <f>E20</f>
        <v/>
      </c>
      <c r="AH20" s="547">
        <f>F20</f>
        <v/>
      </c>
      <c r="AI20" s="548">
        <f>+MAX(U20,AB20)</f>
        <v/>
      </c>
      <c r="AK20" s="545">
        <f>B20</f>
        <v/>
      </c>
      <c r="AL20" s="550">
        <f>C20</f>
        <v/>
      </c>
      <c r="AM20" s="545">
        <f>D20</f>
        <v/>
      </c>
      <c r="AN20" s="546">
        <f>E20</f>
        <v/>
      </c>
      <c r="AO20" s="547">
        <f>F20</f>
        <v/>
      </c>
      <c r="AP20" s="548">
        <f>IF(G20&gt;0,MAX(U20,AB20),N20)</f>
        <v/>
      </c>
    </row>
    <row r="21" ht="15.75" customFormat="1" customHeight="1" s="120">
      <c r="B21" s="551">
        <f>'Rent Roll'!C27</f>
        <v/>
      </c>
      <c r="C21" s="552">
        <f>'Rent Roll'!D27</f>
        <v/>
      </c>
      <c r="D21" s="551">
        <f>'Rent Roll'!E27</f>
        <v/>
      </c>
      <c r="E21" s="553">
        <f>'Rent Roll'!F27</f>
        <v/>
      </c>
      <c r="F21" s="554">
        <f>'Rent Roll'!K27</f>
        <v/>
      </c>
      <c r="G21" s="555">
        <f>'Rent Roll'!M27</f>
        <v/>
      </c>
      <c r="H21" s="549">
        <f>+G21-F21</f>
        <v/>
      </c>
      <c r="I21" s="556">
        <f>'Rent Roll'!O27</f>
        <v/>
      </c>
      <c r="J21" s="557">
        <f>I21-F21</f>
        <v/>
      </c>
      <c r="K21" s="558">
        <f>'Rent Roll'!G27</f>
        <v/>
      </c>
      <c r="L21" s="559">
        <f>'Rent Roll'!L27</f>
        <v/>
      </c>
      <c r="M21" s="559">
        <f>'Rent Roll'!J27</f>
        <v/>
      </c>
      <c r="N21" s="548">
        <f>((M21*D21)*12)</f>
        <v/>
      </c>
      <c r="P21" s="545">
        <f>B21</f>
        <v/>
      </c>
      <c r="Q21" s="550">
        <f>C21</f>
        <v/>
      </c>
      <c r="R21" s="545">
        <f>D21</f>
        <v/>
      </c>
      <c r="S21" s="546">
        <f>E21</f>
        <v/>
      </c>
      <c r="T21" s="547">
        <f>F21</f>
        <v/>
      </c>
      <c r="U21" s="548">
        <f>((M21*R21)*12)</f>
        <v/>
      </c>
      <c r="W21" s="545">
        <f>B21</f>
        <v/>
      </c>
      <c r="X21" s="550">
        <f>C21</f>
        <v/>
      </c>
      <c r="Y21" s="545">
        <f>D21</f>
        <v/>
      </c>
      <c r="Z21" s="546">
        <f>E21</f>
        <v/>
      </c>
      <c r="AA21" s="547">
        <f>F21</f>
        <v/>
      </c>
      <c r="AB21" s="549">
        <f>((H21*Y21)*12)</f>
        <v/>
      </c>
      <c r="AD21" s="545">
        <f>B21</f>
        <v/>
      </c>
      <c r="AE21" s="550">
        <f>C21</f>
        <v/>
      </c>
      <c r="AF21" s="545">
        <f>D21</f>
        <v/>
      </c>
      <c r="AG21" s="546">
        <f>E21</f>
        <v/>
      </c>
      <c r="AH21" s="547">
        <f>F21</f>
        <v/>
      </c>
      <c r="AI21" s="548">
        <f>+MAX(U21,AB21)</f>
        <v/>
      </c>
      <c r="AK21" s="545">
        <f>B21</f>
        <v/>
      </c>
      <c r="AL21" s="550">
        <f>C21</f>
        <v/>
      </c>
      <c r="AM21" s="545">
        <f>D21</f>
        <v/>
      </c>
      <c r="AN21" s="546">
        <f>E21</f>
        <v/>
      </c>
      <c r="AO21" s="547">
        <f>F21</f>
        <v/>
      </c>
      <c r="AP21" s="548">
        <f>IF(G21&gt;0,MAX(U21,AB21),N21)</f>
        <v/>
      </c>
    </row>
    <row r="22" ht="15.75" customFormat="1" customHeight="1" s="120">
      <c r="B22" s="551">
        <f>'Rent Roll'!C28</f>
        <v/>
      </c>
      <c r="C22" s="552">
        <f>'Rent Roll'!D28</f>
        <v/>
      </c>
      <c r="D22" s="551">
        <f>'Rent Roll'!E28</f>
        <v/>
      </c>
      <c r="E22" s="553">
        <f>'Rent Roll'!F28</f>
        <v/>
      </c>
      <c r="F22" s="554">
        <f>'Rent Roll'!K28</f>
        <v/>
      </c>
      <c r="G22" s="555">
        <f>'Rent Roll'!M28</f>
        <v/>
      </c>
      <c r="H22" s="549">
        <f>+G22-F22</f>
        <v/>
      </c>
      <c r="I22" s="556">
        <f>'Rent Roll'!O28</f>
        <v/>
      </c>
      <c r="J22" s="557">
        <f>I22-F22</f>
        <v/>
      </c>
      <c r="K22" s="558">
        <f>'Rent Roll'!G28</f>
        <v/>
      </c>
      <c r="L22" s="559">
        <f>'Rent Roll'!L28</f>
        <v/>
      </c>
      <c r="M22" s="559">
        <f>'Rent Roll'!J28</f>
        <v/>
      </c>
      <c r="N22" s="548">
        <f>((M22*D22)*12)</f>
        <v/>
      </c>
      <c r="P22" s="545">
        <f>B22</f>
        <v/>
      </c>
      <c r="Q22" s="550">
        <f>C22</f>
        <v/>
      </c>
      <c r="R22" s="545">
        <f>D22</f>
        <v/>
      </c>
      <c r="S22" s="546">
        <f>E22</f>
        <v/>
      </c>
      <c r="T22" s="547">
        <f>F22</f>
        <v/>
      </c>
      <c r="U22" s="548">
        <f>((M22*R22)*12)</f>
        <v/>
      </c>
      <c r="W22" s="545">
        <f>B22</f>
        <v/>
      </c>
      <c r="X22" s="550">
        <f>C22</f>
        <v/>
      </c>
      <c r="Y22" s="545">
        <f>D22</f>
        <v/>
      </c>
      <c r="Z22" s="546">
        <f>E22</f>
        <v/>
      </c>
      <c r="AA22" s="547">
        <f>F22</f>
        <v/>
      </c>
      <c r="AB22" s="549">
        <f>((H22*Y22)*12)</f>
        <v/>
      </c>
      <c r="AD22" s="545">
        <f>B22</f>
        <v/>
      </c>
      <c r="AE22" s="550">
        <f>C22</f>
        <v/>
      </c>
      <c r="AF22" s="545">
        <f>D22</f>
        <v/>
      </c>
      <c r="AG22" s="546">
        <f>E22</f>
        <v/>
      </c>
      <c r="AH22" s="547">
        <f>F22</f>
        <v/>
      </c>
      <c r="AI22" s="548">
        <f>+MAX(U22,AB22)</f>
        <v/>
      </c>
      <c r="AK22" s="545">
        <f>B22</f>
        <v/>
      </c>
      <c r="AL22" s="550">
        <f>C22</f>
        <v/>
      </c>
      <c r="AM22" s="545">
        <f>D22</f>
        <v/>
      </c>
      <c r="AN22" s="546">
        <f>E22</f>
        <v/>
      </c>
      <c r="AO22" s="547">
        <f>F22</f>
        <v/>
      </c>
      <c r="AP22" s="548">
        <f>IF(G22&gt;0,MAX(U22,AB22),N22)</f>
        <v/>
      </c>
    </row>
    <row r="23" ht="15.75" customFormat="1" customHeight="1" s="120">
      <c r="B23" s="551">
        <f>'Rent Roll'!C29</f>
        <v/>
      </c>
      <c r="C23" s="552">
        <f>'Rent Roll'!D29</f>
        <v/>
      </c>
      <c r="D23" s="551">
        <f>'Rent Roll'!E29</f>
        <v/>
      </c>
      <c r="E23" s="553">
        <f>'Rent Roll'!F29</f>
        <v/>
      </c>
      <c r="F23" s="554">
        <f>'Rent Roll'!K29</f>
        <v/>
      </c>
      <c r="G23" s="555">
        <f>'Rent Roll'!M29</f>
        <v/>
      </c>
      <c r="H23" s="549">
        <f>+G23-F23</f>
        <v/>
      </c>
      <c r="I23" s="556">
        <f>'Rent Roll'!O29</f>
        <v/>
      </c>
      <c r="J23" s="557">
        <f>I23-F23</f>
        <v/>
      </c>
      <c r="K23" s="558">
        <f>'Rent Roll'!G29</f>
        <v/>
      </c>
      <c r="L23" s="559">
        <f>'Rent Roll'!L29</f>
        <v/>
      </c>
      <c r="M23" s="559">
        <f>'Rent Roll'!J29</f>
        <v/>
      </c>
      <c r="N23" s="548">
        <f>((M23*D23)*12)</f>
        <v/>
      </c>
      <c r="P23" s="545">
        <f>B23</f>
        <v/>
      </c>
      <c r="Q23" s="550">
        <f>C23</f>
        <v/>
      </c>
      <c r="R23" s="545">
        <f>D23</f>
        <v/>
      </c>
      <c r="S23" s="546">
        <f>E23</f>
        <v/>
      </c>
      <c r="T23" s="547">
        <f>F23</f>
        <v/>
      </c>
      <c r="U23" s="548">
        <f>((M23*R23)*12)</f>
        <v/>
      </c>
      <c r="W23" s="545">
        <f>B23</f>
        <v/>
      </c>
      <c r="X23" s="550">
        <f>C23</f>
        <v/>
      </c>
      <c r="Y23" s="545">
        <f>D23</f>
        <v/>
      </c>
      <c r="Z23" s="546">
        <f>E23</f>
        <v/>
      </c>
      <c r="AA23" s="547">
        <f>F23</f>
        <v/>
      </c>
      <c r="AB23" s="549">
        <f>((H23*Y23)*12)</f>
        <v/>
      </c>
      <c r="AD23" s="545">
        <f>B23</f>
        <v/>
      </c>
      <c r="AE23" s="550">
        <f>C23</f>
        <v/>
      </c>
      <c r="AF23" s="545">
        <f>D23</f>
        <v/>
      </c>
      <c r="AG23" s="546">
        <f>E23</f>
        <v/>
      </c>
      <c r="AH23" s="547">
        <f>F23</f>
        <v/>
      </c>
      <c r="AI23" s="548">
        <f>+MAX(U23,AB23)</f>
        <v/>
      </c>
      <c r="AK23" s="545">
        <f>B23</f>
        <v/>
      </c>
      <c r="AL23" s="550">
        <f>C23</f>
        <v/>
      </c>
      <c r="AM23" s="545">
        <f>D23</f>
        <v/>
      </c>
      <c r="AN23" s="546">
        <f>E23</f>
        <v/>
      </c>
      <c r="AO23" s="547">
        <f>F23</f>
        <v/>
      </c>
      <c r="AP23" s="548">
        <f>IF(G23&gt;0,MAX(U23,AB23),N23)</f>
        <v/>
      </c>
    </row>
    <row r="24" ht="15.75" customFormat="1" customHeight="1" s="120">
      <c r="B24" s="551">
        <f>'Rent Roll'!C30</f>
        <v/>
      </c>
      <c r="C24" s="552">
        <f>'Rent Roll'!D30</f>
        <v/>
      </c>
      <c r="D24" s="551">
        <f>'Rent Roll'!E30</f>
        <v/>
      </c>
      <c r="E24" s="553">
        <f>'Rent Roll'!F30</f>
        <v/>
      </c>
      <c r="F24" s="554">
        <f>'Rent Roll'!K30</f>
        <v/>
      </c>
      <c r="G24" s="555">
        <f>'Rent Roll'!M30</f>
        <v/>
      </c>
      <c r="H24" s="549">
        <f>+G24-F24</f>
        <v/>
      </c>
      <c r="I24" s="556">
        <f>'Rent Roll'!O30</f>
        <v/>
      </c>
      <c r="J24" s="557">
        <f>I24-F24</f>
        <v/>
      </c>
      <c r="K24" s="558">
        <f>'Rent Roll'!G30</f>
        <v/>
      </c>
      <c r="L24" s="559">
        <f>'Rent Roll'!L30</f>
        <v/>
      </c>
      <c r="M24" s="559">
        <f>'Rent Roll'!J30</f>
        <v/>
      </c>
      <c r="N24" s="548">
        <f>((M24*D24)*12)</f>
        <v/>
      </c>
      <c r="P24" s="545">
        <f>B24</f>
        <v/>
      </c>
      <c r="Q24" s="550">
        <f>C24</f>
        <v/>
      </c>
      <c r="R24" s="545">
        <f>D24</f>
        <v/>
      </c>
      <c r="S24" s="546">
        <f>E24</f>
        <v/>
      </c>
      <c r="T24" s="547">
        <f>F24</f>
        <v/>
      </c>
      <c r="U24" s="548">
        <f>((M24*R24)*12)</f>
        <v/>
      </c>
      <c r="W24" s="545">
        <f>B24</f>
        <v/>
      </c>
      <c r="X24" s="550">
        <f>C24</f>
        <v/>
      </c>
      <c r="Y24" s="545">
        <f>D24</f>
        <v/>
      </c>
      <c r="Z24" s="546">
        <f>E24</f>
        <v/>
      </c>
      <c r="AA24" s="547">
        <f>F24</f>
        <v/>
      </c>
      <c r="AB24" s="549">
        <f>((H24*Y24)*12)</f>
        <v/>
      </c>
      <c r="AD24" s="545">
        <f>B24</f>
        <v/>
      </c>
      <c r="AE24" s="550">
        <f>C24</f>
        <v/>
      </c>
      <c r="AF24" s="545">
        <f>D24</f>
        <v/>
      </c>
      <c r="AG24" s="546">
        <f>E24</f>
        <v/>
      </c>
      <c r="AH24" s="547">
        <f>F24</f>
        <v/>
      </c>
      <c r="AI24" s="548">
        <f>+MAX(U24,AB24)</f>
        <v/>
      </c>
      <c r="AK24" s="545">
        <f>B24</f>
        <v/>
      </c>
      <c r="AL24" s="550">
        <f>C24</f>
        <v/>
      </c>
      <c r="AM24" s="545">
        <f>D24</f>
        <v/>
      </c>
      <c r="AN24" s="546">
        <f>E24</f>
        <v/>
      </c>
      <c r="AO24" s="547">
        <f>F24</f>
        <v/>
      </c>
      <c r="AP24" s="548">
        <f>IF(G24&gt;0,MAX(U24,AB24),N24)</f>
        <v/>
      </c>
    </row>
    <row r="25" ht="15.75" customFormat="1" customHeight="1" s="120">
      <c r="B25" s="551">
        <f>'Rent Roll'!C31</f>
        <v/>
      </c>
      <c r="C25" s="552">
        <f>'Rent Roll'!D31</f>
        <v/>
      </c>
      <c r="D25" s="551">
        <f>'Rent Roll'!E31</f>
        <v/>
      </c>
      <c r="E25" s="553">
        <f>'Rent Roll'!F31</f>
        <v/>
      </c>
      <c r="F25" s="554">
        <f>'Rent Roll'!K31</f>
        <v/>
      </c>
      <c r="G25" s="555">
        <f>'Rent Roll'!M31</f>
        <v/>
      </c>
      <c r="H25" s="549">
        <f>+G25-F25</f>
        <v/>
      </c>
      <c r="I25" s="556">
        <f>'Rent Roll'!O31</f>
        <v/>
      </c>
      <c r="J25" s="557">
        <f>I25-F25</f>
        <v/>
      </c>
      <c r="K25" s="558">
        <f>'Rent Roll'!G31</f>
        <v/>
      </c>
      <c r="L25" s="559">
        <f>'Rent Roll'!L31</f>
        <v/>
      </c>
      <c r="M25" s="559">
        <f>'Rent Roll'!J31</f>
        <v/>
      </c>
      <c r="N25" s="548">
        <f>((M25*D25)*12)</f>
        <v/>
      </c>
      <c r="P25" s="545">
        <f>B25</f>
        <v/>
      </c>
      <c r="Q25" s="550">
        <f>C25</f>
        <v/>
      </c>
      <c r="R25" s="545">
        <f>D25</f>
        <v/>
      </c>
      <c r="S25" s="546">
        <f>E25</f>
        <v/>
      </c>
      <c r="T25" s="547">
        <f>F25</f>
        <v/>
      </c>
      <c r="U25" s="548">
        <f>((M25*R25)*12)</f>
        <v/>
      </c>
      <c r="W25" s="545">
        <f>B25</f>
        <v/>
      </c>
      <c r="X25" s="550">
        <f>C25</f>
        <v/>
      </c>
      <c r="Y25" s="545">
        <f>D25</f>
        <v/>
      </c>
      <c r="Z25" s="546">
        <f>E25</f>
        <v/>
      </c>
      <c r="AA25" s="547">
        <f>F25</f>
        <v/>
      </c>
      <c r="AB25" s="549">
        <f>((H25*Y25)*12)</f>
        <v/>
      </c>
      <c r="AD25" s="545">
        <f>B25</f>
        <v/>
      </c>
      <c r="AE25" s="550">
        <f>C25</f>
        <v/>
      </c>
      <c r="AF25" s="545">
        <f>D25</f>
        <v/>
      </c>
      <c r="AG25" s="546">
        <f>E25</f>
        <v/>
      </c>
      <c r="AH25" s="547">
        <f>F25</f>
        <v/>
      </c>
      <c r="AI25" s="548">
        <f>+MAX(U25,AB25)</f>
        <v/>
      </c>
      <c r="AK25" s="545">
        <f>B25</f>
        <v/>
      </c>
      <c r="AL25" s="550">
        <f>C25</f>
        <v/>
      </c>
      <c r="AM25" s="545">
        <f>D25</f>
        <v/>
      </c>
      <c r="AN25" s="546">
        <f>E25</f>
        <v/>
      </c>
      <c r="AO25" s="547">
        <f>F25</f>
        <v/>
      </c>
      <c r="AP25" s="548">
        <f>IF(G25&gt;0,MAX(U25,AB25),N25)</f>
        <v/>
      </c>
    </row>
    <row r="26" ht="15.75" customFormat="1" customHeight="1" s="120">
      <c r="B26" s="198" t="inlineStr">
        <is>
          <t>Total (Pre-Vacancy)</t>
        </is>
      </c>
      <c r="C26" s="122" t="n"/>
      <c r="D26" s="166">
        <f>SUM(D7:D25)</f>
        <v/>
      </c>
      <c r="E26" s="166">
        <f>+SUMPRODUCT(E7:E25,$D7:$D25)</f>
        <v/>
      </c>
      <c r="F26" s="165">
        <f>+SUMPRODUCT(F7:F25,$D7:$D25)</f>
        <v/>
      </c>
      <c r="G26" s="165">
        <f>+SUMPRODUCT(G7:G25,$D7:$D25)</f>
        <v/>
      </c>
      <c r="H26" s="165">
        <f>+SUMPRODUCT(H7:H25,$D7:$D25)</f>
        <v/>
      </c>
      <c r="I26" s="165">
        <f>+SUMPRODUCT(I7:I25,$D7:$D25)</f>
        <v/>
      </c>
      <c r="J26" s="165">
        <f>+SUMPRODUCT(J7:J25,$D7:$D25)</f>
        <v/>
      </c>
      <c r="K26" s="165">
        <f>+SUMPRODUCT(K7:K25,$D7:$D25)</f>
        <v/>
      </c>
      <c r="L26" s="165">
        <f>+SUMPRODUCT(L7:L25,$D7:$D25)</f>
        <v/>
      </c>
      <c r="M26" s="165">
        <f>+SUMPRODUCT(M7:M25,$D7:$D25)</f>
        <v/>
      </c>
      <c r="N26" s="165">
        <f>SUM(N7:N25)</f>
        <v/>
      </c>
      <c r="P26" s="198" t="inlineStr">
        <is>
          <t>Total (Pre-Vacancy)</t>
        </is>
      </c>
      <c r="Q26" s="122" t="n"/>
      <c r="R26" s="560">
        <f>SUM(R7:R25)</f>
        <v/>
      </c>
      <c r="S26" s="560">
        <f>+SUMPRODUCT(S7:S25,$R7:$R25)</f>
        <v/>
      </c>
      <c r="T26" s="165">
        <f>+SUMPRODUCT(T7:T25,$R7:$R25)</f>
        <v/>
      </c>
      <c r="U26" s="165">
        <f>SUM(U7:U25)</f>
        <v/>
      </c>
      <c r="W26" s="198" t="inlineStr">
        <is>
          <t>Total (Pre-Vacancy)</t>
        </is>
      </c>
      <c r="X26" s="122" t="n"/>
      <c r="Y26" s="560">
        <f>SUM(Y7:Y25)</f>
        <v/>
      </c>
      <c r="Z26" s="560">
        <f>+SUMPRODUCT(Z7:Z25,$Y7:$Y25)</f>
        <v/>
      </c>
      <c r="AA26" s="165">
        <f>+SUMPRODUCT(AA7:AA25,$Y7:$Y25)</f>
        <v/>
      </c>
      <c r="AB26" s="165">
        <f>SUM(AB7:AB25)</f>
        <v/>
      </c>
      <c r="AC26" s="122" t="n"/>
      <c r="AD26" s="198" t="inlineStr">
        <is>
          <t>Total (Pre-Vacancy)</t>
        </is>
      </c>
      <c r="AE26" s="122" t="n"/>
      <c r="AF26" s="560">
        <f>SUM(AF7:AF25)</f>
        <v/>
      </c>
      <c r="AG26" s="560">
        <f>+SUMPRODUCT(AG7:AG25,$AF7:$AF25)</f>
        <v/>
      </c>
      <c r="AH26" s="165">
        <f>+SUMPRODUCT(AH7:AH25,$AF7:$AF25)</f>
        <v/>
      </c>
      <c r="AI26" s="165">
        <f>SUM(AI7:AI25)</f>
        <v/>
      </c>
      <c r="AK26" s="198" t="inlineStr">
        <is>
          <t>Total (Pre-Vacancy)</t>
        </is>
      </c>
      <c r="AL26" s="122" t="n"/>
      <c r="AM26" s="560">
        <f>SUM(AF7:AF25)</f>
        <v/>
      </c>
      <c r="AN26" s="560">
        <f>+SUMPRODUCT(AG7:AG25,$AF7:$AF25)</f>
        <v/>
      </c>
      <c r="AO26" s="165">
        <f>+SUMPRODUCT(AH7:AH25,$AF7:$AF25)</f>
        <v/>
      </c>
      <c r="AP26" s="165">
        <f>SUM(AP7:AP25)</f>
        <v/>
      </c>
    </row>
    <row r="27" ht="15.75" customFormat="1" customHeight="1" s="120">
      <c r="K27" s="132" t="n"/>
      <c r="AK27" s="607" t="n"/>
      <c r="AL27" s="607" t="n"/>
      <c r="AM27" s="607" t="n"/>
      <c r="AN27" s="607" t="n"/>
      <c r="AO27" s="607" t="n"/>
      <c r="AP27" s="607" t="n"/>
    </row>
    <row r="28" ht="15.75" customFormat="1" customHeight="1" s="168">
      <c r="B28" s="170" t="inlineStr">
        <is>
          <t>Year 2</t>
        </is>
      </c>
      <c r="C28" s="170" t="n"/>
      <c r="D28" s="170" t="n"/>
      <c r="E28" s="170" t="n"/>
      <c r="F28" s="170" t="n"/>
      <c r="G28" s="170" t="n"/>
      <c r="H28" s="170" t="n"/>
      <c r="I28" s="170" t="n"/>
      <c r="J28" s="170" t="n"/>
      <c r="K28" s="170" t="n"/>
      <c r="L28" s="170" t="n"/>
      <c r="M28" s="170" t="n"/>
      <c r="N28" s="170" t="n"/>
      <c r="P28" s="170">
        <f>+$B28</f>
        <v/>
      </c>
      <c r="Q28" s="170" t="n"/>
      <c r="R28" s="170" t="n"/>
      <c r="S28" s="170" t="n"/>
      <c r="T28" s="170" t="n"/>
      <c r="U28" s="170" t="n"/>
      <c r="W28" s="170">
        <f>+$B28</f>
        <v/>
      </c>
      <c r="X28" s="170" t="n"/>
      <c r="Y28" s="170" t="n"/>
      <c r="Z28" s="170" t="n"/>
      <c r="AA28" s="170" t="n"/>
      <c r="AB28" s="170" t="n"/>
      <c r="AD28" s="170">
        <f>+$B28</f>
        <v/>
      </c>
      <c r="AE28" s="170" t="n"/>
      <c r="AF28" s="170" t="n"/>
      <c r="AG28" s="170" t="n"/>
      <c r="AH28" s="170" t="n"/>
      <c r="AI28" s="170" t="n"/>
      <c r="AK28" s="170">
        <f>+$B28</f>
        <v/>
      </c>
      <c r="AL28" s="170" t="n"/>
      <c r="AM28" s="170" t="n"/>
      <c r="AN28" s="170" t="n"/>
      <c r="AO28" s="170" t="n"/>
      <c r="AP28" s="170" t="n"/>
    </row>
    <row r="29" ht="38.25" customFormat="1" customHeight="1" s="164">
      <c r="B29" s="543" t="inlineStr">
        <is>
          <t>Unit Type</t>
        </is>
      </c>
      <c r="C29" s="543" t="inlineStr">
        <is>
          <t>AMI / S8</t>
        </is>
      </c>
      <c r="D29" s="543" t="inlineStr">
        <is>
          <t># of Units</t>
        </is>
      </c>
      <c r="E29" s="543" t="inlineStr">
        <is>
          <t>Avg. SF</t>
        </is>
      </c>
      <c r="F29" s="543" t="inlineStr">
        <is>
          <t>Avg. Utilities</t>
        </is>
      </c>
      <c r="G29" s="544" t="inlineStr">
        <is>
          <t>Avg. Max LITHC</t>
        </is>
      </c>
      <c r="H29" s="543" t="inlineStr">
        <is>
          <t>Net LIHTC</t>
        </is>
      </c>
      <c r="I29" s="543" t="inlineStr">
        <is>
          <t>Avg. Max FMR</t>
        </is>
      </c>
      <c r="J29" s="543" t="inlineStr">
        <is>
          <t>Net FMR</t>
        </is>
      </c>
      <c r="K29" s="543">
        <f>+K6</f>
        <v/>
      </c>
      <c r="L29" s="543" t="inlineStr">
        <is>
          <t>Gross Rent</t>
        </is>
      </c>
      <c r="M29" s="543" t="inlineStr">
        <is>
          <t>Avg. Current Rent</t>
        </is>
      </c>
      <c r="N29" s="543" t="inlineStr">
        <is>
          <t>Yrly. Gross Income (Net Rent)</t>
        </is>
      </c>
      <c r="P29" s="543" t="inlineStr">
        <is>
          <t>Unit Type</t>
        </is>
      </c>
      <c r="Q29" s="543" t="inlineStr">
        <is>
          <t>AMI / S8</t>
        </is>
      </c>
      <c r="R29" s="543" t="inlineStr">
        <is>
          <t># of Units</t>
        </is>
      </c>
      <c r="S29" s="543" t="inlineStr">
        <is>
          <t>Avg. SF</t>
        </is>
      </c>
      <c r="T29" s="543" t="inlineStr">
        <is>
          <t>Avg. Utilities</t>
        </is>
      </c>
      <c r="U29" s="543" t="inlineStr">
        <is>
          <t>Max Current Vouchers</t>
        </is>
      </c>
      <c r="W29" s="543" t="inlineStr">
        <is>
          <t>Unit Type</t>
        </is>
      </c>
      <c r="X29" s="543" t="inlineStr">
        <is>
          <t>AMI / S8</t>
        </is>
      </c>
      <c r="Y29" s="543" t="inlineStr">
        <is>
          <t># of Units</t>
        </is>
      </c>
      <c r="Z29" s="543" t="inlineStr">
        <is>
          <t>Avg. SF</t>
        </is>
      </c>
      <c r="AA29" s="543" t="inlineStr">
        <is>
          <t>Avg. Utilities</t>
        </is>
      </c>
      <c r="AB29" s="543" t="inlineStr">
        <is>
          <t>Max NET LIHTC</t>
        </is>
      </c>
      <c r="AD29" s="543" t="inlineStr">
        <is>
          <t>Unit Type</t>
        </is>
      </c>
      <c r="AE29" s="543" t="inlineStr">
        <is>
          <t>AMI / S8</t>
        </is>
      </c>
      <c r="AF29" s="543" t="inlineStr">
        <is>
          <t># of Units</t>
        </is>
      </c>
      <c r="AG29" s="543" t="inlineStr">
        <is>
          <t>Avg. SF</t>
        </is>
      </c>
      <c r="AH29" s="543" t="inlineStr">
        <is>
          <t>Avg. Utilities</t>
        </is>
      </c>
      <c r="AI29" s="543" t="inlineStr">
        <is>
          <t xml:space="preserve">Max Current Vouchers + NET LIHTC </t>
        </is>
      </c>
      <c r="AK29" s="543" t="inlineStr">
        <is>
          <t>Unit Type</t>
        </is>
      </c>
      <c r="AL29" s="543" t="inlineStr">
        <is>
          <t>AMI / S8</t>
        </is>
      </c>
      <c r="AM29" s="543" t="inlineStr">
        <is>
          <t># of Units</t>
        </is>
      </c>
      <c r="AN29" s="543" t="inlineStr">
        <is>
          <t>Avg. SF</t>
        </is>
      </c>
      <c r="AO29" s="543" t="inlineStr">
        <is>
          <t>Avg. Utilities</t>
        </is>
      </c>
      <c r="AP29" s="543" t="inlineStr">
        <is>
          <t xml:space="preserve">Max Current Vouchers + NET LIHTC </t>
        </is>
      </c>
    </row>
    <row r="30" ht="15.75" customFormat="1" customHeight="1" s="120">
      <c r="B30" s="551">
        <f>B7</f>
        <v/>
      </c>
      <c r="C30" s="552">
        <f>C7</f>
        <v/>
      </c>
      <c r="D30" s="551">
        <f>$D7</f>
        <v/>
      </c>
      <c r="E30" s="553">
        <f>E7</f>
        <v/>
      </c>
      <c r="F30" s="554">
        <f>F7*(1+Dashboard!$P$12)</f>
        <v/>
      </c>
      <c r="G30" s="555">
        <f>G7*(1+Dashboard!$P$11)</f>
        <v/>
      </c>
      <c r="H30" s="549">
        <f>+G30-F30</f>
        <v/>
      </c>
      <c r="I30" s="556">
        <f>I7*(1+Dashboard!$P$11)</f>
        <v/>
      </c>
      <c r="J30" s="557">
        <f>I30-F30</f>
        <v/>
      </c>
      <c r="K30" s="558">
        <f>K7*(1+Dashboard!$P$11)</f>
        <v/>
      </c>
      <c r="L30" s="559">
        <f>M30+F30</f>
        <v/>
      </c>
      <c r="M30" s="559">
        <f>M7*(1+Dashboard!$P$11)</f>
        <v/>
      </c>
      <c r="N30" s="548">
        <f>((M30*D30)*12)</f>
        <v/>
      </c>
      <c r="P30" s="545">
        <f>B30</f>
        <v/>
      </c>
      <c r="Q30" s="545">
        <f>C30</f>
        <v/>
      </c>
      <c r="R30" s="545">
        <f>D30</f>
        <v/>
      </c>
      <c r="S30" s="546">
        <f>E30</f>
        <v/>
      </c>
      <c r="T30" s="547">
        <f>F30</f>
        <v/>
      </c>
      <c r="U30" s="548">
        <f>((M30*R30)*12)</f>
        <v/>
      </c>
      <c r="W30" s="545">
        <f>B30</f>
        <v/>
      </c>
      <c r="X30" s="545">
        <f>C30</f>
        <v/>
      </c>
      <c r="Y30" s="545">
        <f>D30</f>
        <v/>
      </c>
      <c r="Z30" s="546">
        <f>E30</f>
        <v/>
      </c>
      <c r="AA30" s="547">
        <f>F30</f>
        <v/>
      </c>
      <c r="AB30" s="549">
        <f>((H30*Y30)*12)</f>
        <v/>
      </c>
      <c r="AD30" s="545">
        <f>B30</f>
        <v/>
      </c>
      <c r="AE30" s="545">
        <f>C30</f>
        <v/>
      </c>
      <c r="AF30" s="545">
        <f>D30</f>
        <v/>
      </c>
      <c r="AG30" s="546">
        <f>E30</f>
        <v/>
      </c>
      <c r="AH30" s="547">
        <f>F30</f>
        <v/>
      </c>
      <c r="AI30" s="548">
        <f>+MAX(U30,AB30)</f>
        <v/>
      </c>
      <c r="AK30" s="545">
        <f>B30</f>
        <v/>
      </c>
      <c r="AL30" s="545">
        <f>C30</f>
        <v/>
      </c>
      <c r="AM30" s="545">
        <f>D30</f>
        <v/>
      </c>
      <c r="AN30" s="546">
        <f>E30</f>
        <v/>
      </c>
      <c r="AO30" s="547">
        <f>F30</f>
        <v/>
      </c>
      <c r="AP30" s="548">
        <f>IF(G30&gt;0,MAX(U30,AB30),N30)</f>
        <v/>
      </c>
    </row>
    <row r="31" ht="15.75" customFormat="1" customHeight="1" s="120">
      <c r="B31" s="551">
        <f>B8</f>
        <v/>
      </c>
      <c r="C31" s="552">
        <f>C8</f>
        <v/>
      </c>
      <c r="D31" s="551">
        <f>$D8</f>
        <v/>
      </c>
      <c r="E31" s="553">
        <f>E8</f>
        <v/>
      </c>
      <c r="F31" s="554">
        <f>F8*(1+Dashboard!$P$12)</f>
        <v/>
      </c>
      <c r="G31" s="555">
        <f>G8*(1+Dashboard!$P$11)</f>
        <v/>
      </c>
      <c r="H31" s="549">
        <f>+G31-F31</f>
        <v/>
      </c>
      <c r="I31" s="556">
        <f>I8*(1+Dashboard!$P$11)</f>
        <v/>
      </c>
      <c r="J31" s="557">
        <f>I31-F31</f>
        <v/>
      </c>
      <c r="K31" s="558">
        <f>K8*(1+Dashboard!$P$11)</f>
        <v/>
      </c>
      <c r="L31" s="559">
        <f>M31+F31</f>
        <v/>
      </c>
      <c r="M31" s="559">
        <f>M8*(1+Dashboard!$P$11)</f>
        <v/>
      </c>
      <c r="N31" s="548">
        <f>((M31*D31)*12)</f>
        <v/>
      </c>
      <c r="P31" s="545">
        <f>B31</f>
        <v/>
      </c>
      <c r="Q31" s="550">
        <f>C31</f>
        <v/>
      </c>
      <c r="R31" s="545">
        <f>D31</f>
        <v/>
      </c>
      <c r="S31" s="546">
        <f>E31</f>
        <v/>
      </c>
      <c r="T31" s="547">
        <f>F31</f>
        <v/>
      </c>
      <c r="U31" s="548">
        <f>((M31*R31)*12)</f>
        <v/>
      </c>
      <c r="W31" s="545">
        <f>B31</f>
        <v/>
      </c>
      <c r="X31" s="550">
        <f>C31</f>
        <v/>
      </c>
      <c r="Y31" s="545">
        <f>D31</f>
        <v/>
      </c>
      <c r="Z31" s="546">
        <f>E31</f>
        <v/>
      </c>
      <c r="AA31" s="547">
        <f>F31</f>
        <v/>
      </c>
      <c r="AB31" s="549">
        <f>((H31*Y31)*12)</f>
        <v/>
      </c>
      <c r="AD31" s="545">
        <f>B31</f>
        <v/>
      </c>
      <c r="AE31" s="550">
        <f>C31</f>
        <v/>
      </c>
      <c r="AF31" s="545">
        <f>D31</f>
        <v/>
      </c>
      <c r="AG31" s="546">
        <f>E31</f>
        <v/>
      </c>
      <c r="AH31" s="547">
        <f>F31</f>
        <v/>
      </c>
      <c r="AI31" s="548">
        <f>+MAX(U31,AB31)</f>
        <v/>
      </c>
      <c r="AK31" s="545">
        <f>B31</f>
        <v/>
      </c>
      <c r="AL31" s="550">
        <f>C31</f>
        <v/>
      </c>
      <c r="AM31" s="545">
        <f>D31</f>
        <v/>
      </c>
      <c r="AN31" s="546">
        <f>E31</f>
        <v/>
      </c>
      <c r="AO31" s="547">
        <f>F31</f>
        <v/>
      </c>
      <c r="AP31" s="548">
        <f>IF(G31&gt;0,MAX(U31,AB31),N31)</f>
        <v/>
      </c>
    </row>
    <row r="32" ht="15.75" customFormat="1" customHeight="1" s="120">
      <c r="B32" s="551">
        <f>B9</f>
        <v/>
      </c>
      <c r="C32" s="552">
        <f>C9</f>
        <v/>
      </c>
      <c r="D32" s="551">
        <f>$D9</f>
        <v/>
      </c>
      <c r="E32" s="553">
        <f>E9</f>
        <v/>
      </c>
      <c r="F32" s="554">
        <f>F9*(1+Dashboard!$P$12)</f>
        <v/>
      </c>
      <c r="G32" s="555">
        <f>G9*(1+Dashboard!$P$11)</f>
        <v/>
      </c>
      <c r="H32" s="549">
        <f>+G32-F32</f>
        <v/>
      </c>
      <c r="I32" s="556">
        <f>I9*(1+Dashboard!$P$11)</f>
        <v/>
      </c>
      <c r="J32" s="557">
        <f>I32-F32</f>
        <v/>
      </c>
      <c r="K32" s="558">
        <f>K9*(1+Dashboard!$P$11)</f>
        <v/>
      </c>
      <c r="L32" s="559">
        <f>M32+F32</f>
        <v/>
      </c>
      <c r="M32" s="559">
        <f>M9*(1+Dashboard!$P$11)</f>
        <v/>
      </c>
      <c r="N32" s="548">
        <f>((M32*D32)*12)</f>
        <v/>
      </c>
      <c r="P32" s="545">
        <f>B32</f>
        <v/>
      </c>
      <c r="Q32" s="550">
        <f>C32</f>
        <v/>
      </c>
      <c r="R32" s="545">
        <f>D32</f>
        <v/>
      </c>
      <c r="S32" s="546">
        <f>E32</f>
        <v/>
      </c>
      <c r="T32" s="547">
        <f>F32</f>
        <v/>
      </c>
      <c r="U32" s="548">
        <f>((M32*R32)*12)</f>
        <v/>
      </c>
      <c r="W32" s="545">
        <f>B32</f>
        <v/>
      </c>
      <c r="X32" s="550">
        <f>C32</f>
        <v/>
      </c>
      <c r="Y32" s="545">
        <f>D32</f>
        <v/>
      </c>
      <c r="Z32" s="546">
        <f>E32</f>
        <v/>
      </c>
      <c r="AA32" s="547">
        <f>F32</f>
        <v/>
      </c>
      <c r="AB32" s="549">
        <f>((H32*Y32)*12)</f>
        <v/>
      </c>
      <c r="AD32" s="545">
        <f>B32</f>
        <v/>
      </c>
      <c r="AE32" s="550">
        <f>C32</f>
        <v/>
      </c>
      <c r="AF32" s="545">
        <f>D32</f>
        <v/>
      </c>
      <c r="AG32" s="546">
        <f>E32</f>
        <v/>
      </c>
      <c r="AH32" s="547">
        <f>F32</f>
        <v/>
      </c>
      <c r="AI32" s="548">
        <f>+MAX(U32,AB32)</f>
        <v/>
      </c>
      <c r="AK32" s="545">
        <f>B32</f>
        <v/>
      </c>
      <c r="AL32" s="550">
        <f>C32</f>
        <v/>
      </c>
      <c r="AM32" s="545">
        <f>D32</f>
        <v/>
      </c>
      <c r="AN32" s="546">
        <f>E32</f>
        <v/>
      </c>
      <c r="AO32" s="547">
        <f>F32</f>
        <v/>
      </c>
      <c r="AP32" s="548">
        <f>IF(G32&gt;0,MAX(U32,AB32),N32)</f>
        <v/>
      </c>
    </row>
    <row r="33" ht="15.75" customFormat="1" customHeight="1" s="120">
      <c r="B33" s="551">
        <f>B10</f>
        <v/>
      </c>
      <c r="C33" s="552">
        <f>C10</f>
        <v/>
      </c>
      <c r="D33" s="551">
        <f>$D10</f>
        <v/>
      </c>
      <c r="E33" s="553">
        <f>E10</f>
        <v/>
      </c>
      <c r="F33" s="554">
        <f>F10*(1+Dashboard!$P$12)</f>
        <v/>
      </c>
      <c r="G33" s="555">
        <f>G10*(1+Dashboard!$P$11)</f>
        <v/>
      </c>
      <c r="H33" s="549">
        <f>+G33-F33</f>
        <v/>
      </c>
      <c r="I33" s="556">
        <f>I10*(1+Dashboard!$P$11)</f>
        <v/>
      </c>
      <c r="J33" s="557">
        <f>I33-F33</f>
        <v/>
      </c>
      <c r="K33" s="558">
        <f>K10*(1+Dashboard!$P$11)</f>
        <v/>
      </c>
      <c r="L33" s="559">
        <f>M33+F33</f>
        <v/>
      </c>
      <c r="M33" s="559">
        <f>M10*(1+Dashboard!$P$11)</f>
        <v/>
      </c>
      <c r="N33" s="548">
        <f>((M33*D33)*12)</f>
        <v/>
      </c>
      <c r="P33" s="545">
        <f>B33</f>
        <v/>
      </c>
      <c r="Q33" s="550">
        <f>C33</f>
        <v/>
      </c>
      <c r="R33" s="545">
        <f>D33</f>
        <v/>
      </c>
      <c r="S33" s="546">
        <f>E33</f>
        <v/>
      </c>
      <c r="T33" s="547">
        <f>F33</f>
        <v/>
      </c>
      <c r="U33" s="548">
        <f>((M33*R33)*12)</f>
        <v/>
      </c>
      <c r="W33" s="545">
        <f>B33</f>
        <v/>
      </c>
      <c r="X33" s="550">
        <f>C33</f>
        <v/>
      </c>
      <c r="Y33" s="545">
        <f>D33</f>
        <v/>
      </c>
      <c r="Z33" s="546">
        <f>E33</f>
        <v/>
      </c>
      <c r="AA33" s="547">
        <f>F33</f>
        <v/>
      </c>
      <c r="AB33" s="549">
        <f>((H33*Y33)*12)</f>
        <v/>
      </c>
      <c r="AD33" s="545">
        <f>B33</f>
        <v/>
      </c>
      <c r="AE33" s="550">
        <f>C33</f>
        <v/>
      </c>
      <c r="AF33" s="545">
        <f>D33</f>
        <v/>
      </c>
      <c r="AG33" s="546">
        <f>E33</f>
        <v/>
      </c>
      <c r="AH33" s="547">
        <f>F33</f>
        <v/>
      </c>
      <c r="AI33" s="548">
        <f>+MAX(U33,AB33)</f>
        <v/>
      </c>
      <c r="AK33" s="545">
        <f>B33</f>
        <v/>
      </c>
      <c r="AL33" s="550">
        <f>C33</f>
        <v/>
      </c>
      <c r="AM33" s="545">
        <f>D33</f>
        <v/>
      </c>
      <c r="AN33" s="546">
        <f>E33</f>
        <v/>
      </c>
      <c r="AO33" s="547">
        <f>F33</f>
        <v/>
      </c>
      <c r="AP33" s="548">
        <f>IF(G33&gt;0,MAX(U33,AB33),N33)</f>
        <v/>
      </c>
    </row>
    <row r="34" ht="15.75" customFormat="1" customHeight="1" s="120">
      <c r="B34" s="551">
        <f>B11</f>
        <v/>
      </c>
      <c r="C34" s="552">
        <f>C11</f>
        <v/>
      </c>
      <c r="D34" s="551">
        <f>$D11</f>
        <v/>
      </c>
      <c r="E34" s="553">
        <f>E11</f>
        <v/>
      </c>
      <c r="F34" s="554">
        <f>F11*(1+Dashboard!$P$12)</f>
        <v/>
      </c>
      <c r="G34" s="555">
        <f>G11*(1+Dashboard!$P$11)</f>
        <v/>
      </c>
      <c r="H34" s="549">
        <f>+G34-F34</f>
        <v/>
      </c>
      <c r="I34" s="556">
        <f>I11*(1+Dashboard!$P$11)</f>
        <v/>
      </c>
      <c r="J34" s="557">
        <f>I34-F34</f>
        <v/>
      </c>
      <c r="K34" s="558">
        <f>K11*(1+Dashboard!$P$11)</f>
        <v/>
      </c>
      <c r="L34" s="559">
        <f>M34+F34</f>
        <v/>
      </c>
      <c r="M34" s="559">
        <f>M11*(1+Dashboard!$P$11)</f>
        <v/>
      </c>
      <c r="N34" s="548">
        <f>((M34*D34)*12)</f>
        <v/>
      </c>
      <c r="P34" s="545">
        <f>B34</f>
        <v/>
      </c>
      <c r="Q34" s="550">
        <f>C34</f>
        <v/>
      </c>
      <c r="R34" s="545">
        <f>D34</f>
        <v/>
      </c>
      <c r="S34" s="546">
        <f>E34</f>
        <v/>
      </c>
      <c r="T34" s="547">
        <f>F34</f>
        <v/>
      </c>
      <c r="U34" s="548">
        <f>((M34*R34)*12)</f>
        <v/>
      </c>
      <c r="W34" s="545">
        <f>B34</f>
        <v/>
      </c>
      <c r="X34" s="550">
        <f>C34</f>
        <v/>
      </c>
      <c r="Y34" s="545">
        <f>D34</f>
        <v/>
      </c>
      <c r="Z34" s="546">
        <f>E34</f>
        <v/>
      </c>
      <c r="AA34" s="547">
        <f>F34</f>
        <v/>
      </c>
      <c r="AB34" s="549">
        <f>((H34*Y34)*12)</f>
        <v/>
      </c>
      <c r="AD34" s="545">
        <f>B34</f>
        <v/>
      </c>
      <c r="AE34" s="550">
        <f>C34</f>
        <v/>
      </c>
      <c r="AF34" s="545">
        <f>D34</f>
        <v/>
      </c>
      <c r="AG34" s="546">
        <f>E34</f>
        <v/>
      </c>
      <c r="AH34" s="547">
        <f>F34</f>
        <v/>
      </c>
      <c r="AI34" s="548">
        <f>+MAX(U34,AB34)</f>
        <v/>
      </c>
      <c r="AK34" s="545">
        <f>B34</f>
        <v/>
      </c>
      <c r="AL34" s="550">
        <f>C34</f>
        <v/>
      </c>
      <c r="AM34" s="545">
        <f>D34</f>
        <v/>
      </c>
      <c r="AN34" s="546">
        <f>E34</f>
        <v/>
      </c>
      <c r="AO34" s="547">
        <f>F34</f>
        <v/>
      </c>
      <c r="AP34" s="548">
        <f>IF(G34&gt;0,MAX(U34,AB34),N34)</f>
        <v/>
      </c>
    </row>
    <row r="35" ht="15.75" customFormat="1" customHeight="1" s="120">
      <c r="B35" s="551">
        <f>B12</f>
        <v/>
      </c>
      <c r="C35" s="552">
        <f>C12</f>
        <v/>
      </c>
      <c r="D35" s="551">
        <f>$D12</f>
        <v/>
      </c>
      <c r="E35" s="553">
        <f>E12</f>
        <v/>
      </c>
      <c r="F35" s="554">
        <f>F12*(1+Dashboard!$P$12)</f>
        <v/>
      </c>
      <c r="G35" s="555">
        <f>G12*(1+Dashboard!$P$11)</f>
        <v/>
      </c>
      <c r="H35" s="549">
        <f>+G35-F35</f>
        <v/>
      </c>
      <c r="I35" s="556">
        <f>I12*(1+Dashboard!$P$11)</f>
        <v/>
      </c>
      <c r="J35" s="557">
        <f>I35-F35</f>
        <v/>
      </c>
      <c r="K35" s="558">
        <f>K12*(1+Dashboard!$P$11)</f>
        <v/>
      </c>
      <c r="L35" s="559">
        <f>M35+F35</f>
        <v/>
      </c>
      <c r="M35" s="559">
        <f>M12*(1+Dashboard!$P$11)</f>
        <v/>
      </c>
      <c r="N35" s="548">
        <f>((M35*D35)*12)</f>
        <v/>
      </c>
      <c r="P35" s="545">
        <f>B35</f>
        <v/>
      </c>
      <c r="Q35" s="550">
        <f>C35</f>
        <v/>
      </c>
      <c r="R35" s="545">
        <f>D35</f>
        <v/>
      </c>
      <c r="S35" s="546">
        <f>E35</f>
        <v/>
      </c>
      <c r="T35" s="547">
        <f>F35</f>
        <v/>
      </c>
      <c r="U35" s="548">
        <f>((M35*R35)*12)</f>
        <v/>
      </c>
      <c r="W35" s="545">
        <f>B35</f>
        <v/>
      </c>
      <c r="X35" s="550">
        <f>C35</f>
        <v/>
      </c>
      <c r="Y35" s="545">
        <f>D35</f>
        <v/>
      </c>
      <c r="Z35" s="546">
        <f>E35</f>
        <v/>
      </c>
      <c r="AA35" s="547">
        <f>F35</f>
        <v/>
      </c>
      <c r="AB35" s="549">
        <f>((H35*Y35)*12)</f>
        <v/>
      </c>
      <c r="AD35" s="545">
        <f>B35</f>
        <v/>
      </c>
      <c r="AE35" s="550">
        <f>C35</f>
        <v/>
      </c>
      <c r="AF35" s="545">
        <f>D35</f>
        <v/>
      </c>
      <c r="AG35" s="546">
        <f>E35</f>
        <v/>
      </c>
      <c r="AH35" s="547">
        <f>F35</f>
        <v/>
      </c>
      <c r="AI35" s="548">
        <f>+MAX(U35,AB35)</f>
        <v/>
      </c>
      <c r="AK35" s="545">
        <f>B35</f>
        <v/>
      </c>
      <c r="AL35" s="550">
        <f>C35</f>
        <v/>
      </c>
      <c r="AM35" s="545">
        <f>D35</f>
        <v/>
      </c>
      <c r="AN35" s="546">
        <f>E35</f>
        <v/>
      </c>
      <c r="AO35" s="547">
        <f>F35</f>
        <v/>
      </c>
      <c r="AP35" s="548">
        <f>IF(G35&gt;0,MAX(U35,AB35),N35)</f>
        <v/>
      </c>
    </row>
    <row r="36" ht="15.75" customFormat="1" customHeight="1" s="120">
      <c r="B36" s="551">
        <f>B13</f>
        <v/>
      </c>
      <c r="C36" s="552">
        <f>C13</f>
        <v/>
      </c>
      <c r="D36" s="551">
        <f>$D13</f>
        <v/>
      </c>
      <c r="E36" s="553">
        <f>E13</f>
        <v/>
      </c>
      <c r="F36" s="554">
        <f>F13*(1+Dashboard!$P$12)</f>
        <v/>
      </c>
      <c r="G36" s="555">
        <f>G13*(1+Dashboard!$P$11)</f>
        <v/>
      </c>
      <c r="H36" s="549">
        <f>+G36-F36</f>
        <v/>
      </c>
      <c r="I36" s="556">
        <f>I13*(1+Dashboard!$P$11)</f>
        <v/>
      </c>
      <c r="J36" s="557">
        <f>I36-F36</f>
        <v/>
      </c>
      <c r="K36" s="558">
        <f>K13*(1+Dashboard!$P$11)</f>
        <v/>
      </c>
      <c r="L36" s="559">
        <f>M36+F36</f>
        <v/>
      </c>
      <c r="M36" s="559">
        <f>M13*(1+Dashboard!$P$11)</f>
        <v/>
      </c>
      <c r="N36" s="548">
        <f>((M36*D36)*12)</f>
        <v/>
      </c>
      <c r="P36" s="545">
        <f>B36</f>
        <v/>
      </c>
      <c r="Q36" s="550">
        <f>C36</f>
        <v/>
      </c>
      <c r="R36" s="545">
        <f>D36</f>
        <v/>
      </c>
      <c r="S36" s="546">
        <f>E36</f>
        <v/>
      </c>
      <c r="T36" s="547">
        <f>F36</f>
        <v/>
      </c>
      <c r="U36" s="548">
        <f>((M36*R36)*12)</f>
        <v/>
      </c>
      <c r="W36" s="545">
        <f>B36</f>
        <v/>
      </c>
      <c r="X36" s="550">
        <f>C36</f>
        <v/>
      </c>
      <c r="Y36" s="545">
        <f>D36</f>
        <v/>
      </c>
      <c r="Z36" s="546">
        <f>E36</f>
        <v/>
      </c>
      <c r="AA36" s="547">
        <f>F36</f>
        <v/>
      </c>
      <c r="AB36" s="549">
        <f>((H36*Y36)*12)</f>
        <v/>
      </c>
      <c r="AD36" s="545">
        <f>B36</f>
        <v/>
      </c>
      <c r="AE36" s="550">
        <f>C36</f>
        <v/>
      </c>
      <c r="AF36" s="545">
        <f>D36</f>
        <v/>
      </c>
      <c r="AG36" s="546">
        <f>E36</f>
        <v/>
      </c>
      <c r="AH36" s="547">
        <f>F36</f>
        <v/>
      </c>
      <c r="AI36" s="548">
        <f>+MAX(U36,AB36)</f>
        <v/>
      </c>
      <c r="AK36" s="545">
        <f>B36</f>
        <v/>
      </c>
      <c r="AL36" s="550">
        <f>C36</f>
        <v/>
      </c>
      <c r="AM36" s="545">
        <f>D36</f>
        <v/>
      </c>
      <c r="AN36" s="546">
        <f>E36</f>
        <v/>
      </c>
      <c r="AO36" s="547">
        <f>F36</f>
        <v/>
      </c>
      <c r="AP36" s="548">
        <f>IF(G36&gt;0,MAX(U36,AB36),N36)</f>
        <v/>
      </c>
    </row>
    <row r="37" ht="15.75" customFormat="1" customHeight="1" s="120">
      <c r="B37" s="551">
        <f>B14</f>
        <v/>
      </c>
      <c r="C37" s="552">
        <f>C14</f>
        <v/>
      </c>
      <c r="D37" s="551">
        <f>$D14</f>
        <v/>
      </c>
      <c r="E37" s="553">
        <f>E14</f>
        <v/>
      </c>
      <c r="F37" s="554">
        <f>F14*(1+Dashboard!$P$12)</f>
        <v/>
      </c>
      <c r="G37" s="555">
        <f>G14*(1+Dashboard!$P$11)</f>
        <v/>
      </c>
      <c r="H37" s="549">
        <f>+G37-F37</f>
        <v/>
      </c>
      <c r="I37" s="556">
        <f>I14*(1+Dashboard!$P$11)</f>
        <v/>
      </c>
      <c r="J37" s="557">
        <f>I37-F37</f>
        <v/>
      </c>
      <c r="K37" s="558">
        <f>K14*(1+Dashboard!$P$11)</f>
        <v/>
      </c>
      <c r="L37" s="559">
        <f>M37+F37</f>
        <v/>
      </c>
      <c r="M37" s="559">
        <f>M14*(1+Dashboard!$P$11)</f>
        <v/>
      </c>
      <c r="N37" s="548">
        <f>((M37*D37)*12)</f>
        <v/>
      </c>
      <c r="P37" s="545">
        <f>B37</f>
        <v/>
      </c>
      <c r="Q37" s="550">
        <f>C37</f>
        <v/>
      </c>
      <c r="R37" s="545">
        <f>D37</f>
        <v/>
      </c>
      <c r="S37" s="546">
        <f>E37</f>
        <v/>
      </c>
      <c r="T37" s="547">
        <f>F37</f>
        <v/>
      </c>
      <c r="U37" s="548">
        <f>((M37*R37)*12)</f>
        <v/>
      </c>
      <c r="W37" s="545">
        <f>B37</f>
        <v/>
      </c>
      <c r="X37" s="550">
        <f>C37</f>
        <v/>
      </c>
      <c r="Y37" s="545">
        <f>D37</f>
        <v/>
      </c>
      <c r="Z37" s="546">
        <f>E37</f>
        <v/>
      </c>
      <c r="AA37" s="547">
        <f>F37</f>
        <v/>
      </c>
      <c r="AB37" s="549">
        <f>((H37*Y37)*12)</f>
        <v/>
      </c>
      <c r="AD37" s="545">
        <f>B37</f>
        <v/>
      </c>
      <c r="AE37" s="550">
        <f>C37</f>
        <v/>
      </c>
      <c r="AF37" s="545">
        <f>D37</f>
        <v/>
      </c>
      <c r="AG37" s="546">
        <f>E37</f>
        <v/>
      </c>
      <c r="AH37" s="547">
        <f>F37</f>
        <v/>
      </c>
      <c r="AI37" s="548">
        <f>+MAX(U37,AB37)</f>
        <v/>
      </c>
      <c r="AK37" s="545">
        <f>B37</f>
        <v/>
      </c>
      <c r="AL37" s="550">
        <f>C37</f>
        <v/>
      </c>
      <c r="AM37" s="545">
        <f>D37</f>
        <v/>
      </c>
      <c r="AN37" s="546">
        <f>E37</f>
        <v/>
      </c>
      <c r="AO37" s="547">
        <f>F37</f>
        <v/>
      </c>
      <c r="AP37" s="548">
        <f>IF(G37&gt;0,MAX(U37,AB37),N37)</f>
        <v/>
      </c>
    </row>
    <row r="38" ht="15.75" customFormat="1" customHeight="1" s="120">
      <c r="B38" s="551">
        <f>B15</f>
        <v/>
      </c>
      <c r="C38" s="552">
        <f>C15</f>
        <v/>
      </c>
      <c r="D38" s="551">
        <f>$D15</f>
        <v/>
      </c>
      <c r="E38" s="553">
        <f>E15</f>
        <v/>
      </c>
      <c r="F38" s="554">
        <f>F15*(1+Dashboard!$P$12)</f>
        <v/>
      </c>
      <c r="G38" s="555">
        <f>G15*(1+Dashboard!$P$11)</f>
        <v/>
      </c>
      <c r="H38" s="549">
        <f>+G38-F38</f>
        <v/>
      </c>
      <c r="I38" s="556">
        <f>I15*(1+Dashboard!$P$11)</f>
        <v/>
      </c>
      <c r="J38" s="557">
        <f>I38-F38</f>
        <v/>
      </c>
      <c r="K38" s="558">
        <f>K15*(1+Dashboard!$P$11)</f>
        <v/>
      </c>
      <c r="L38" s="559">
        <f>M38+F38</f>
        <v/>
      </c>
      <c r="M38" s="559">
        <f>M15*(1+Dashboard!$P$11)</f>
        <v/>
      </c>
      <c r="N38" s="548">
        <f>((M38*D38)*12)</f>
        <v/>
      </c>
      <c r="P38" s="545">
        <f>B38</f>
        <v/>
      </c>
      <c r="Q38" s="550">
        <f>C38</f>
        <v/>
      </c>
      <c r="R38" s="545">
        <f>D38</f>
        <v/>
      </c>
      <c r="S38" s="546">
        <f>E38</f>
        <v/>
      </c>
      <c r="T38" s="547">
        <f>F38</f>
        <v/>
      </c>
      <c r="U38" s="548">
        <f>((M38*R38)*12)</f>
        <v/>
      </c>
      <c r="W38" s="545">
        <f>B38</f>
        <v/>
      </c>
      <c r="X38" s="550">
        <f>C38</f>
        <v/>
      </c>
      <c r="Y38" s="545">
        <f>D38</f>
        <v/>
      </c>
      <c r="Z38" s="546">
        <f>E38</f>
        <v/>
      </c>
      <c r="AA38" s="547">
        <f>F38</f>
        <v/>
      </c>
      <c r="AB38" s="549">
        <f>((H38*Y38)*12)</f>
        <v/>
      </c>
      <c r="AD38" s="545">
        <f>B38</f>
        <v/>
      </c>
      <c r="AE38" s="550">
        <f>C38</f>
        <v/>
      </c>
      <c r="AF38" s="545">
        <f>D38</f>
        <v/>
      </c>
      <c r="AG38" s="546">
        <f>E38</f>
        <v/>
      </c>
      <c r="AH38" s="547">
        <f>F38</f>
        <v/>
      </c>
      <c r="AI38" s="548">
        <f>+MAX(U38,AB38)</f>
        <v/>
      </c>
      <c r="AK38" s="545">
        <f>B38</f>
        <v/>
      </c>
      <c r="AL38" s="550">
        <f>C38</f>
        <v/>
      </c>
      <c r="AM38" s="545">
        <f>D38</f>
        <v/>
      </c>
      <c r="AN38" s="546">
        <f>E38</f>
        <v/>
      </c>
      <c r="AO38" s="547">
        <f>F38</f>
        <v/>
      </c>
      <c r="AP38" s="548">
        <f>IF(G38&gt;0,MAX(U38,AB38),N38)</f>
        <v/>
      </c>
    </row>
    <row r="39" ht="15.75" customFormat="1" customHeight="1" s="120">
      <c r="B39" s="551">
        <f>B16</f>
        <v/>
      </c>
      <c r="C39" s="552">
        <f>C16</f>
        <v/>
      </c>
      <c r="D39" s="551">
        <f>$D16</f>
        <v/>
      </c>
      <c r="E39" s="553">
        <f>E16</f>
        <v/>
      </c>
      <c r="F39" s="554">
        <f>F16*(1+Dashboard!$P$12)</f>
        <v/>
      </c>
      <c r="G39" s="555">
        <f>G16*(1+Dashboard!$P$11)</f>
        <v/>
      </c>
      <c r="H39" s="549">
        <f>+G39-F39</f>
        <v/>
      </c>
      <c r="I39" s="556">
        <f>I16*(1+Dashboard!$P$11)</f>
        <v/>
      </c>
      <c r="J39" s="557">
        <f>I39-F39</f>
        <v/>
      </c>
      <c r="K39" s="558">
        <f>K16*(1+Dashboard!$P$11)</f>
        <v/>
      </c>
      <c r="L39" s="559">
        <f>M39+F39</f>
        <v/>
      </c>
      <c r="M39" s="559">
        <f>M16*(1+Dashboard!$P$11)</f>
        <v/>
      </c>
      <c r="N39" s="548">
        <f>((M39*D39)*12)</f>
        <v/>
      </c>
      <c r="P39" s="545">
        <f>B39</f>
        <v/>
      </c>
      <c r="Q39" s="550">
        <f>C39</f>
        <v/>
      </c>
      <c r="R39" s="545">
        <f>D39</f>
        <v/>
      </c>
      <c r="S39" s="546">
        <f>E39</f>
        <v/>
      </c>
      <c r="T39" s="547">
        <f>F39</f>
        <v/>
      </c>
      <c r="U39" s="548">
        <f>((M39*R39)*12)</f>
        <v/>
      </c>
      <c r="W39" s="545">
        <f>B39</f>
        <v/>
      </c>
      <c r="X39" s="550">
        <f>C39</f>
        <v/>
      </c>
      <c r="Y39" s="545">
        <f>D39</f>
        <v/>
      </c>
      <c r="Z39" s="546">
        <f>E39</f>
        <v/>
      </c>
      <c r="AA39" s="547">
        <f>F39</f>
        <v/>
      </c>
      <c r="AB39" s="549">
        <f>((H39*Y39)*12)</f>
        <v/>
      </c>
      <c r="AD39" s="545">
        <f>B39</f>
        <v/>
      </c>
      <c r="AE39" s="550">
        <f>C39</f>
        <v/>
      </c>
      <c r="AF39" s="545">
        <f>D39</f>
        <v/>
      </c>
      <c r="AG39" s="546">
        <f>E39</f>
        <v/>
      </c>
      <c r="AH39" s="547">
        <f>F39</f>
        <v/>
      </c>
      <c r="AI39" s="548">
        <f>+MAX(U39,AB39)</f>
        <v/>
      </c>
      <c r="AK39" s="545">
        <f>B39</f>
        <v/>
      </c>
      <c r="AL39" s="550">
        <f>C39</f>
        <v/>
      </c>
      <c r="AM39" s="545">
        <f>D39</f>
        <v/>
      </c>
      <c r="AN39" s="546">
        <f>E39</f>
        <v/>
      </c>
      <c r="AO39" s="547">
        <f>F39</f>
        <v/>
      </c>
      <c r="AP39" s="548">
        <f>IF(G39&gt;0,MAX(U39,AB39),N39)</f>
        <v/>
      </c>
    </row>
    <row r="40" ht="15.75" customFormat="1" customHeight="1" s="120">
      <c r="B40" s="551">
        <f>B17</f>
        <v/>
      </c>
      <c r="C40" s="552">
        <f>C17</f>
        <v/>
      </c>
      <c r="D40" s="551">
        <f>$D17</f>
        <v/>
      </c>
      <c r="E40" s="553">
        <f>E17</f>
        <v/>
      </c>
      <c r="F40" s="554">
        <f>F17*(1+Dashboard!$P$12)</f>
        <v/>
      </c>
      <c r="G40" s="555">
        <f>G17*(1+Dashboard!$P$11)</f>
        <v/>
      </c>
      <c r="H40" s="549">
        <f>+G40-F40</f>
        <v/>
      </c>
      <c r="I40" s="556">
        <f>I17*(1+Dashboard!$P$11)</f>
        <v/>
      </c>
      <c r="J40" s="557">
        <f>I40-F40</f>
        <v/>
      </c>
      <c r="K40" s="558">
        <f>K17*(1+Dashboard!$P$11)</f>
        <v/>
      </c>
      <c r="L40" s="559">
        <f>M40+F40</f>
        <v/>
      </c>
      <c r="M40" s="559">
        <f>M17*(1+Dashboard!$P$11)</f>
        <v/>
      </c>
      <c r="N40" s="548">
        <f>((M40*D40)*12)</f>
        <v/>
      </c>
      <c r="P40" s="545">
        <f>B40</f>
        <v/>
      </c>
      <c r="Q40" s="550">
        <f>C40</f>
        <v/>
      </c>
      <c r="R40" s="545">
        <f>D40</f>
        <v/>
      </c>
      <c r="S40" s="546">
        <f>E40</f>
        <v/>
      </c>
      <c r="T40" s="547">
        <f>F40</f>
        <v/>
      </c>
      <c r="U40" s="548">
        <f>((M40*R40)*12)</f>
        <v/>
      </c>
      <c r="W40" s="545">
        <f>B40</f>
        <v/>
      </c>
      <c r="X40" s="550">
        <f>C40</f>
        <v/>
      </c>
      <c r="Y40" s="545">
        <f>D40</f>
        <v/>
      </c>
      <c r="Z40" s="546">
        <f>E40</f>
        <v/>
      </c>
      <c r="AA40" s="547">
        <f>F40</f>
        <v/>
      </c>
      <c r="AB40" s="549">
        <f>((H40*Y40)*12)</f>
        <v/>
      </c>
      <c r="AD40" s="545">
        <f>B40</f>
        <v/>
      </c>
      <c r="AE40" s="550">
        <f>C40</f>
        <v/>
      </c>
      <c r="AF40" s="545">
        <f>D40</f>
        <v/>
      </c>
      <c r="AG40" s="546">
        <f>E40</f>
        <v/>
      </c>
      <c r="AH40" s="547">
        <f>F40</f>
        <v/>
      </c>
      <c r="AI40" s="548">
        <f>+MAX(U40,AB40)</f>
        <v/>
      </c>
      <c r="AK40" s="545">
        <f>B40</f>
        <v/>
      </c>
      <c r="AL40" s="550">
        <f>C40</f>
        <v/>
      </c>
      <c r="AM40" s="545">
        <f>D40</f>
        <v/>
      </c>
      <c r="AN40" s="546">
        <f>E40</f>
        <v/>
      </c>
      <c r="AO40" s="547">
        <f>F40</f>
        <v/>
      </c>
      <c r="AP40" s="548">
        <f>IF(G40&gt;0,MAX(U40,AB40),N40)</f>
        <v/>
      </c>
    </row>
    <row r="41" ht="15.75" customFormat="1" customHeight="1" s="120">
      <c r="B41" s="551">
        <f>B18</f>
        <v/>
      </c>
      <c r="C41" s="552">
        <f>C18</f>
        <v/>
      </c>
      <c r="D41" s="551">
        <f>$D18</f>
        <v/>
      </c>
      <c r="E41" s="553">
        <f>E18</f>
        <v/>
      </c>
      <c r="F41" s="554">
        <f>F18*(1+Dashboard!$P$12)</f>
        <v/>
      </c>
      <c r="G41" s="555">
        <f>G18*(1+Dashboard!$P$11)</f>
        <v/>
      </c>
      <c r="H41" s="549">
        <f>+G41-F41</f>
        <v/>
      </c>
      <c r="I41" s="556">
        <f>I18*(1+Dashboard!$P$11)</f>
        <v/>
      </c>
      <c r="J41" s="557">
        <f>I41-F41</f>
        <v/>
      </c>
      <c r="K41" s="558">
        <f>K18*(1+Dashboard!$P$11)</f>
        <v/>
      </c>
      <c r="L41" s="559">
        <f>M41+F41</f>
        <v/>
      </c>
      <c r="M41" s="559">
        <f>M18*(1+Dashboard!$P$11)</f>
        <v/>
      </c>
      <c r="N41" s="548">
        <f>((M41*D41)*12)</f>
        <v/>
      </c>
      <c r="P41" s="545">
        <f>B41</f>
        <v/>
      </c>
      <c r="Q41" s="550">
        <f>C41</f>
        <v/>
      </c>
      <c r="R41" s="545">
        <f>D41</f>
        <v/>
      </c>
      <c r="S41" s="546">
        <f>E41</f>
        <v/>
      </c>
      <c r="T41" s="547">
        <f>F41</f>
        <v/>
      </c>
      <c r="U41" s="548">
        <f>((M41*R41)*12)</f>
        <v/>
      </c>
      <c r="W41" s="545">
        <f>B41</f>
        <v/>
      </c>
      <c r="X41" s="550">
        <f>C41</f>
        <v/>
      </c>
      <c r="Y41" s="545">
        <f>D41</f>
        <v/>
      </c>
      <c r="Z41" s="546">
        <f>E41</f>
        <v/>
      </c>
      <c r="AA41" s="547">
        <f>F41</f>
        <v/>
      </c>
      <c r="AB41" s="549">
        <f>((H41*Y41)*12)</f>
        <v/>
      </c>
      <c r="AD41" s="545">
        <f>B41</f>
        <v/>
      </c>
      <c r="AE41" s="550">
        <f>C41</f>
        <v/>
      </c>
      <c r="AF41" s="545">
        <f>D41</f>
        <v/>
      </c>
      <c r="AG41" s="546">
        <f>E41</f>
        <v/>
      </c>
      <c r="AH41" s="547">
        <f>F41</f>
        <v/>
      </c>
      <c r="AI41" s="548">
        <f>+MAX(U41,AB41)</f>
        <v/>
      </c>
      <c r="AK41" s="545">
        <f>B41</f>
        <v/>
      </c>
      <c r="AL41" s="550">
        <f>C41</f>
        <v/>
      </c>
      <c r="AM41" s="545">
        <f>D41</f>
        <v/>
      </c>
      <c r="AN41" s="546">
        <f>E41</f>
        <v/>
      </c>
      <c r="AO41" s="547">
        <f>F41</f>
        <v/>
      </c>
      <c r="AP41" s="548">
        <f>IF(G41&gt;0,MAX(U41,AB41),N41)</f>
        <v/>
      </c>
    </row>
    <row r="42" ht="15.75" customFormat="1" customHeight="1" s="120">
      <c r="B42" s="551">
        <f>B19</f>
        <v/>
      </c>
      <c r="C42" s="552">
        <f>C19</f>
        <v/>
      </c>
      <c r="D42" s="551">
        <f>$D19</f>
        <v/>
      </c>
      <c r="E42" s="553">
        <f>E19</f>
        <v/>
      </c>
      <c r="F42" s="554">
        <f>F19*(1+Dashboard!$P$12)</f>
        <v/>
      </c>
      <c r="G42" s="555">
        <f>G19*(1+Dashboard!$P$11)</f>
        <v/>
      </c>
      <c r="H42" s="549">
        <f>+G42-F42</f>
        <v/>
      </c>
      <c r="I42" s="556">
        <f>I19*(1+Dashboard!$P$11)</f>
        <v/>
      </c>
      <c r="J42" s="557">
        <f>I42-F42</f>
        <v/>
      </c>
      <c r="K42" s="558">
        <f>K19*(1+Dashboard!$P$11)</f>
        <v/>
      </c>
      <c r="L42" s="559">
        <f>M42+F42</f>
        <v/>
      </c>
      <c r="M42" s="559">
        <f>M19*(1+Dashboard!$P$11)</f>
        <v/>
      </c>
      <c r="N42" s="548">
        <f>((M42*D42)*12)</f>
        <v/>
      </c>
      <c r="P42" s="545">
        <f>B42</f>
        <v/>
      </c>
      <c r="Q42" s="550">
        <f>C42</f>
        <v/>
      </c>
      <c r="R42" s="545">
        <f>D42</f>
        <v/>
      </c>
      <c r="S42" s="546">
        <f>E42</f>
        <v/>
      </c>
      <c r="T42" s="547">
        <f>F42</f>
        <v/>
      </c>
      <c r="U42" s="548">
        <f>((M42*R42)*12)</f>
        <v/>
      </c>
      <c r="W42" s="545">
        <f>B42</f>
        <v/>
      </c>
      <c r="X42" s="550">
        <f>C42</f>
        <v/>
      </c>
      <c r="Y42" s="545">
        <f>D42</f>
        <v/>
      </c>
      <c r="Z42" s="546">
        <f>E42</f>
        <v/>
      </c>
      <c r="AA42" s="547">
        <f>F42</f>
        <v/>
      </c>
      <c r="AB42" s="549">
        <f>((H42*Y42)*12)</f>
        <v/>
      </c>
      <c r="AD42" s="545">
        <f>B42</f>
        <v/>
      </c>
      <c r="AE42" s="550">
        <f>C42</f>
        <v/>
      </c>
      <c r="AF42" s="545">
        <f>D42</f>
        <v/>
      </c>
      <c r="AG42" s="546">
        <f>E42</f>
        <v/>
      </c>
      <c r="AH42" s="547">
        <f>F42</f>
        <v/>
      </c>
      <c r="AI42" s="548">
        <f>+MAX(U42,AB42)</f>
        <v/>
      </c>
      <c r="AK42" s="545">
        <f>B42</f>
        <v/>
      </c>
      <c r="AL42" s="550">
        <f>C42</f>
        <v/>
      </c>
      <c r="AM42" s="545">
        <f>D42</f>
        <v/>
      </c>
      <c r="AN42" s="546">
        <f>E42</f>
        <v/>
      </c>
      <c r="AO42" s="547">
        <f>F42</f>
        <v/>
      </c>
      <c r="AP42" s="548">
        <f>IF(G42&gt;0,MAX(U42,AB42),N42)</f>
        <v/>
      </c>
    </row>
    <row r="43" ht="15.75" customFormat="1" customHeight="1" s="120">
      <c r="B43" s="551">
        <f>B20</f>
        <v/>
      </c>
      <c r="C43" s="552">
        <f>C20</f>
        <v/>
      </c>
      <c r="D43" s="551">
        <f>$D20</f>
        <v/>
      </c>
      <c r="E43" s="553">
        <f>E20</f>
        <v/>
      </c>
      <c r="F43" s="554">
        <f>F20*(1+Dashboard!$P$12)</f>
        <v/>
      </c>
      <c r="G43" s="555">
        <f>G20*(1+Dashboard!$P$11)</f>
        <v/>
      </c>
      <c r="H43" s="549">
        <f>+G43-F43</f>
        <v/>
      </c>
      <c r="I43" s="556">
        <f>I20*(1+Dashboard!$P$11)</f>
        <v/>
      </c>
      <c r="J43" s="557">
        <f>I43-F43</f>
        <v/>
      </c>
      <c r="K43" s="558">
        <f>K20*(1+Dashboard!$P$11)</f>
        <v/>
      </c>
      <c r="L43" s="559">
        <f>M43+F43</f>
        <v/>
      </c>
      <c r="M43" s="559">
        <f>M20*(1+Dashboard!$P$11)</f>
        <v/>
      </c>
      <c r="N43" s="548">
        <f>((M43*D43)*12)</f>
        <v/>
      </c>
      <c r="P43" s="545">
        <f>B43</f>
        <v/>
      </c>
      <c r="Q43" s="550">
        <f>C43</f>
        <v/>
      </c>
      <c r="R43" s="545">
        <f>D43</f>
        <v/>
      </c>
      <c r="S43" s="546">
        <f>E43</f>
        <v/>
      </c>
      <c r="T43" s="547">
        <f>F43</f>
        <v/>
      </c>
      <c r="U43" s="548">
        <f>((M43*R43)*12)</f>
        <v/>
      </c>
      <c r="W43" s="545">
        <f>B43</f>
        <v/>
      </c>
      <c r="X43" s="550">
        <f>C43</f>
        <v/>
      </c>
      <c r="Y43" s="545">
        <f>D43</f>
        <v/>
      </c>
      <c r="Z43" s="546">
        <f>E43</f>
        <v/>
      </c>
      <c r="AA43" s="547">
        <f>F43</f>
        <v/>
      </c>
      <c r="AB43" s="549">
        <f>((H43*Y43)*12)</f>
        <v/>
      </c>
      <c r="AD43" s="545">
        <f>B43</f>
        <v/>
      </c>
      <c r="AE43" s="550">
        <f>C43</f>
        <v/>
      </c>
      <c r="AF43" s="545">
        <f>D43</f>
        <v/>
      </c>
      <c r="AG43" s="546">
        <f>E43</f>
        <v/>
      </c>
      <c r="AH43" s="547">
        <f>F43</f>
        <v/>
      </c>
      <c r="AI43" s="548">
        <f>+MAX(U43,AB43)</f>
        <v/>
      </c>
      <c r="AK43" s="545">
        <f>B43</f>
        <v/>
      </c>
      <c r="AL43" s="550">
        <f>C43</f>
        <v/>
      </c>
      <c r="AM43" s="545">
        <f>D43</f>
        <v/>
      </c>
      <c r="AN43" s="546">
        <f>E43</f>
        <v/>
      </c>
      <c r="AO43" s="547">
        <f>F43</f>
        <v/>
      </c>
      <c r="AP43" s="548">
        <f>IF(G43&gt;0,MAX(U43,AB43),N43)</f>
        <v/>
      </c>
    </row>
    <row r="44" ht="15.75" customFormat="1" customHeight="1" s="120">
      <c r="B44" s="551">
        <f>B21</f>
        <v/>
      </c>
      <c r="C44" s="552">
        <f>C21</f>
        <v/>
      </c>
      <c r="D44" s="551">
        <f>$D21</f>
        <v/>
      </c>
      <c r="E44" s="553">
        <f>E21</f>
        <v/>
      </c>
      <c r="F44" s="554">
        <f>F21*(1+Dashboard!$P$12)</f>
        <v/>
      </c>
      <c r="G44" s="555">
        <f>G21*(1+Dashboard!$P$11)</f>
        <v/>
      </c>
      <c r="H44" s="549">
        <f>+G44-F44</f>
        <v/>
      </c>
      <c r="I44" s="556">
        <f>I21*(1+Dashboard!$P$11)</f>
        <v/>
      </c>
      <c r="J44" s="557">
        <f>I44-F44</f>
        <v/>
      </c>
      <c r="K44" s="558">
        <f>K21*(1+Dashboard!$P$11)</f>
        <v/>
      </c>
      <c r="L44" s="559">
        <f>M44+F44</f>
        <v/>
      </c>
      <c r="M44" s="559">
        <f>M21*(1+Dashboard!$P$11)</f>
        <v/>
      </c>
      <c r="N44" s="548">
        <f>((M44*D44)*12)</f>
        <v/>
      </c>
      <c r="P44" s="545">
        <f>B44</f>
        <v/>
      </c>
      <c r="Q44" s="550">
        <f>C44</f>
        <v/>
      </c>
      <c r="R44" s="545">
        <f>D44</f>
        <v/>
      </c>
      <c r="S44" s="546">
        <f>E44</f>
        <v/>
      </c>
      <c r="T44" s="547">
        <f>F44</f>
        <v/>
      </c>
      <c r="U44" s="548">
        <f>((M44*R44)*12)</f>
        <v/>
      </c>
      <c r="W44" s="545">
        <f>B44</f>
        <v/>
      </c>
      <c r="X44" s="550">
        <f>C44</f>
        <v/>
      </c>
      <c r="Y44" s="545">
        <f>D44</f>
        <v/>
      </c>
      <c r="Z44" s="546">
        <f>E44</f>
        <v/>
      </c>
      <c r="AA44" s="547">
        <f>F44</f>
        <v/>
      </c>
      <c r="AB44" s="549">
        <f>((H44*Y44)*12)</f>
        <v/>
      </c>
      <c r="AD44" s="545">
        <f>B44</f>
        <v/>
      </c>
      <c r="AE44" s="550">
        <f>C44</f>
        <v/>
      </c>
      <c r="AF44" s="545">
        <f>D44</f>
        <v/>
      </c>
      <c r="AG44" s="546">
        <f>E44</f>
        <v/>
      </c>
      <c r="AH44" s="547">
        <f>F44</f>
        <v/>
      </c>
      <c r="AI44" s="548">
        <f>+MAX(U44,AB44)</f>
        <v/>
      </c>
      <c r="AK44" s="545">
        <f>B44</f>
        <v/>
      </c>
      <c r="AL44" s="550">
        <f>C44</f>
        <v/>
      </c>
      <c r="AM44" s="545">
        <f>D44</f>
        <v/>
      </c>
      <c r="AN44" s="546">
        <f>E44</f>
        <v/>
      </c>
      <c r="AO44" s="547">
        <f>F44</f>
        <v/>
      </c>
      <c r="AP44" s="548">
        <f>IF(G44&gt;0,MAX(U44,AB44),N44)</f>
        <v/>
      </c>
    </row>
    <row r="45" ht="15.75" customFormat="1" customHeight="1" s="120">
      <c r="B45" s="551">
        <f>B22</f>
        <v/>
      </c>
      <c r="C45" s="552">
        <f>C22</f>
        <v/>
      </c>
      <c r="D45" s="551">
        <f>$D22</f>
        <v/>
      </c>
      <c r="E45" s="553">
        <f>E22</f>
        <v/>
      </c>
      <c r="F45" s="554">
        <f>F22*(1+Dashboard!$P$12)</f>
        <v/>
      </c>
      <c r="G45" s="555">
        <f>G22*(1+Dashboard!$P$11)</f>
        <v/>
      </c>
      <c r="H45" s="549">
        <f>+G45-F45</f>
        <v/>
      </c>
      <c r="I45" s="556">
        <f>I22*(1+Dashboard!$P$11)</f>
        <v/>
      </c>
      <c r="J45" s="557">
        <f>I45-F45</f>
        <v/>
      </c>
      <c r="K45" s="558">
        <f>K22*(1+Dashboard!$P$11)</f>
        <v/>
      </c>
      <c r="L45" s="559">
        <f>M45+F45</f>
        <v/>
      </c>
      <c r="M45" s="559">
        <f>M22*(1+Dashboard!$P$11)</f>
        <v/>
      </c>
      <c r="N45" s="548">
        <f>((M45*D45)*12)</f>
        <v/>
      </c>
      <c r="P45" s="545">
        <f>B45</f>
        <v/>
      </c>
      <c r="Q45" s="550">
        <f>C45</f>
        <v/>
      </c>
      <c r="R45" s="545">
        <f>D45</f>
        <v/>
      </c>
      <c r="S45" s="546">
        <f>E45</f>
        <v/>
      </c>
      <c r="T45" s="547">
        <f>F45</f>
        <v/>
      </c>
      <c r="U45" s="548">
        <f>((M45*R45)*12)</f>
        <v/>
      </c>
      <c r="W45" s="545">
        <f>B45</f>
        <v/>
      </c>
      <c r="X45" s="550">
        <f>C45</f>
        <v/>
      </c>
      <c r="Y45" s="545">
        <f>D45</f>
        <v/>
      </c>
      <c r="Z45" s="546">
        <f>E45</f>
        <v/>
      </c>
      <c r="AA45" s="547">
        <f>F45</f>
        <v/>
      </c>
      <c r="AB45" s="549">
        <f>((H45*Y45)*12)</f>
        <v/>
      </c>
      <c r="AD45" s="545">
        <f>B45</f>
        <v/>
      </c>
      <c r="AE45" s="550">
        <f>C45</f>
        <v/>
      </c>
      <c r="AF45" s="545">
        <f>D45</f>
        <v/>
      </c>
      <c r="AG45" s="546">
        <f>E45</f>
        <v/>
      </c>
      <c r="AH45" s="547">
        <f>F45</f>
        <v/>
      </c>
      <c r="AI45" s="548">
        <f>+MAX(U45,AB45)</f>
        <v/>
      </c>
      <c r="AK45" s="545">
        <f>B45</f>
        <v/>
      </c>
      <c r="AL45" s="550">
        <f>C45</f>
        <v/>
      </c>
      <c r="AM45" s="545">
        <f>D45</f>
        <v/>
      </c>
      <c r="AN45" s="546">
        <f>E45</f>
        <v/>
      </c>
      <c r="AO45" s="547">
        <f>F45</f>
        <v/>
      </c>
      <c r="AP45" s="548">
        <f>IF(G45&gt;0,MAX(U45,AB45),N45)</f>
        <v/>
      </c>
    </row>
    <row r="46" ht="15.75" customFormat="1" customHeight="1" s="120">
      <c r="B46" s="551">
        <f>B23</f>
        <v/>
      </c>
      <c r="C46" s="552">
        <f>C23</f>
        <v/>
      </c>
      <c r="D46" s="551">
        <f>$D23</f>
        <v/>
      </c>
      <c r="E46" s="553">
        <f>E23</f>
        <v/>
      </c>
      <c r="F46" s="554">
        <f>F23*(1+Dashboard!$P$12)</f>
        <v/>
      </c>
      <c r="G46" s="555">
        <f>G23*(1+Dashboard!$P$11)</f>
        <v/>
      </c>
      <c r="H46" s="549">
        <f>+G46-F46</f>
        <v/>
      </c>
      <c r="I46" s="556">
        <f>I23*(1+Dashboard!$P$11)</f>
        <v/>
      </c>
      <c r="J46" s="557">
        <f>I46-F46</f>
        <v/>
      </c>
      <c r="K46" s="558">
        <f>K23*(1+Dashboard!$P$11)</f>
        <v/>
      </c>
      <c r="L46" s="559">
        <f>M46+F46</f>
        <v/>
      </c>
      <c r="M46" s="559">
        <f>M23*(1+Dashboard!$P$11)</f>
        <v/>
      </c>
      <c r="N46" s="548">
        <f>((M46*D46)*12)</f>
        <v/>
      </c>
      <c r="P46" s="545">
        <f>B46</f>
        <v/>
      </c>
      <c r="Q46" s="550">
        <f>C46</f>
        <v/>
      </c>
      <c r="R46" s="545">
        <f>D46</f>
        <v/>
      </c>
      <c r="S46" s="546">
        <f>E46</f>
        <v/>
      </c>
      <c r="T46" s="547">
        <f>F46</f>
        <v/>
      </c>
      <c r="U46" s="548">
        <f>((M46*R46)*12)</f>
        <v/>
      </c>
      <c r="W46" s="545">
        <f>B46</f>
        <v/>
      </c>
      <c r="X46" s="550">
        <f>C46</f>
        <v/>
      </c>
      <c r="Y46" s="545">
        <f>D46</f>
        <v/>
      </c>
      <c r="Z46" s="546">
        <f>E46</f>
        <v/>
      </c>
      <c r="AA46" s="547">
        <f>F46</f>
        <v/>
      </c>
      <c r="AB46" s="549">
        <f>((H46*Y46)*12)</f>
        <v/>
      </c>
      <c r="AD46" s="545">
        <f>B46</f>
        <v/>
      </c>
      <c r="AE46" s="550">
        <f>C46</f>
        <v/>
      </c>
      <c r="AF46" s="545">
        <f>D46</f>
        <v/>
      </c>
      <c r="AG46" s="546">
        <f>E46</f>
        <v/>
      </c>
      <c r="AH46" s="547">
        <f>F46</f>
        <v/>
      </c>
      <c r="AI46" s="548">
        <f>+MAX(U46,AB46)</f>
        <v/>
      </c>
      <c r="AK46" s="545">
        <f>B46</f>
        <v/>
      </c>
      <c r="AL46" s="550">
        <f>C46</f>
        <v/>
      </c>
      <c r="AM46" s="545">
        <f>D46</f>
        <v/>
      </c>
      <c r="AN46" s="546">
        <f>E46</f>
        <v/>
      </c>
      <c r="AO46" s="547">
        <f>F46</f>
        <v/>
      </c>
      <c r="AP46" s="548">
        <f>IF(G46&gt;0,MAX(U46,AB46),N46)</f>
        <v/>
      </c>
    </row>
    <row r="47" ht="15.75" customFormat="1" customHeight="1" s="120">
      <c r="B47" s="551">
        <f>B24</f>
        <v/>
      </c>
      <c r="C47" s="552">
        <f>C24</f>
        <v/>
      </c>
      <c r="D47" s="551">
        <f>$D24</f>
        <v/>
      </c>
      <c r="E47" s="553">
        <f>E24</f>
        <v/>
      </c>
      <c r="F47" s="554">
        <f>F24*(1+Dashboard!$P$12)</f>
        <v/>
      </c>
      <c r="G47" s="555">
        <f>G24*(1+Dashboard!$P$11)</f>
        <v/>
      </c>
      <c r="H47" s="549">
        <f>+G47-F47</f>
        <v/>
      </c>
      <c r="I47" s="556">
        <f>I24*(1+Dashboard!$P$11)</f>
        <v/>
      </c>
      <c r="J47" s="557">
        <f>I47-F47</f>
        <v/>
      </c>
      <c r="K47" s="558">
        <f>K24*(1+Dashboard!$P$11)</f>
        <v/>
      </c>
      <c r="L47" s="559">
        <f>M47+F47</f>
        <v/>
      </c>
      <c r="M47" s="559">
        <f>M24*(1+Dashboard!$P$11)</f>
        <v/>
      </c>
      <c r="N47" s="548">
        <f>((M47*D47)*12)</f>
        <v/>
      </c>
      <c r="P47" s="545">
        <f>B47</f>
        <v/>
      </c>
      <c r="Q47" s="550">
        <f>C47</f>
        <v/>
      </c>
      <c r="R47" s="545">
        <f>D47</f>
        <v/>
      </c>
      <c r="S47" s="546">
        <f>E47</f>
        <v/>
      </c>
      <c r="T47" s="547">
        <f>F47</f>
        <v/>
      </c>
      <c r="U47" s="548">
        <f>((M47*R47)*12)</f>
        <v/>
      </c>
      <c r="W47" s="545">
        <f>B47</f>
        <v/>
      </c>
      <c r="X47" s="550">
        <f>C47</f>
        <v/>
      </c>
      <c r="Y47" s="545">
        <f>D47</f>
        <v/>
      </c>
      <c r="Z47" s="546">
        <f>E47</f>
        <v/>
      </c>
      <c r="AA47" s="547">
        <f>F47</f>
        <v/>
      </c>
      <c r="AB47" s="549">
        <f>((H47*Y47)*12)</f>
        <v/>
      </c>
      <c r="AD47" s="545">
        <f>B47</f>
        <v/>
      </c>
      <c r="AE47" s="550">
        <f>C47</f>
        <v/>
      </c>
      <c r="AF47" s="545">
        <f>D47</f>
        <v/>
      </c>
      <c r="AG47" s="546">
        <f>E47</f>
        <v/>
      </c>
      <c r="AH47" s="547">
        <f>F47</f>
        <v/>
      </c>
      <c r="AI47" s="548">
        <f>+MAX(U47,AB47)</f>
        <v/>
      </c>
      <c r="AK47" s="545">
        <f>B47</f>
        <v/>
      </c>
      <c r="AL47" s="550">
        <f>C47</f>
        <v/>
      </c>
      <c r="AM47" s="545">
        <f>D47</f>
        <v/>
      </c>
      <c r="AN47" s="546">
        <f>E47</f>
        <v/>
      </c>
      <c r="AO47" s="547">
        <f>F47</f>
        <v/>
      </c>
      <c r="AP47" s="548">
        <f>IF(G47&gt;0,MAX(U47,AB47),N47)</f>
        <v/>
      </c>
    </row>
    <row r="48" ht="15.75" customFormat="1" customHeight="1" s="120">
      <c r="B48" s="551">
        <f>B25</f>
        <v/>
      </c>
      <c r="C48" s="552">
        <f>C25</f>
        <v/>
      </c>
      <c r="D48" s="551">
        <f>$D25</f>
        <v/>
      </c>
      <c r="E48" s="553">
        <f>E25</f>
        <v/>
      </c>
      <c r="F48" s="554">
        <f>F25*(1+Dashboard!$P$12)</f>
        <v/>
      </c>
      <c r="G48" s="555">
        <f>G25*(1+Dashboard!$P$11)</f>
        <v/>
      </c>
      <c r="H48" s="549">
        <f>+G48-F48</f>
        <v/>
      </c>
      <c r="I48" s="556">
        <f>I25*(1+Dashboard!$P$11)</f>
        <v/>
      </c>
      <c r="J48" s="557">
        <f>I48-F48</f>
        <v/>
      </c>
      <c r="K48" s="558">
        <f>K25*(1+Dashboard!$P$11)</f>
        <v/>
      </c>
      <c r="L48" s="559">
        <f>M48+F48</f>
        <v/>
      </c>
      <c r="M48" s="559">
        <f>M25*(1+Dashboard!$P$11)</f>
        <v/>
      </c>
      <c r="N48" s="548">
        <f>((M48*D48)*12)</f>
        <v/>
      </c>
      <c r="P48" s="545">
        <f>B48</f>
        <v/>
      </c>
      <c r="Q48" s="550">
        <f>C48</f>
        <v/>
      </c>
      <c r="R48" s="545">
        <f>D48</f>
        <v/>
      </c>
      <c r="S48" s="546">
        <f>E48</f>
        <v/>
      </c>
      <c r="T48" s="547">
        <f>F48</f>
        <v/>
      </c>
      <c r="U48" s="548">
        <f>((M48*R48)*12)</f>
        <v/>
      </c>
      <c r="W48" s="545">
        <f>B48</f>
        <v/>
      </c>
      <c r="X48" s="550">
        <f>C48</f>
        <v/>
      </c>
      <c r="Y48" s="545">
        <f>D48</f>
        <v/>
      </c>
      <c r="Z48" s="546">
        <f>E48</f>
        <v/>
      </c>
      <c r="AA48" s="547">
        <f>F48</f>
        <v/>
      </c>
      <c r="AB48" s="549">
        <f>((H48*Y48)*12)</f>
        <v/>
      </c>
      <c r="AD48" s="545">
        <f>B48</f>
        <v/>
      </c>
      <c r="AE48" s="550">
        <f>C48</f>
        <v/>
      </c>
      <c r="AF48" s="545">
        <f>D48</f>
        <v/>
      </c>
      <c r="AG48" s="546">
        <f>E48</f>
        <v/>
      </c>
      <c r="AH48" s="547">
        <f>F48</f>
        <v/>
      </c>
      <c r="AI48" s="548">
        <f>+MAX(U48,AB48)</f>
        <v/>
      </c>
      <c r="AK48" s="545">
        <f>B48</f>
        <v/>
      </c>
      <c r="AL48" s="550">
        <f>C48</f>
        <v/>
      </c>
      <c r="AM48" s="545">
        <f>D48</f>
        <v/>
      </c>
      <c r="AN48" s="546">
        <f>E48</f>
        <v/>
      </c>
      <c r="AO48" s="547">
        <f>F48</f>
        <v/>
      </c>
      <c r="AP48" s="548">
        <f>IF(G48&gt;0,MAX(U48,AB48),N48)</f>
        <v/>
      </c>
    </row>
    <row r="49" ht="15.75" customFormat="1" customHeight="1" s="120">
      <c r="B49" s="198" t="inlineStr">
        <is>
          <t>Total (Pre-Vacancy)</t>
        </is>
      </c>
      <c r="C49" s="122" t="n"/>
      <c r="D49" s="166">
        <f>SUM(D30:D48)</f>
        <v/>
      </c>
      <c r="E49" s="166">
        <f>+SUMPRODUCT(E30:E48,$D30:$D48)</f>
        <v/>
      </c>
      <c r="F49" s="165">
        <f>+SUMPRODUCT(F30:F48,$D30:$D48)</f>
        <v/>
      </c>
      <c r="G49" s="165">
        <f>+SUMPRODUCT(G30:G48,$D30:$D48)</f>
        <v/>
      </c>
      <c r="H49" s="165">
        <f>+SUMPRODUCT(H30:H48,$D30:$D48)</f>
        <v/>
      </c>
      <c r="I49" s="165">
        <f>+SUMPRODUCT(I30:I48,$D30:$D48)</f>
        <v/>
      </c>
      <c r="J49" s="165">
        <f>+SUMPRODUCT(J30:J48,$D30:$D48)</f>
        <v/>
      </c>
      <c r="K49" s="165">
        <f>+SUMPRODUCT(K30:K48,$D30:$D48)</f>
        <v/>
      </c>
      <c r="L49" s="165">
        <f>+SUMPRODUCT(L30:L48,$D30:$D48)</f>
        <v/>
      </c>
      <c r="M49" s="165">
        <f>+SUMPRODUCT(M30:M48,$D30:$D48)</f>
        <v/>
      </c>
      <c r="N49" s="165">
        <f>SUM(N30:N48)</f>
        <v/>
      </c>
      <c r="P49" s="198" t="inlineStr">
        <is>
          <t>Total (Pre-Vacancy)</t>
        </is>
      </c>
      <c r="Q49" s="122" t="n"/>
      <c r="R49" s="560">
        <f>SUM(R30:R48)</f>
        <v/>
      </c>
      <c r="S49" s="560">
        <f>+SUMPRODUCT(S30:S48,$R30:$R48)</f>
        <v/>
      </c>
      <c r="T49" s="165">
        <f>+SUMPRODUCT(T30:T48,$R30:$R48)</f>
        <v/>
      </c>
      <c r="U49" s="165">
        <f>SUM(U30:U48)</f>
        <v/>
      </c>
      <c r="W49" s="198" t="inlineStr">
        <is>
          <t>Total (Pre-Vacancy)</t>
        </is>
      </c>
      <c r="X49" s="122" t="n"/>
      <c r="Y49" s="560">
        <f>SUM(Y30:Y48)</f>
        <v/>
      </c>
      <c r="Z49" s="560">
        <f>+SUMPRODUCT(Z30:Z48,$Y30:$Y48)</f>
        <v/>
      </c>
      <c r="AA49" s="165">
        <f>+SUMPRODUCT(AA30:AA48,$Y30:$Y48)</f>
        <v/>
      </c>
      <c r="AB49" s="165">
        <f>SUM(AB30:AB48)</f>
        <v/>
      </c>
      <c r="AC49" s="122" t="n"/>
      <c r="AD49" s="198" t="inlineStr">
        <is>
          <t>Total (Pre-Vacancy)</t>
        </is>
      </c>
      <c r="AE49" s="122" t="n"/>
      <c r="AF49" s="560">
        <f>SUM(AF30:AF48)</f>
        <v/>
      </c>
      <c r="AG49" s="560">
        <f>+SUMPRODUCT(AG30:AG48,$AF30:$AF48)</f>
        <v/>
      </c>
      <c r="AH49" s="165">
        <f>+SUMPRODUCT(AH30:AH48,$AF30:$AF48)</f>
        <v/>
      </c>
      <c r="AI49" s="165">
        <f>SUM(AI30:AI48)</f>
        <v/>
      </c>
      <c r="AK49" s="198" t="inlineStr">
        <is>
          <t>Total (Pre-Vacancy)</t>
        </is>
      </c>
      <c r="AL49" s="122" t="n"/>
      <c r="AM49" s="560">
        <f>SUM(AF30:AF48)</f>
        <v/>
      </c>
      <c r="AN49" s="560">
        <f>+SUMPRODUCT(AG30:AG48,$AF30:$AF48)</f>
        <v/>
      </c>
      <c r="AO49" s="165">
        <f>+SUMPRODUCT(AH30:AH48,$AF30:$AF48)</f>
        <v/>
      </c>
      <c r="AP49" s="165">
        <f>SUM(AP30:AP48)</f>
        <v/>
      </c>
    </row>
    <row r="50" ht="15.75" customFormat="1" customHeight="1" s="120">
      <c r="K50" s="132" t="n"/>
      <c r="AK50" s="607" t="n"/>
      <c r="AL50" s="607" t="n"/>
      <c r="AM50" s="607" t="n"/>
      <c r="AN50" s="607" t="n"/>
      <c r="AO50" s="607" t="n"/>
      <c r="AP50" s="607" t="n"/>
    </row>
    <row r="51" ht="15.75" customFormat="1" customHeight="1" s="168">
      <c r="B51" s="170" t="inlineStr">
        <is>
          <t>Year 3</t>
        </is>
      </c>
      <c r="C51" s="170" t="n"/>
      <c r="D51" s="170" t="n"/>
      <c r="E51" s="170" t="n"/>
      <c r="F51" s="170" t="n"/>
      <c r="G51" s="170" t="n"/>
      <c r="H51" s="170" t="n"/>
      <c r="I51" s="170" t="n"/>
      <c r="J51" s="170" t="n"/>
      <c r="K51" s="170" t="n"/>
      <c r="L51" s="170" t="n"/>
      <c r="M51" s="170" t="n"/>
      <c r="N51" s="170" t="n"/>
      <c r="P51" s="170">
        <f>+$B51</f>
        <v/>
      </c>
      <c r="Q51" s="170" t="n"/>
      <c r="R51" s="170" t="n"/>
      <c r="S51" s="170" t="n"/>
      <c r="T51" s="170" t="n"/>
      <c r="U51" s="170" t="n"/>
      <c r="W51" s="170">
        <f>+$B51</f>
        <v/>
      </c>
      <c r="X51" s="170" t="n"/>
      <c r="Y51" s="170" t="n"/>
      <c r="Z51" s="170" t="n"/>
      <c r="AA51" s="170" t="n"/>
      <c r="AB51" s="170" t="n"/>
      <c r="AD51" s="170">
        <f>+$B51</f>
        <v/>
      </c>
      <c r="AE51" s="170" t="n"/>
      <c r="AF51" s="170" t="n"/>
      <c r="AG51" s="170" t="n"/>
      <c r="AH51" s="170" t="n"/>
      <c r="AI51" s="170" t="n"/>
      <c r="AK51" s="170">
        <f>+$B51</f>
        <v/>
      </c>
      <c r="AL51" s="170" t="n"/>
      <c r="AM51" s="170" t="n"/>
      <c r="AN51" s="170" t="n"/>
      <c r="AO51" s="170" t="n"/>
      <c r="AP51" s="170" t="n"/>
    </row>
    <row r="52" ht="38.25" customFormat="1" customHeight="1" s="164">
      <c r="B52" s="543" t="inlineStr">
        <is>
          <t>Unit Type</t>
        </is>
      </c>
      <c r="C52" s="543" t="inlineStr">
        <is>
          <t>AMI / S8</t>
        </is>
      </c>
      <c r="D52" s="543" t="inlineStr">
        <is>
          <t># of Units</t>
        </is>
      </c>
      <c r="E52" s="543" t="inlineStr">
        <is>
          <t>Avg. SF</t>
        </is>
      </c>
      <c r="F52" s="543" t="inlineStr">
        <is>
          <t>Avg. Utilities</t>
        </is>
      </c>
      <c r="G52" s="544" t="inlineStr">
        <is>
          <t>Avg. Max LITHC</t>
        </is>
      </c>
      <c r="H52" s="543" t="inlineStr">
        <is>
          <t>Net LIHTC</t>
        </is>
      </c>
      <c r="I52" s="543" t="inlineStr">
        <is>
          <t>Avg. Max FMR</t>
        </is>
      </c>
      <c r="J52" s="543" t="inlineStr">
        <is>
          <t>Net FMR</t>
        </is>
      </c>
      <c r="K52" s="543">
        <f>+K29</f>
        <v/>
      </c>
      <c r="L52" s="543" t="inlineStr">
        <is>
          <t>Gross Rent</t>
        </is>
      </c>
      <c r="M52" s="543" t="inlineStr">
        <is>
          <t>Avg. Current Rent</t>
        </is>
      </c>
      <c r="N52" s="543" t="inlineStr">
        <is>
          <t>Yrly. Gross Income (Net Rent)</t>
        </is>
      </c>
      <c r="P52" s="543" t="inlineStr">
        <is>
          <t>Unit Type</t>
        </is>
      </c>
      <c r="Q52" s="543" t="inlineStr">
        <is>
          <t>AMI / S8</t>
        </is>
      </c>
      <c r="R52" s="543" t="inlineStr">
        <is>
          <t># of Units</t>
        </is>
      </c>
      <c r="S52" s="543" t="inlineStr">
        <is>
          <t>Avg. SF</t>
        </is>
      </c>
      <c r="T52" s="543" t="inlineStr">
        <is>
          <t>Avg. Utilities</t>
        </is>
      </c>
      <c r="U52" s="543" t="inlineStr">
        <is>
          <t>Max Current Vouchers</t>
        </is>
      </c>
      <c r="W52" s="543" t="inlineStr">
        <is>
          <t>Unit Type</t>
        </is>
      </c>
      <c r="X52" s="543" t="inlineStr">
        <is>
          <t>AMI / S8</t>
        </is>
      </c>
      <c r="Y52" s="543" t="inlineStr">
        <is>
          <t># of Units</t>
        </is>
      </c>
      <c r="Z52" s="543" t="inlineStr">
        <is>
          <t>Avg. SF</t>
        </is>
      </c>
      <c r="AA52" s="543" t="inlineStr">
        <is>
          <t>Avg. Utilities</t>
        </is>
      </c>
      <c r="AB52" s="543" t="inlineStr">
        <is>
          <t>Max NET LIHTC</t>
        </is>
      </c>
      <c r="AD52" s="543" t="inlineStr">
        <is>
          <t>Unit Type</t>
        </is>
      </c>
      <c r="AE52" s="543" t="inlineStr">
        <is>
          <t>AMI / S8</t>
        </is>
      </c>
      <c r="AF52" s="543" t="inlineStr">
        <is>
          <t># of Units</t>
        </is>
      </c>
      <c r="AG52" s="543" t="inlineStr">
        <is>
          <t>Avg. SF</t>
        </is>
      </c>
      <c r="AH52" s="543" t="inlineStr">
        <is>
          <t>Avg. Utilities</t>
        </is>
      </c>
      <c r="AI52" s="543" t="inlineStr">
        <is>
          <t xml:space="preserve">Max Current Vouchers + NET LIHTC </t>
        </is>
      </c>
      <c r="AK52" s="543" t="inlineStr">
        <is>
          <t>Unit Type</t>
        </is>
      </c>
      <c r="AL52" s="543" t="inlineStr">
        <is>
          <t>AMI / S8</t>
        </is>
      </c>
      <c r="AM52" s="543" t="inlineStr">
        <is>
          <t># of Units</t>
        </is>
      </c>
      <c r="AN52" s="543" t="inlineStr">
        <is>
          <t>Avg. SF</t>
        </is>
      </c>
      <c r="AO52" s="543" t="inlineStr">
        <is>
          <t>Avg. Utilities</t>
        </is>
      </c>
      <c r="AP52" s="543" t="inlineStr">
        <is>
          <t xml:space="preserve">Max Current Vouchers + NET LIHTC </t>
        </is>
      </c>
    </row>
    <row r="53" ht="15.75" customFormat="1" customHeight="1" s="120">
      <c r="B53" s="551">
        <f>B30</f>
        <v/>
      </c>
      <c r="C53" s="552">
        <f>C30</f>
        <v/>
      </c>
      <c r="D53" s="551">
        <f>$D30</f>
        <v/>
      </c>
      <c r="E53" s="553">
        <f>E30</f>
        <v/>
      </c>
      <c r="F53" s="554">
        <f>F30*(1+Dashboard!$P$12)</f>
        <v/>
      </c>
      <c r="G53" s="555">
        <f>G30*(1+Dashboard!$P$11)</f>
        <v/>
      </c>
      <c r="H53" s="549">
        <f>+G53-F53</f>
        <v/>
      </c>
      <c r="I53" s="556">
        <f>I30*(1+Dashboard!$P$11)</f>
        <v/>
      </c>
      <c r="J53" s="557">
        <f>I53-F53</f>
        <v/>
      </c>
      <c r="K53" s="558">
        <f>K30*(1+Dashboard!$P$11)</f>
        <v/>
      </c>
      <c r="L53" s="559">
        <f>M53+F53</f>
        <v/>
      </c>
      <c r="M53" s="559">
        <f>M30*(1+Dashboard!$P$11)</f>
        <v/>
      </c>
      <c r="N53" s="548">
        <f>((M53*D53)*12)</f>
        <v/>
      </c>
      <c r="P53" s="545">
        <f>B53</f>
        <v/>
      </c>
      <c r="Q53" s="545">
        <f>C53</f>
        <v/>
      </c>
      <c r="R53" s="545">
        <f>D53</f>
        <v/>
      </c>
      <c r="S53" s="546">
        <f>E53</f>
        <v/>
      </c>
      <c r="T53" s="547">
        <f>F53</f>
        <v/>
      </c>
      <c r="U53" s="548">
        <f>((M53*R53)*12)</f>
        <v/>
      </c>
      <c r="W53" s="545">
        <f>B53</f>
        <v/>
      </c>
      <c r="X53" s="545">
        <f>C53</f>
        <v/>
      </c>
      <c r="Y53" s="545">
        <f>D53</f>
        <v/>
      </c>
      <c r="Z53" s="546">
        <f>E53</f>
        <v/>
      </c>
      <c r="AA53" s="547">
        <f>F53</f>
        <v/>
      </c>
      <c r="AB53" s="549">
        <f>((H53*Y53)*12)</f>
        <v/>
      </c>
      <c r="AD53" s="545">
        <f>B53</f>
        <v/>
      </c>
      <c r="AE53" s="545">
        <f>C53</f>
        <v/>
      </c>
      <c r="AF53" s="545">
        <f>D53</f>
        <v/>
      </c>
      <c r="AG53" s="546">
        <f>E53</f>
        <v/>
      </c>
      <c r="AH53" s="547">
        <f>F53</f>
        <v/>
      </c>
      <c r="AI53" s="548">
        <f>+MAX(U53,AB53)</f>
        <v/>
      </c>
      <c r="AK53" s="545">
        <f>B53</f>
        <v/>
      </c>
      <c r="AL53" s="545">
        <f>C53</f>
        <v/>
      </c>
      <c r="AM53" s="545">
        <f>D53</f>
        <v/>
      </c>
      <c r="AN53" s="546">
        <f>E53</f>
        <v/>
      </c>
      <c r="AO53" s="547">
        <f>F53</f>
        <v/>
      </c>
      <c r="AP53" s="548">
        <f>IF(G53&gt;0,MAX(U53,AB53),N53)</f>
        <v/>
      </c>
    </row>
    <row r="54" ht="15.75" customFormat="1" customHeight="1" s="120">
      <c r="B54" s="551">
        <f>B31</f>
        <v/>
      </c>
      <c r="C54" s="552">
        <f>C31</f>
        <v/>
      </c>
      <c r="D54" s="551">
        <f>$D31</f>
        <v/>
      </c>
      <c r="E54" s="553">
        <f>E31</f>
        <v/>
      </c>
      <c r="F54" s="554">
        <f>F31*(1+Dashboard!$P$12)</f>
        <v/>
      </c>
      <c r="G54" s="555">
        <f>G31*(1+Dashboard!$P$11)</f>
        <v/>
      </c>
      <c r="H54" s="549">
        <f>+G54-F54</f>
        <v/>
      </c>
      <c r="I54" s="556">
        <f>I31*(1+Dashboard!$P$11)</f>
        <v/>
      </c>
      <c r="J54" s="557">
        <f>I54-F54</f>
        <v/>
      </c>
      <c r="K54" s="558">
        <f>K31*(1+Dashboard!$P$11)</f>
        <v/>
      </c>
      <c r="L54" s="559">
        <f>M54+F54</f>
        <v/>
      </c>
      <c r="M54" s="559">
        <f>M31*(1+Dashboard!$P$11)</f>
        <v/>
      </c>
      <c r="N54" s="548">
        <f>((M54*D54)*12)</f>
        <v/>
      </c>
      <c r="P54" s="545">
        <f>B54</f>
        <v/>
      </c>
      <c r="Q54" s="550">
        <f>C54</f>
        <v/>
      </c>
      <c r="R54" s="545">
        <f>D54</f>
        <v/>
      </c>
      <c r="S54" s="546">
        <f>E54</f>
        <v/>
      </c>
      <c r="T54" s="547">
        <f>F54</f>
        <v/>
      </c>
      <c r="U54" s="548">
        <f>((M54*R54)*12)</f>
        <v/>
      </c>
      <c r="W54" s="545">
        <f>B54</f>
        <v/>
      </c>
      <c r="X54" s="550">
        <f>C54</f>
        <v/>
      </c>
      <c r="Y54" s="545">
        <f>D54</f>
        <v/>
      </c>
      <c r="Z54" s="546">
        <f>E54</f>
        <v/>
      </c>
      <c r="AA54" s="547">
        <f>F54</f>
        <v/>
      </c>
      <c r="AB54" s="549">
        <f>((H54*Y54)*12)</f>
        <v/>
      </c>
      <c r="AD54" s="545">
        <f>B54</f>
        <v/>
      </c>
      <c r="AE54" s="550">
        <f>C54</f>
        <v/>
      </c>
      <c r="AF54" s="545">
        <f>D54</f>
        <v/>
      </c>
      <c r="AG54" s="546">
        <f>E54</f>
        <v/>
      </c>
      <c r="AH54" s="547">
        <f>F54</f>
        <v/>
      </c>
      <c r="AI54" s="548">
        <f>+MAX(U54,AB54)</f>
        <v/>
      </c>
      <c r="AK54" s="545">
        <f>B54</f>
        <v/>
      </c>
      <c r="AL54" s="550">
        <f>C54</f>
        <v/>
      </c>
      <c r="AM54" s="545">
        <f>D54</f>
        <v/>
      </c>
      <c r="AN54" s="546">
        <f>E54</f>
        <v/>
      </c>
      <c r="AO54" s="547">
        <f>F54</f>
        <v/>
      </c>
      <c r="AP54" s="548">
        <f>IF(G54&gt;0,MAX(U54,AB54),N54)</f>
        <v/>
      </c>
    </row>
    <row r="55" ht="15.75" customFormat="1" customHeight="1" s="120">
      <c r="B55" s="551">
        <f>B32</f>
        <v/>
      </c>
      <c r="C55" s="552">
        <f>C32</f>
        <v/>
      </c>
      <c r="D55" s="551">
        <f>$D32</f>
        <v/>
      </c>
      <c r="E55" s="553">
        <f>E32</f>
        <v/>
      </c>
      <c r="F55" s="554">
        <f>F32*(1+Dashboard!$P$12)</f>
        <v/>
      </c>
      <c r="G55" s="555">
        <f>G32*(1+Dashboard!$P$11)</f>
        <v/>
      </c>
      <c r="H55" s="549">
        <f>+G55-F55</f>
        <v/>
      </c>
      <c r="I55" s="556">
        <f>I32*(1+Dashboard!$P$11)</f>
        <v/>
      </c>
      <c r="J55" s="557">
        <f>I55-F55</f>
        <v/>
      </c>
      <c r="K55" s="558">
        <f>K32*(1+Dashboard!$P$11)</f>
        <v/>
      </c>
      <c r="L55" s="559">
        <f>M55+F55</f>
        <v/>
      </c>
      <c r="M55" s="559">
        <f>M32*(1+Dashboard!$P$11)</f>
        <v/>
      </c>
      <c r="N55" s="548">
        <f>((M55*D55)*12)</f>
        <v/>
      </c>
      <c r="P55" s="545">
        <f>B55</f>
        <v/>
      </c>
      <c r="Q55" s="550">
        <f>C55</f>
        <v/>
      </c>
      <c r="R55" s="545">
        <f>D55</f>
        <v/>
      </c>
      <c r="S55" s="546">
        <f>E55</f>
        <v/>
      </c>
      <c r="T55" s="547">
        <f>F55</f>
        <v/>
      </c>
      <c r="U55" s="548">
        <f>((M55*R55)*12)</f>
        <v/>
      </c>
      <c r="W55" s="545">
        <f>B55</f>
        <v/>
      </c>
      <c r="X55" s="550">
        <f>C55</f>
        <v/>
      </c>
      <c r="Y55" s="545">
        <f>D55</f>
        <v/>
      </c>
      <c r="Z55" s="546">
        <f>E55</f>
        <v/>
      </c>
      <c r="AA55" s="547">
        <f>F55</f>
        <v/>
      </c>
      <c r="AB55" s="549">
        <f>((H55*Y55)*12)</f>
        <v/>
      </c>
      <c r="AD55" s="545">
        <f>B55</f>
        <v/>
      </c>
      <c r="AE55" s="550">
        <f>C55</f>
        <v/>
      </c>
      <c r="AF55" s="545">
        <f>D55</f>
        <v/>
      </c>
      <c r="AG55" s="546">
        <f>E55</f>
        <v/>
      </c>
      <c r="AH55" s="547">
        <f>F55</f>
        <v/>
      </c>
      <c r="AI55" s="548">
        <f>+MAX(U55,AB55)</f>
        <v/>
      </c>
      <c r="AK55" s="545">
        <f>B55</f>
        <v/>
      </c>
      <c r="AL55" s="550">
        <f>C55</f>
        <v/>
      </c>
      <c r="AM55" s="545">
        <f>D55</f>
        <v/>
      </c>
      <c r="AN55" s="546">
        <f>E55</f>
        <v/>
      </c>
      <c r="AO55" s="547">
        <f>F55</f>
        <v/>
      </c>
      <c r="AP55" s="548">
        <f>IF(G55&gt;0,MAX(U55,AB55),N55)</f>
        <v/>
      </c>
    </row>
    <row r="56" ht="15.75" customFormat="1" customHeight="1" s="120">
      <c r="B56" s="551">
        <f>B33</f>
        <v/>
      </c>
      <c r="C56" s="552">
        <f>C33</f>
        <v/>
      </c>
      <c r="D56" s="551">
        <f>$D33</f>
        <v/>
      </c>
      <c r="E56" s="553">
        <f>E33</f>
        <v/>
      </c>
      <c r="F56" s="554">
        <f>F33*(1+Dashboard!$P$12)</f>
        <v/>
      </c>
      <c r="G56" s="555">
        <f>G33*(1+Dashboard!$P$11)</f>
        <v/>
      </c>
      <c r="H56" s="549">
        <f>+G56-F56</f>
        <v/>
      </c>
      <c r="I56" s="556">
        <f>I33*(1+Dashboard!$P$11)</f>
        <v/>
      </c>
      <c r="J56" s="557">
        <f>I56-F56</f>
        <v/>
      </c>
      <c r="K56" s="558">
        <f>K33*(1+Dashboard!$P$11)</f>
        <v/>
      </c>
      <c r="L56" s="559">
        <f>M56+F56</f>
        <v/>
      </c>
      <c r="M56" s="559">
        <f>M33*(1+Dashboard!$P$11)</f>
        <v/>
      </c>
      <c r="N56" s="548">
        <f>((M56*D56)*12)</f>
        <v/>
      </c>
      <c r="P56" s="545">
        <f>B56</f>
        <v/>
      </c>
      <c r="Q56" s="550">
        <f>C56</f>
        <v/>
      </c>
      <c r="R56" s="545">
        <f>D56</f>
        <v/>
      </c>
      <c r="S56" s="546">
        <f>E56</f>
        <v/>
      </c>
      <c r="T56" s="547">
        <f>F56</f>
        <v/>
      </c>
      <c r="U56" s="548">
        <f>((M56*R56)*12)</f>
        <v/>
      </c>
      <c r="W56" s="545">
        <f>B56</f>
        <v/>
      </c>
      <c r="X56" s="550">
        <f>C56</f>
        <v/>
      </c>
      <c r="Y56" s="545">
        <f>D56</f>
        <v/>
      </c>
      <c r="Z56" s="546">
        <f>E56</f>
        <v/>
      </c>
      <c r="AA56" s="547">
        <f>F56</f>
        <v/>
      </c>
      <c r="AB56" s="549">
        <f>((H56*Y56)*12)</f>
        <v/>
      </c>
      <c r="AD56" s="545">
        <f>B56</f>
        <v/>
      </c>
      <c r="AE56" s="550">
        <f>C56</f>
        <v/>
      </c>
      <c r="AF56" s="545">
        <f>D56</f>
        <v/>
      </c>
      <c r="AG56" s="546">
        <f>E56</f>
        <v/>
      </c>
      <c r="AH56" s="547">
        <f>F56</f>
        <v/>
      </c>
      <c r="AI56" s="548">
        <f>+MAX(U56,AB56)</f>
        <v/>
      </c>
      <c r="AK56" s="545">
        <f>B56</f>
        <v/>
      </c>
      <c r="AL56" s="550">
        <f>C56</f>
        <v/>
      </c>
      <c r="AM56" s="545">
        <f>D56</f>
        <v/>
      </c>
      <c r="AN56" s="546">
        <f>E56</f>
        <v/>
      </c>
      <c r="AO56" s="547">
        <f>F56</f>
        <v/>
      </c>
      <c r="AP56" s="548">
        <f>IF(G56&gt;0,MAX(U56,AB56),N56)</f>
        <v/>
      </c>
    </row>
    <row r="57" ht="15.75" customFormat="1" customHeight="1" s="120">
      <c r="B57" s="551">
        <f>B34</f>
        <v/>
      </c>
      <c r="C57" s="552">
        <f>C34</f>
        <v/>
      </c>
      <c r="D57" s="551">
        <f>$D34</f>
        <v/>
      </c>
      <c r="E57" s="553">
        <f>E34</f>
        <v/>
      </c>
      <c r="F57" s="554">
        <f>F34*(1+Dashboard!$P$12)</f>
        <v/>
      </c>
      <c r="G57" s="555">
        <f>G34*(1+Dashboard!$P$11)</f>
        <v/>
      </c>
      <c r="H57" s="549">
        <f>+G57-F57</f>
        <v/>
      </c>
      <c r="I57" s="556">
        <f>I34*(1+Dashboard!$P$11)</f>
        <v/>
      </c>
      <c r="J57" s="557">
        <f>I57-F57</f>
        <v/>
      </c>
      <c r="K57" s="558">
        <f>K34*(1+Dashboard!$P$11)</f>
        <v/>
      </c>
      <c r="L57" s="559">
        <f>M57+F57</f>
        <v/>
      </c>
      <c r="M57" s="559">
        <f>M34*(1+Dashboard!$P$11)</f>
        <v/>
      </c>
      <c r="N57" s="548">
        <f>((M57*D57)*12)</f>
        <v/>
      </c>
      <c r="P57" s="545">
        <f>B57</f>
        <v/>
      </c>
      <c r="Q57" s="550">
        <f>C57</f>
        <v/>
      </c>
      <c r="R57" s="545">
        <f>D57</f>
        <v/>
      </c>
      <c r="S57" s="546">
        <f>E57</f>
        <v/>
      </c>
      <c r="T57" s="547">
        <f>F57</f>
        <v/>
      </c>
      <c r="U57" s="548">
        <f>((M57*R57)*12)</f>
        <v/>
      </c>
      <c r="W57" s="545">
        <f>B57</f>
        <v/>
      </c>
      <c r="X57" s="550">
        <f>C57</f>
        <v/>
      </c>
      <c r="Y57" s="545">
        <f>D57</f>
        <v/>
      </c>
      <c r="Z57" s="546">
        <f>E57</f>
        <v/>
      </c>
      <c r="AA57" s="547">
        <f>F57</f>
        <v/>
      </c>
      <c r="AB57" s="549">
        <f>((H57*Y57)*12)</f>
        <v/>
      </c>
      <c r="AD57" s="545">
        <f>B57</f>
        <v/>
      </c>
      <c r="AE57" s="550">
        <f>C57</f>
        <v/>
      </c>
      <c r="AF57" s="545">
        <f>D57</f>
        <v/>
      </c>
      <c r="AG57" s="546">
        <f>E57</f>
        <v/>
      </c>
      <c r="AH57" s="547">
        <f>F57</f>
        <v/>
      </c>
      <c r="AI57" s="548">
        <f>+MAX(U57,AB57)</f>
        <v/>
      </c>
      <c r="AK57" s="545">
        <f>B57</f>
        <v/>
      </c>
      <c r="AL57" s="550">
        <f>C57</f>
        <v/>
      </c>
      <c r="AM57" s="545">
        <f>D57</f>
        <v/>
      </c>
      <c r="AN57" s="546">
        <f>E57</f>
        <v/>
      </c>
      <c r="AO57" s="547">
        <f>F57</f>
        <v/>
      </c>
      <c r="AP57" s="548">
        <f>IF(G57&gt;0,MAX(U57,AB57),N57)</f>
        <v/>
      </c>
    </row>
    <row r="58" ht="15.75" customFormat="1" customHeight="1" s="120">
      <c r="B58" s="551">
        <f>B35</f>
        <v/>
      </c>
      <c r="C58" s="552">
        <f>C35</f>
        <v/>
      </c>
      <c r="D58" s="551">
        <f>$D35</f>
        <v/>
      </c>
      <c r="E58" s="553">
        <f>E35</f>
        <v/>
      </c>
      <c r="F58" s="554">
        <f>F35*(1+Dashboard!$P$12)</f>
        <v/>
      </c>
      <c r="G58" s="555">
        <f>G35*(1+Dashboard!$P$11)</f>
        <v/>
      </c>
      <c r="H58" s="549">
        <f>+G58-F58</f>
        <v/>
      </c>
      <c r="I58" s="556">
        <f>I35*(1+Dashboard!$P$11)</f>
        <v/>
      </c>
      <c r="J58" s="557">
        <f>I58-F58</f>
        <v/>
      </c>
      <c r="K58" s="558">
        <f>K35*(1+Dashboard!$P$11)</f>
        <v/>
      </c>
      <c r="L58" s="559">
        <f>M58+F58</f>
        <v/>
      </c>
      <c r="M58" s="559">
        <f>M35*(1+Dashboard!$P$11)</f>
        <v/>
      </c>
      <c r="N58" s="548">
        <f>((M58*D58)*12)</f>
        <v/>
      </c>
      <c r="P58" s="545">
        <f>B58</f>
        <v/>
      </c>
      <c r="Q58" s="550">
        <f>C58</f>
        <v/>
      </c>
      <c r="R58" s="545">
        <f>D58</f>
        <v/>
      </c>
      <c r="S58" s="546">
        <f>E58</f>
        <v/>
      </c>
      <c r="T58" s="547">
        <f>F58</f>
        <v/>
      </c>
      <c r="U58" s="548">
        <f>((M58*R58)*12)</f>
        <v/>
      </c>
      <c r="W58" s="545">
        <f>B58</f>
        <v/>
      </c>
      <c r="X58" s="550">
        <f>C58</f>
        <v/>
      </c>
      <c r="Y58" s="545">
        <f>D58</f>
        <v/>
      </c>
      <c r="Z58" s="546">
        <f>E58</f>
        <v/>
      </c>
      <c r="AA58" s="547">
        <f>F58</f>
        <v/>
      </c>
      <c r="AB58" s="549">
        <f>((H58*Y58)*12)</f>
        <v/>
      </c>
      <c r="AD58" s="545">
        <f>B58</f>
        <v/>
      </c>
      <c r="AE58" s="550">
        <f>C58</f>
        <v/>
      </c>
      <c r="AF58" s="545">
        <f>D58</f>
        <v/>
      </c>
      <c r="AG58" s="546">
        <f>E58</f>
        <v/>
      </c>
      <c r="AH58" s="547">
        <f>F58</f>
        <v/>
      </c>
      <c r="AI58" s="548">
        <f>+MAX(U58,AB58)</f>
        <v/>
      </c>
      <c r="AK58" s="545">
        <f>B58</f>
        <v/>
      </c>
      <c r="AL58" s="550">
        <f>C58</f>
        <v/>
      </c>
      <c r="AM58" s="545">
        <f>D58</f>
        <v/>
      </c>
      <c r="AN58" s="546">
        <f>E58</f>
        <v/>
      </c>
      <c r="AO58" s="547">
        <f>F58</f>
        <v/>
      </c>
      <c r="AP58" s="548">
        <f>IF(G58&gt;0,MAX(U58,AB58),N58)</f>
        <v/>
      </c>
    </row>
    <row r="59" ht="15.75" customFormat="1" customHeight="1" s="120">
      <c r="B59" s="551">
        <f>B36</f>
        <v/>
      </c>
      <c r="C59" s="552">
        <f>C36</f>
        <v/>
      </c>
      <c r="D59" s="551">
        <f>$D36</f>
        <v/>
      </c>
      <c r="E59" s="553">
        <f>E36</f>
        <v/>
      </c>
      <c r="F59" s="554">
        <f>F36*(1+Dashboard!$P$12)</f>
        <v/>
      </c>
      <c r="G59" s="555">
        <f>G36*(1+Dashboard!$P$11)</f>
        <v/>
      </c>
      <c r="H59" s="549">
        <f>+G59-F59</f>
        <v/>
      </c>
      <c r="I59" s="556">
        <f>I36*(1+Dashboard!$P$11)</f>
        <v/>
      </c>
      <c r="J59" s="557">
        <f>I59-F59</f>
        <v/>
      </c>
      <c r="K59" s="558">
        <f>K36*(1+Dashboard!$P$11)</f>
        <v/>
      </c>
      <c r="L59" s="559">
        <f>M59+F59</f>
        <v/>
      </c>
      <c r="M59" s="559">
        <f>M36*(1+Dashboard!$P$11)</f>
        <v/>
      </c>
      <c r="N59" s="548">
        <f>((M59*D59)*12)</f>
        <v/>
      </c>
      <c r="P59" s="545">
        <f>B59</f>
        <v/>
      </c>
      <c r="Q59" s="550">
        <f>C59</f>
        <v/>
      </c>
      <c r="R59" s="545">
        <f>D59</f>
        <v/>
      </c>
      <c r="S59" s="546">
        <f>E59</f>
        <v/>
      </c>
      <c r="T59" s="547">
        <f>F59</f>
        <v/>
      </c>
      <c r="U59" s="548">
        <f>((M59*R59)*12)</f>
        <v/>
      </c>
      <c r="W59" s="545">
        <f>B59</f>
        <v/>
      </c>
      <c r="X59" s="550">
        <f>C59</f>
        <v/>
      </c>
      <c r="Y59" s="545">
        <f>D59</f>
        <v/>
      </c>
      <c r="Z59" s="546">
        <f>E59</f>
        <v/>
      </c>
      <c r="AA59" s="547">
        <f>F59</f>
        <v/>
      </c>
      <c r="AB59" s="549">
        <f>((H59*Y59)*12)</f>
        <v/>
      </c>
      <c r="AD59" s="545">
        <f>B59</f>
        <v/>
      </c>
      <c r="AE59" s="550">
        <f>C59</f>
        <v/>
      </c>
      <c r="AF59" s="545">
        <f>D59</f>
        <v/>
      </c>
      <c r="AG59" s="546">
        <f>E59</f>
        <v/>
      </c>
      <c r="AH59" s="547">
        <f>F59</f>
        <v/>
      </c>
      <c r="AI59" s="548">
        <f>+MAX(U59,AB59)</f>
        <v/>
      </c>
      <c r="AK59" s="545">
        <f>B59</f>
        <v/>
      </c>
      <c r="AL59" s="550">
        <f>C59</f>
        <v/>
      </c>
      <c r="AM59" s="545">
        <f>D59</f>
        <v/>
      </c>
      <c r="AN59" s="546">
        <f>E59</f>
        <v/>
      </c>
      <c r="AO59" s="547">
        <f>F59</f>
        <v/>
      </c>
      <c r="AP59" s="548">
        <f>IF(G59&gt;0,MAX(U59,AB59),N59)</f>
        <v/>
      </c>
    </row>
    <row r="60" ht="15.75" customFormat="1" customHeight="1" s="120">
      <c r="B60" s="551">
        <f>B37</f>
        <v/>
      </c>
      <c r="C60" s="552">
        <f>C37</f>
        <v/>
      </c>
      <c r="D60" s="551">
        <f>$D37</f>
        <v/>
      </c>
      <c r="E60" s="553">
        <f>E37</f>
        <v/>
      </c>
      <c r="F60" s="554">
        <f>F37*(1+Dashboard!$P$12)</f>
        <v/>
      </c>
      <c r="G60" s="555">
        <f>G37*(1+Dashboard!$P$11)</f>
        <v/>
      </c>
      <c r="H60" s="549">
        <f>+G60-F60</f>
        <v/>
      </c>
      <c r="I60" s="556">
        <f>I37*(1+Dashboard!$P$11)</f>
        <v/>
      </c>
      <c r="J60" s="557">
        <f>I60-F60</f>
        <v/>
      </c>
      <c r="K60" s="558">
        <f>K37*(1+Dashboard!$P$11)</f>
        <v/>
      </c>
      <c r="L60" s="559">
        <f>M60+F60</f>
        <v/>
      </c>
      <c r="M60" s="559">
        <f>M37*(1+Dashboard!$P$11)</f>
        <v/>
      </c>
      <c r="N60" s="548">
        <f>((M60*D60)*12)</f>
        <v/>
      </c>
      <c r="P60" s="545">
        <f>B60</f>
        <v/>
      </c>
      <c r="Q60" s="550">
        <f>C60</f>
        <v/>
      </c>
      <c r="R60" s="545">
        <f>D60</f>
        <v/>
      </c>
      <c r="S60" s="546">
        <f>E60</f>
        <v/>
      </c>
      <c r="T60" s="547">
        <f>F60</f>
        <v/>
      </c>
      <c r="U60" s="548">
        <f>((M60*R60)*12)</f>
        <v/>
      </c>
      <c r="W60" s="545">
        <f>B60</f>
        <v/>
      </c>
      <c r="X60" s="550">
        <f>C60</f>
        <v/>
      </c>
      <c r="Y60" s="545">
        <f>D60</f>
        <v/>
      </c>
      <c r="Z60" s="546">
        <f>E60</f>
        <v/>
      </c>
      <c r="AA60" s="547">
        <f>F60</f>
        <v/>
      </c>
      <c r="AB60" s="549">
        <f>((H60*Y60)*12)</f>
        <v/>
      </c>
      <c r="AD60" s="545">
        <f>B60</f>
        <v/>
      </c>
      <c r="AE60" s="550">
        <f>C60</f>
        <v/>
      </c>
      <c r="AF60" s="545">
        <f>D60</f>
        <v/>
      </c>
      <c r="AG60" s="546">
        <f>E60</f>
        <v/>
      </c>
      <c r="AH60" s="547">
        <f>F60</f>
        <v/>
      </c>
      <c r="AI60" s="548">
        <f>+MAX(U60,AB60)</f>
        <v/>
      </c>
      <c r="AK60" s="545">
        <f>B60</f>
        <v/>
      </c>
      <c r="AL60" s="550">
        <f>C60</f>
        <v/>
      </c>
      <c r="AM60" s="545">
        <f>D60</f>
        <v/>
      </c>
      <c r="AN60" s="546">
        <f>E60</f>
        <v/>
      </c>
      <c r="AO60" s="547">
        <f>F60</f>
        <v/>
      </c>
      <c r="AP60" s="548">
        <f>IF(G60&gt;0,MAX(U60,AB60),N60)</f>
        <v/>
      </c>
    </row>
    <row r="61" ht="15.75" customFormat="1" customHeight="1" s="120">
      <c r="B61" s="551">
        <f>B38</f>
        <v/>
      </c>
      <c r="C61" s="552">
        <f>C38</f>
        <v/>
      </c>
      <c r="D61" s="551">
        <f>$D38</f>
        <v/>
      </c>
      <c r="E61" s="553">
        <f>E38</f>
        <v/>
      </c>
      <c r="F61" s="554">
        <f>F38*(1+Dashboard!$P$12)</f>
        <v/>
      </c>
      <c r="G61" s="555">
        <f>G38*(1+Dashboard!$P$11)</f>
        <v/>
      </c>
      <c r="H61" s="549">
        <f>+G61-F61</f>
        <v/>
      </c>
      <c r="I61" s="556">
        <f>I38*(1+Dashboard!$P$11)</f>
        <v/>
      </c>
      <c r="J61" s="557">
        <f>I61-F61</f>
        <v/>
      </c>
      <c r="K61" s="558">
        <f>K38*(1+Dashboard!$P$11)</f>
        <v/>
      </c>
      <c r="L61" s="559">
        <f>M61+F61</f>
        <v/>
      </c>
      <c r="M61" s="559">
        <f>M38*(1+Dashboard!$P$11)</f>
        <v/>
      </c>
      <c r="N61" s="548">
        <f>((M61*D61)*12)</f>
        <v/>
      </c>
      <c r="P61" s="545">
        <f>B61</f>
        <v/>
      </c>
      <c r="Q61" s="550">
        <f>C61</f>
        <v/>
      </c>
      <c r="R61" s="545">
        <f>D61</f>
        <v/>
      </c>
      <c r="S61" s="546">
        <f>E61</f>
        <v/>
      </c>
      <c r="T61" s="547">
        <f>F61</f>
        <v/>
      </c>
      <c r="U61" s="548">
        <f>((M61*R61)*12)</f>
        <v/>
      </c>
      <c r="W61" s="545">
        <f>B61</f>
        <v/>
      </c>
      <c r="X61" s="550">
        <f>C61</f>
        <v/>
      </c>
      <c r="Y61" s="545">
        <f>D61</f>
        <v/>
      </c>
      <c r="Z61" s="546">
        <f>E61</f>
        <v/>
      </c>
      <c r="AA61" s="547">
        <f>F61</f>
        <v/>
      </c>
      <c r="AB61" s="549">
        <f>((H61*Y61)*12)</f>
        <v/>
      </c>
      <c r="AD61" s="545">
        <f>B61</f>
        <v/>
      </c>
      <c r="AE61" s="550">
        <f>C61</f>
        <v/>
      </c>
      <c r="AF61" s="545">
        <f>D61</f>
        <v/>
      </c>
      <c r="AG61" s="546">
        <f>E61</f>
        <v/>
      </c>
      <c r="AH61" s="547">
        <f>F61</f>
        <v/>
      </c>
      <c r="AI61" s="548">
        <f>+MAX(U61,AB61)</f>
        <v/>
      </c>
      <c r="AK61" s="545">
        <f>B61</f>
        <v/>
      </c>
      <c r="AL61" s="550">
        <f>C61</f>
        <v/>
      </c>
      <c r="AM61" s="545">
        <f>D61</f>
        <v/>
      </c>
      <c r="AN61" s="546">
        <f>E61</f>
        <v/>
      </c>
      <c r="AO61" s="547">
        <f>F61</f>
        <v/>
      </c>
      <c r="AP61" s="548">
        <f>IF(G61&gt;0,MAX(U61,AB61),N61)</f>
        <v/>
      </c>
    </row>
    <row r="62" ht="15.75" customFormat="1" customHeight="1" s="120">
      <c r="B62" s="551">
        <f>B39</f>
        <v/>
      </c>
      <c r="C62" s="552">
        <f>C39</f>
        <v/>
      </c>
      <c r="D62" s="551">
        <f>$D39</f>
        <v/>
      </c>
      <c r="E62" s="553">
        <f>E39</f>
        <v/>
      </c>
      <c r="F62" s="554">
        <f>F39*(1+Dashboard!$P$12)</f>
        <v/>
      </c>
      <c r="G62" s="555">
        <f>G39*(1+Dashboard!$P$11)</f>
        <v/>
      </c>
      <c r="H62" s="549">
        <f>+G62-F62</f>
        <v/>
      </c>
      <c r="I62" s="556">
        <f>I39*(1+Dashboard!$P$11)</f>
        <v/>
      </c>
      <c r="J62" s="557">
        <f>I62-F62</f>
        <v/>
      </c>
      <c r="K62" s="558">
        <f>K39*(1+Dashboard!$P$11)</f>
        <v/>
      </c>
      <c r="L62" s="559">
        <f>M62+F62</f>
        <v/>
      </c>
      <c r="M62" s="559">
        <f>M39*(1+Dashboard!$P$11)</f>
        <v/>
      </c>
      <c r="N62" s="548">
        <f>((M62*D62)*12)</f>
        <v/>
      </c>
      <c r="P62" s="545">
        <f>B62</f>
        <v/>
      </c>
      <c r="Q62" s="550">
        <f>C62</f>
        <v/>
      </c>
      <c r="R62" s="545">
        <f>D62</f>
        <v/>
      </c>
      <c r="S62" s="546">
        <f>E62</f>
        <v/>
      </c>
      <c r="T62" s="547">
        <f>F62</f>
        <v/>
      </c>
      <c r="U62" s="548">
        <f>((M62*R62)*12)</f>
        <v/>
      </c>
      <c r="W62" s="545">
        <f>B62</f>
        <v/>
      </c>
      <c r="X62" s="550">
        <f>C62</f>
        <v/>
      </c>
      <c r="Y62" s="545">
        <f>D62</f>
        <v/>
      </c>
      <c r="Z62" s="546">
        <f>E62</f>
        <v/>
      </c>
      <c r="AA62" s="547">
        <f>F62</f>
        <v/>
      </c>
      <c r="AB62" s="549">
        <f>((H62*Y62)*12)</f>
        <v/>
      </c>
      <c r="AD62" s="545">
        <f>B62</f>
        <v/>
      </c>
      <c r="AE62" s="550">
        <f>C62</f>
        <v/>
      </c>
      <c r="AF62" s="545">
        <f>D62</f>
        <v/>
      </c>
      <c r="AG62" s="546">
        <f>E62</f>
        <v/>
      </c>
      <c r="AH62" s="547">
        <f>F62</f>
        <v/>
      </c>
      <c r="AI62" s="548">
        <f>+MAX(U62,AB62)</f>
        <v/>
      </c>
      <c r="AK62" s="545">
        <f>B62</f>
        <v/>
      </c>
      <c r="AL62" s="550">
        <f>C62</f>
        <v/>
      </c>
      <c r="AM62" s="545">
        <f>D62</f>
        <v/>
      </c>
      <c r="AN62" s="546">
        <f>E62</f>
        <v/>
      </c>
      <c r="AO62" s="547">
        <f>F62</f>
        <v/>
      </c>
      <c r="AP62" s="548">
        <f>IF(G62&gt;0,MAX(U62,AB62),N62)</f>
        <v/>
      </c>
    </row>
    <row r="63" ht="15.75" customFormat="1" customHeight="1" s="120">
      <c r="B63" s="551">
        <f>B40</f>
        <v/>
      </c>
      <c r="C63" s="552">
        <f>C40</f>
        <v/>
      </c>
      <c r="D63" s="551">
        <f>$D40</f>
        <v/>
      </c>
      <c r="E63" s="553">
        <f>E40</f>
        <v/>
      </c>
      <c r="F63" s="554">
        <f>F40*(1+Dashboard!$P$12)</f>
        <v/>
      </c>
      <c r="G63" s="555">
        <f>G40*(1+Dashboard!$P$11)</f>
        <v/>
      </c>
      <c r="H63" s="549">
        <f>+G63-F63</f>
        <v/>
      </c>
      <c r="I63" s="556">
        <f>I40*(1+Dashboard!$P$11)</f>
        <v/>
      </c>
      <c r="J63" s="557">
        <f>I63-F63</f>
        <v/>
      </c>
      <c r="K63" s="558">
        <f>K40*(1+Dashboard!$P$11)</f>
        <v/>
      </c>
      <c r="L63" s="559">
        <f>M63+F63</f>
        <v/>
      </c>
      <c r="M63" s="559">
        <f>M40*(1+Dashboard!$P$11)</f>
        <v/>
      </c>
      <c r="N63" s="548">
        <f>((M63*D63)*12)</f>
        <v/>
      </c>
      <c r="P63" s="545">
        <f>B63</f>
        <v/>
      </c>
      <c r="Q63" s="550">
        <f>C63</f>
        <v/>
      </c>
      <c r="R63" s="545">
        <f>D63</f>
        <v/>
      </c>
      <c r="S63" s="546">
        <f>E63</f>
        <v/>
      </c>
      <c r="T63" s="547">
        <f>F63</f>
        <v/>
      </c>
      <c r="U63" s="548">
        <f>((M63*R63)*12)</f>
        <v/>
      </c>
      <c r="W63" s="545">
        <f>B63</f>
        <v/>
      </c>
      <c r="X63" s="550">
        <f>C63</f>
        <v/>
      </c>
      <c r="Y63" s="545">
        <f>D63</f>
        <v/>
      </c>
      <c r="Z63" s="546">
        <f>E63</f>
        <v/>
      </c>
      <c r="AA63" s="547">
        <f>F63</f>
        <v/>
      </c>
      <c r="AB63" s="549">
        <f>((H63*Y63)*12)</f>
        <v/>
      </c>
      <c r="AD63" s="545">
        <f>B63</f>
        <v/>
      </c>
      <c r="AE63" s="550">
        <f>C63</f>
        <v/>
      </c>
      <c r="AF63" s="545">
        <f>D63</f>
        <v/>
      </c>
      <c r="AG63" s="546">
        <f>E63</f>
        <v/>
      </c>
      <c r="AH63" s="547">
        <f>F63</f>
        <v/>
      </c>
      <c r="AI63" s="548">
        <f>+MAX(U63,AB63)</f>
        <v/>
      </c>
      <c r="AK63" s="545">
        <f>B63</f>
        <v/>
      </c>
      <c r="AL63" s="550">
        <f>C63</f>
        <v/>
      </c>
      <c r="AM63" s="545">
        <f>D63</f>
        <v/>
      </c>
      <c r="AN63" s="546">
        <f>E63</f>
        <v/>
      </c>
      <c r="AO63" s="547">
        <f>F63</f>
        <v/>
      </c>
      <c r="AP63" s="548">
        <f>IF(G63&gt;0,MAX(U63,AB63),N63)</f>
        <v/>
      </c>
    </row>
    <row r="64" ht="15.75" customFormat="1" customHeight="1" s="120">
      <c r="B64" s="551">
        <f>B41</f>
        <v/>
      </c>
      <c r="C64" s="552">
        <f>C41</f>
        <v/>
      </c>
      <c r="D64" s="551">
        <f>$D41</f>
        <v/>
      </c>
      <c r="E64" s="553">
        <f>E41</f>
        <v/>
      </c>
      <c r="F64" s="554">
        <f>F41*(1+Dashboard!$P$12)</f>
        <v/>
      </c>
      <c r="G64" s="555">
        <f>G41*(1+Dashboard!$P$11)</f>
        <v/>
      </c>
      <c r="H64" s="549">
        <f>+G64-F64</f>
        <v/>
      </c>
      <c r="I64" s="556">
        <f>I41*(1+Dashboard!$P$11)</f>
        <v/>
      </c>
      <c r="J64" s="557">
        <f>I64-F64</f>
        <v/>
      </c>
      <c r="K64" s="558">
        <f>K41*(1+Dashboard!$P$11)</f>
        <v/>
      </c>
      <c r="L64" s="559">
        <f>M64+F64</f>
        <v/>
      </c>
      <c r="M64" s="559">
        <f>M41*(1+Dashboard!$P$11)</f>
        <v/>
      </c>
      <c r="N64" s="548">
        <f>((M64*D64)*12)</f>
        <v/>
      </c>
      <c r="P64" s="545">
        <f>B64</f>
        <v/>
      </c>
      <c r="Q64" s="550">
        <f>C64</f>
        <v/>
      </c>
      <c r="R64" s="545">
        <f>D64</f>
        <v/>
      </c>
      <c r="S64" s="546">
        <f>E64</f>
        <v/>
      </c>
      <c r="T64" s="547">
        <f>F64</f>
        <v/>
      </c>
      <c r="U64" s="548">
        <f>((M64*R64)*12)</f>
        <v/>
      </c>
      <c r="W64" s="545">
        <f>B64</f>
        <v/>
      </c>
      <c r="X64" s="550">
        <f>C64</f>
        <v/>
      </c>
      <c r="Y64" s="545">
        <f>D64</f>
        <v/>
      </c>
      <c r="Z64" s="546">
        <f>E64</f>
        <v/>
      </c>
      <c r="AA64" s="547">
        <f>F64</f>
        <v/>
      </c>
      <c r="AB64" s="549">
        <f>((H64*Y64)*12)</f>
        <v/>
      </c>
      <c r="AD64" s="545">
        <f>B64</f>
        <v/>
      </c>
      <c r="AE64" s="550">
        <f>C64</f>
        <v/>
      </c>
      <c r="AF64" s="545">
        <f>D64</f>
        <v/>
      </c>
      <c r="AG64" s="546">
        <f>E64</f>
        <v/>
      </c>
      <c r="AH64" s="547">
        <f>F64</f>
        <v/>
      </c>
      <c r="AI64" s="548">
        <f>+MAX(U64,AB64)</f>
        <v/>
      </c>
      <c r="AK64" s="545">
        <f>B64</f>
        <v/>
      </c>
      <c r="AL64" s="550">
        <f>C64</f>
        <v/>
      </c>
      <c r="AM64" s="545">
        <f>D64</f>
        <v/>
      </c>
      <c r="AN64" s="546">
        <f>E64</f>
        <v/>
      </c>
      <c r="AO64" s="547">
        <f>F64</f>
        <v/>
      </c>
      <c r="AP64" s="548">
        <f>IF(G64&gt;0,MAX(U64,AB64),N64)</f>
        <v/>
      </c>
    </row>
    <row r="65" ht="15.75" customFormat="1" customHeight="1" s="120">
      <c r="B65" s="551">
        <f>B42</f>
        <v/>
      </c>
      <c r="C65" s="552">
        <f>C42</f>
        <v/>
      </c>
      <c r="D65" s="551">
        <f>$D42</f>
        <v/>
      </c>
      <c r="E65" s="553">
        <f>E42</f>
        <v/>
      </c>
      <c r="F65" s="554">
        <f>F42*(1+Dashboard!$P$12)</f>
        <v/>
      </c>
      <c r="G65" s="555">
        <f>G42*(1+Dashboard!$P$11)</f>
        <v/>
      </c>
      <c r="H65" s="549">
        <f>+G65-F65</f>
        <v/>
      </c>
      <c r="I65" s="556">
        <f>I42*(1+Dashboard!$P$11)</f>
        <v/>
      </c>
      <c r="J65" s="557">
        <f>I65-F65</f>
        <v/>
      </c>
      <c r="K65" s="558">
        <f>K42*(1+Dashboard!$P$11)</f>
        <v/>
      </c>
      <c r="L65" s="559">
        <f>M65+F65</f>
        <v/>
      </c>
      <c r="M65" s="559">
        <f>M42*(1+Dashboard!$P$11)</f>
        <v/>
      </c>
      <c r="N65" s="548">
        <f>((M65*D65)*12)</f>
        <v/>
      </c>
      <c r="P65" s="545">
        <f>B65</f>
        <v/>
      </c>
      <c r="Q65" s="550">
        <f>C65</f>
        <v/>
      </c>
      <c r="R65" s="545">
        <f>D65</f>
        <v/>
      </c>
      <c r="S65" s="546">
        <f>E65</f>
        <v/>
      </c>
      <c r="T65" s="547">
        <f>F65</f>
        <v/>
      </c>
      <c r="U65" s="548">
        <f>((M65*R65)*12)</f>
        <v/>
      </c>
      <c r="W65" s="545">
        <f>B65</f>
        <v/>
      </c>
      <c r="X65" s="550">
        <f>C65</f>
        <v/>
      </c>
      <c r="Y65" s="545">
        <f>D65</f>
        <v/>
      </c>
      <c r="Z65" s="546">
        <f>E65</f>
        <v/>
      </c>
      <c r="AA65" s="547">
        <f>F65</f>
        <v/>
      </c>
      <c r="AB65" s="549">
        <f>((H65*Y65)*12)</f>
        <v/>
      </c>
      <c r="AD65" s="545">
        <f>B65</f>
        <v/>
      </c>
      <c r="AE65" s="550">
        <f>C65</f>
        <v/>
      </c>
      <c r="AF65" s="545">
        <f>D65</f>
        <v/>
      </c>
      <c r="AG65" s="546">
        <f>E65</f>
        <v/>
      </c>
      <c r="AH65" s="547">
        <f>F65</f>
        <v/>
      </c>
      <c r="AI65" s="548">
        <f>+MAX(U65,AB65)</f>
        <v/>
      </c>
      <c r="AK65" s="545">
        <f>B65</f>
        <v/>
      </c>
      <c r="AL65" s="550">
        <f>C65</f>
        <v/>
      </c>
      <c r="AM65" s="545">
        <f>D65</f>
        <v/>
      </c>
      <c r="AN65" s="546">
        <f>E65</f>
        <v/>
      </c>
      <c r="AO65" s="547">
        <f>F65</f>
        <v/>
      </c>
      <c r="AP65" s="548">
        <f>IF(G65&gt;0,MAX(U65,AB65),N65)</f>
        <v/>
      </c>
    </row>
    <row r="66" ht="15.75" customFormat="1" customHeight="1" s="120">
      <c r="B66" s="551">
        <f>B43</f>
        <v/>
      </c>
      <c r="C66" s="552">
        <f>C43</f>
        <v/>
      </c>
      <c r="D66" s="551">
        <f>$D43</f>
        <v/>
      </c>
      <c r="E66" s="553">
        <f>E43</f>
        <v/>
      </c>
      <c r="F66" s="554">
        <f>F43*(1+Dashboard!$P$12)</f>
        <v/>
      </c>
      <c r="G66" s="555">
        <f>G43*(1+Dashboard!$P$11)</f>
        <v/>
      </c>
      <c r="H66" s="549">
        <f>+G66-F66</f>
        <v/>
      </c>
      <c r="I66" s="556">
        <f>I43*(1+Dashboard!$P$11)</f>
        <v/>
      </c>
      <c r="J66" s="557">
        <f>I66-F66</f>
        <v/>
      </c>
      <c r="K66" s="558">
        <f>K43*(1+Dashboard!$P$11)</f>
        <v/>
      </c>
      <c r="L66" s="559">
        <f>M66+F66</f>
        <v/>
      </c>
      <c r="M66" s="559">
        <f>M43*(1+Dashboard!$P$11)</f>
        <v/>
      </c>
      <c r="N66" s="548">
        <f>((M66*D66)*12)</f>
        <v/>
      </c>
      <c r="P66" s="545">
        <f>B66</f>
        <v/>
      </c>
      <c r="Q66" s="550">
        <f>C66</f>
        <v/>
      </c>
      <c r="R66" s="545">
        <f>D66</f>
        <v/>
      </c>
      <c r="S66" s="546">
        <f>E66</f>
        <v/>
      </c>
      <c r="T66" s="547">
        <f>F66</f>
        <v/>
      </c>
      <c r="U66" s="548">
        <f>((M66*R66)*12)</f>
        <v/>
      </c>
      <c r="W66" s="545">
        <f>B66</f>
        <v/>
      </c>
      <c r="X66" s="550">
        <f>C66</f>
        <v/>
      </c>
      <c r="Y66" s="545">
        <f>D66</f>
        <v/>
      </c>
      <c r="Z66" s="546">
        <f>E66</f>
        <v/>
      </c>
      <c r="AA66" s="547">
        <f>F66</f>
        <v/>
      </c>
      <c r="AB66" s="549">
        <f>((H66*Y66)*12)</f>
        <v/>
      </c>
      <c r="AD66" s="545">
        <f>B66</f>
        <v/>
      </c>
      <c r="AE66" s="550">
        <f>C66</f>
        <v/>
      </c>
      <c r="AF66" s="545">
        <f>D66</f>
        <v/>
      </c>
      <c r="AG66" s="546">
        <f>E66</f>
        <v/>
      </c>
      <c r="AH66" s="547">
        <f>F66</f>
        <v/>
      </c>
      <c r="AI66" s="548">
        <f>+MAX(U66,AB66)</f>
        <v/>
      </c>
      <c r="AK66" s="545">
        <f>B66</f>
        <v/>
      </c>
      <c r="AL66" s="550">
        <f>C66</f>
        <v/>
      </c>
      <c r="AM66" s="545">
        <f>D66</f>
        <v/>
      </c>
      <c r="AN66" s="546">
        <f>E66</f>
        <v/>
      </c>
      <c r="AO66" s="547">
        <f>F66</f>
        <v/>
      </c>
      <c r="AP66" s="548">
        <f>IF(G66&gt;0,MAX(U66,AB66),N66)</f>
        <v/>
      </c>
    </row>
    <row r="67" ht="15.75" customFormat="1" customHeight="1" s="120">
      <c r="B67" s="551">
        <f>B44</f>
        <v/>
      </c>
      <c r="C67" s="552">
        <f>C44</f>
        <v/>
      </c>
      <c r="D67" s="551">
        <f>$D44</f>
        <v/>
      </c>
      <c r="E67" s="553">
        <f>E44</f>
        <v/>
      </c>
      <c r="F67" s="554">
        <f>F44*(1+Dashboard!$P$12)</f>
        <v/>
      </c>
      <c r="G67" s="555">
        <f>G44*(1+Dashboard!$P$11)</f>
        <v/>
      </c>
      <c r="H67" s="549">
        <f>+G67-F67</f>
        <v/>
      </c>
      <c r="I67" s="556">
        <f>I44*(1+Dashboard!$P$11)</f>
        <v/>
      </c>
      <c r="J67" s="557">
        <f>I67-F67</f>
        <v/>
      </c>
      <c r="K67" s="558">
        <f>K44*(1+Dashboard!$P$11)</f>
        <v/>
      </c>
      <c r="L67" s="559">
        <f>M67+F67</f>
        <v/>
      </c>
      <c r="M67" s="559">
        <f>M44*(1+Dashboard!$P$11)</f>
        <v/>
      </c>
      <c r="N67" s="548">
        <f>((M67*D67)*12)</f>
        <v/>
      </c>
      <c r="P67" s="545">
        <f>B67</f>
        <v/>
      </c>
      <c r="Q67" s="550">
        <f>C67</f>
        <v/>
      </c>
      <c r="R67" s="545">
        <f>D67</f>
        <v/>
      </c>
      <c r="S67" s="546">
        <f>E67</f>
        <v/>
      </c>
      <c r="T67" s="547">
        <f>F67</f>
        <v/>
      </c>
      <c r="U67" s="548">
        <f>((M67*R67)*12)</f>
        <v/>
      </c>
      <c r="W67" s="545">
        <f>B67</f>
        <v/>
      </c>
      <c r="X67" s="550">
        <f>C67</f>
        <v/>
      </c>
      <c r="Y67" s="545">
        <f>D67</f>
        <v/>
      </c>
      <c r="Z67" s="546">
        <f>E67</f>
        <v/>
      </c>
      <c r="AA67" s="547">
        <f>F67</f>
        <v/>
      </c>
      <c r="AB67" s="549">
        <f>((H67*Y67)*12)</f>
        <v/>
      </c>
      <c r="AD67" s="545">
        <f>B67</f>
        <v/>
      </c>
      <c r="AE67" s="550">
        <f>C67</f>
        <v/>
      </c>
      <c r="AF67" s="545">
        <f>D67</f>
        <v/>
      </c>
      <c r="AG67" s="546">
        <f>E67</f>
        <v/>
      </c>
      <c r="AH67" s="547">
        <f>F67</f>
        <v/>
      </c>
      <c r="AI67" s="548">
        <f>+MAX(U67,AB67)</f>
        <v/>
      </c>
      <c r="AK67" s="545">
        <f>B67</f>
        <v/>
      </c>
      <c r="AL67" s="550">
        <f>C67</f>
        <v/>
      </c>
      <c r="AM67" s="545">
        <f>D67</f>
        <v/>
      </c>
      <c r="AN67" s="546">
        <f>E67</f>
        <v/>
      </c>
      <c r="AO67" s="547">
        <f>F67</f>
        <v/>
      </c>
      <c r="AP67" s="548">
        <f>IF(G67&gt;0,MAX(U67,AB67),N67)</f>
        <v/>
      </c>
    </row>
    <row r="68" ht="15.75" customFormat="1" customHeight="1" s="120">
      <c r="B68" s="551">
        <f>B45</f>
        <v/>
      </c>
      <c r="C68" s="552">
        <f>C45</f>
        <v/>
      </c>
      <c r="D68" s="551">
        <f>$D45</f>
        <v/>
      </c>
      <c r="E68" s="553">
        <f>E45</f>
        <v/>
      </c>
      <c r="F68" s="554">
        <f>F45*(1+Dashboard!$P$12)</f>
        <v/>
      </c>
      <c r="G68" s="555">
        <f>G45*(1+Dashboard!$P$11)</f>
        <v/>
      </c>
      <c r="H68" s="549">
        <f>+G68-F68</f>
        <v/>
      </c>
      <c r="I68" s="556">
        <f>I45*(1+Dashboard!$P$11)</f>
        <v/>
      </c>
      <c r="J68" s="557">
        <f>I68-F68</f>
        <v/>
      </c>
      <c r="K68" s="558">
        <f>K45*(1+Dashboard!$P$11)</f>
        <v/>
      </c>
      <c r="L68" s="559">
        <f>M68+F68</f>
        <v/>
      </c>
      <c r="M68" s="559">
        <f>M45*(1+Dashboard!$P$11)</f>
        <v/>
      </c>
      <c r="N68" s="548">
        <f>((M68*D68)*12)</f>
        <v/>
      </c>
      <c r="P68" s="545">
        <f>B68</f>
        <v/>
      </c>
      <c r="Q68" s="550">
        <f>C68</f>
        <v/>
      </c>
      <c r="R68" s="545">
        <f>D68</f>
        <v/>
      </c>
      <c r="S68" s="546">
        <f>E68</f>
        <v/>
      </c>
      <c r="T68" s="547">
        <f>F68</f>
        <v/>
      </c>
      <c r="U68" s="548">
        <f>((M68*R68)*12)</f>
        <v/>
      </c>
      <c r="W68" s="545">
        <f>B68</f>
        <v/>
      </c>
      <c r="X68" s="550">
        <f>C68</f>
        <v/>
      </c>
      <c r="Y68" s="545">
        <f>D68</f>
        <v/>
      </c>
      <c r="Z68" s="546">
        <f>E68</f>
        <v/>
      </c>
      <c r="AA68" s="547">
        <f>F68</f>
        <v/>
      </c>
      <c r="AB68" s="549">
        <f>((H68*Y68)*12)</f>
        <v/>
      </c>
      <c r="AD68" s="545">
        <f>B68</f>
        <v/>
      </c>
      <c r="AE68" s="550">
        <f>C68</f>
        <v/>
      </c>
      <c r="AF68" s="545">
        <f>D68</f>
        <v/>
      </c>
      <c r="AG68" s="546">
        <f>E68</f>
        <v/>
      </c>
      <c r="AH68" s="547">
        <f>F68</f>
        <v/>
      </c>
      <c r="AI68" s="548">
        <f>+MAX(U68,AB68)</f>
        <v/>
      </c>
      <c r="AK68" s="545">
        <f>B68</f>
        <v/>
      </c>
      <c r="AL68" s="550">
        <f>C68</f>
        <v/>
      </c>
      <c r="AM68" s="545">
        <f>D68</f>
        <v/>
      </c>
      <c r="AN68" s="546">
        <f>E68</f>
        <v/>
      </c>
      <c r="AO68" s="547">
        <f>F68</f>
        <v/>
      </c>
      <c r="AP68" s="548">
        <f>IF(G68&gt;0,MAX(U68,AB68),N68)</f>
        <v/>
      </c>
    </row>
    <row r="69" ht="15.75" customFormat="1" customHeight="1" s="120">
      <c r="B69" s="551">
        <f>B46</f>
        <v/>
      </c>
      <c r="C69" s="552">
        <f>C46</f>
        <v/>
      </c>
      <c r="D69" s="551">
        <f>$D46</f>
        <v/>
      </c>
      <c r="E69" s="553">
        <f>E46</f>
        <v/>
      </c>
      <c r="F69" s="554">
        <f>F46*(1+Dashboard!$P$12)</f>
        <v/>
      </c>
      <c r="G69" s="555">
        <f>G46*(1+Dashboard!$P$11)</f>
        <v/>
      </c>
      <c r="H69" s="549">
        <f>+G69-F69</f>
        <v/>
      </c>
      <c r="I69" s="556">
        <f>I46*(1+Dashboard!$P$11)</f>
        <v/>
      </c>
      <c r="J69" s="557">
        <f>I69-F69</f>
        <v/>
      </c>
      <c r="K69" s="558">
        <f>K46*(1+Dashboard!$P$11)</f>
        <v/>
      </c>
      <c r="L69" s="559">
        <f>M69+F69</f>
        <v/>
      </c>
      <c r="M69" s="559">
        <f>M46*(1+Dashboard!$P$11)</f>
        <v/>
      </c>
      <c r="N69" s="548">
        <f>((M69*D69)*12)</f>
        <v/>
      </c>
      <c r="P69" s="545">
        <f>B69</f>
        <v/>
      </c>
      <c r="Q69" s="550">
        <f>C69</f>
        <v/>
      </c>
      <c r="R69" s="545">
        <f>D69</f>
        <v/>
      </c>
      <c r="S69" s="546">
        <f>E69</f>
        <v/>
      </c>
      <c r="T69" s="547">
        <f>F69</f>
        <v/>
      </c>
      <c r="U69" s="548">
        <f>((M69*R69)*12)</f>
        <v/>
      </c>
      <c r="W69" s="545">
        <f>B69</f>
        <v/>
      </c>
      <c r="X69" s="550">
        <f>C69</f>
        <v/>
      </c>
      <c r="Y69" s="545">
        <f>D69</f>
        <v/>
      </c>
      <c r="Z69" s="546">
        <f>E69</f>
        <v/>
      </c>
      <c r="AA69" s="547">
        <f>F69</f>
        <v/>
      </c>
      <c r="AB69" s="549">
        <f>((H69*Y69)*12)</f>
        <v/>
      </c>
      <c r="AD69" s="545">
        <f>B69</f>
        <v/>
      </c>
      <c r="AE69" s="550">
        <f>C69</f>
        <v/>
      </c>
      <c r="AF69" s="545">
        <f>D69</f>
        <v/>
      </c>
      <c r="AG69" s="546">
        <f>E69</f>
        <v/>
      </c>
      <c r="AH69" s="547">
        <f>F69</f>
        <v/>
      </c>
      <c r="AI69" s="548">
        <f>+MAX(U69,AB69)</f>
        <v/>
      </c>
      <c r="AK69" s="545">
        <f>B69</f>
        <v/>
      </c>
      <c r="AL69" s="550">
        <f>C69</f>
        <v/>
      </c>
      <c r="AM69" s="545">
        <f>D69</f>
        <v/>
      </c>
      <c r="AN69" s="546">
        <f>E69</f>
        <v/>
      </c>
      <c r="AO69" s="547">
        <f>F69</f>
        <v/>
      </c>
      <c r="AP69" s="548">
        <f>IF(G69&gt;0,MAX(U69,AB69),N69)</f>
        <v/>
      </c>
    </row>
    <row r="70" ht="15.75" customFormat="1" customHeight="1" s="120">
      <c r="B70" s="551">
        <f>B47</f>
        <v/>
      </c>
      <c r="C70" s="552">
        <f>C47</f>
        <v/>
      </c>
      <c r="D70" s="551">
        <f>$D47</f>
        <v/>
      </c>
      <c r="E70" s="553">
        <f>E47</f>
        <v/>
      </c>
      <c r="F70" s="554">
        <f>F47*(1+Dashboard!$P$12)</f>
        <v/>
      </c>
      <c r="G70" s="555">
        <f>G47*(1+Dashboard!$P$11)</f>
        <v/>
      </c>
      <c r="H70" s="549">
        <f>+G70-F70</f>
        <v/>
      </c>
      <c r="I70" s="556">
        <f>I47*(1+Dashboard!$P$11)</f>
        <v/>
      </c>
      <c r="J70" s="557">
        <f>I70-F70</f>
        <v/>
      </c>
      <c r="K70" s="558">
        <f>K47*(1+Dashboard!$P$11)</f>
        <v/>
      </c>
      <c r="L70" s="559">
        <f>M70+F70</f>
        <v/>
      </c>
      <c r="M70" s="559">
        <f>M47*(1+Dashboard!$P$11)</f>
        <v/>
      </c>
      <c r="N70" s="548">
        <f>((M70*D70)*12)</f>
        <v/>
      </c>
      <c r="P70" s="545">
        <f>B70</f>
        <v/>
      </c>
      <c r="Q70" s="550">
        <f>C70</f>
        <v/>
      </c>
      <c r="R70" s="545">
        <f>D70</f>
        <v/>
      </c>
      <c r="S70" s="546">
        <f>E70</f>
        <v/>
      </c>
      <c r="T70" s="547">
        <f>F70</f>
        <v/>
      </c>
      <c r="U70" s="548">
        <f>((M70*R70)*12)</f>
        <v/>
      </c>
      <c r="W70" s="545">
        <f>B70</f>
        <v/>
      </c>
      <c r="X70" s="550">
        <f>C70</f>
        <v/>
      </c>
      <c r="Y70" s="545">
        <f>D70</f>
        <v/>
      </c>
      <c r="Z70" s="546">
        <f>E70</f>
        <v/>
      </c>
      <c r="AA70" s="547">
        <f>F70</f>
        <v/>
      </c>
      <c r="AB70" s="549">
        <f>((H70*Y70)*12)</f>
        <v/>
      </c>
      <c r="AD70" s="545">
        <f>B70</f>
        <v/>
      </c>
      <c r="AE70" s="550">
        <f>C70</f>
        <v/>
      </c>
      <c r="AF70" s="545">
        <f>D70</f>
        <v/>
      </c>
      <c r="AG70" s="546">
        <f>E70</f>
        <v/>
      </c>
      <c r="AH70" s="547">
        <f>F70</f>
        <v/>
      </c>
      <c r="AI70" s="548">
        <f>+MAX(U70,AB70)</f>
        <v/>
      </c>
      <c r="AK70" s="545">
        <f>B70</f>
        <v/>
      </c>
      <c r="AL70" s="550">
        <f>C70</f>
        <v/>
      </c>
      <c r="AM70" s="545">
        <f>D70</f>
        <v/>
      </c>
      <c r="AN70" s="546">
        <f>E70</f>
        <v/>
      </c>
      <c r="AO70" s="547">
        <f>F70</f>
        <v/>
      </c>
      <c r="AP70" s="548">
        <f>IF(G70&gt;0,MAX(U70,AB70),N70)</f>
        <v/>
      </c>
    </row>
    <row r="71" ht="15.75" customFormat="1" customHeight="1" s="120">
      <c r="B71" s="551">
        <f>B48</f>
        <v/>
      </c>
      <c r="C71" s="552">
        <f>C48</f>
        <v/>
      </c>
      <c r="D71" s="551">
        <f>$D48</f>
        <v/>
      </c>
      <c r="E71" s="553">
        <f>E48</f>
        <v/>
      </c>
      <c r="F71" s="554">
        <f>F48*(1+Dashboard!$P$12)</f>
        <v/>
      </c>
      <c r="G71" s="555">
        <f>G48*(1+Dashboard!$P$11)</f>
        <v/>
      </c>
      <c r="H71" s="549">
        <f>+G71-F71</f>
        <v/>
      </c>
      <c r="I71" s="556">
        <f>I48*(1+Dashboard!$P$11)</f>
        <v/>
      </c>
      <c r="J71" s="557">
        <f>I71-F71</f>
        <v/>
      </c>
      <c r="K71" s="558">
        <f>K48*(1+Dashboard!$P$11)</f>
        <v/>
      </c>
      <c r="L71" s="559">
        <f>M71+F71</f>
        <v/>
      </c>
      <c r="M71" s="559">
        <f>M48*(1+Dashboard!$P$11)</f>
        <v/>
      </c>
      <c r="N71" s="548">
        <f>((M71*D71)*12)</f>
        <v/>
      </c>
      <c r="P71" s="545">
        <f>B71</f>
        <v/>
      </c>
      <c r="Q71" s="550">
        <f>C71</f>
        <v/>
      </c>
      <c r="R71" s="545">
        <f>D71</f>
        <v/>
      </c>
      <c r="S71" s="546">
        <f>E71</f>
        <v/>
      </c>
      <c r="T71" s="547">
        <f>F71</f>
        <v/>
      </c>
      <c r="U71" s="548">
        <f>((M71*R71)*12)</f>
        <v/>
      </c>
      <c r="W71" s="545">
        <f>B71</f>
        <v/>
      </c>
      <c r="X71" s="550">
        <f>C71</f>
        <v/>
      </c>
      <c r="Y71" s="545">
        <f>D71</f>
        <v/>
      </c>
      <c r="Z71" s="546">
        <f>E71</f>
        <v/>
      </c>
      <c r="AA71" s="547">
        <f>F71</f>
        <v/>
      </c>
      <c r="AB71" s="549">
        <f>((H71*Y71)*12)</f>
        <v/>
      </c>
      <c r="AD71" s="545">
        <f>B71</f>
        <v/>
      </c>
      <c r="AE71" s="550">
        <f>C71</f>
        <v/>
      </c>
      <c r="AF71" s="545">
        <f>D71</f>
        <v/>
      </c>
      <c r="AG71" s="546">
        <f>E71</f>
        <v/>
      </c>
      <c r="AH71" s="547">
        <f>F71</f>
        <v/>
      </c>
      <c r="AI71" s="548">
        <f>+MAX(U71,AB71)</f>
        <v/>
      </c>
      <c r="AK71" s="545">
        <f>B71</f>
        <v/>
      </c>
      <c r="AL71" s="550">
        <f>C71</f>
        <v/>
      </c>
      <c r="AM71" s="545">
        <f>D71</f>
        <v/>
      </c>
      <c r="AN71" s="546">
        <f>E71</f>
        <v/>
      </c>
      <c r="AO71" s="547">
        <f>F71</f>
        <v/>
      </c>
      <c r="AP71" s="548">
        <f>IF(G71&gt;0,MAX(U71,AB71),N71)</f>
        <v/>
      </c>
    </row>
    <row r="72" ht="15.75" customFormat="1" customHeight="1" s="120">
      <c r="B72" s="198" t="inlineStr">
        <is>
          <t>Total (Pre-Vacancy)</t>
        </is>
      </c>
      <c r="C72" s="122" t="n"/>
      <c r="D72" s="166">
        <f>SUM(D53:D71)</f>
        <v/>
      </c>
      <c r="E72" s="166">
        <f>+SUMPRODUCT(E53:E71,$D53:$D71)</f>
        <v/>
      </c>
      <c r="F72" s="165">
        <f>+SUMPRODUCT(F53:F71,$D53:$D71)</f>
        <v/>
      </c>
      <c r="G72" s="165">
        <f>+SUMPRODUCT(G53:G71,$D53:$D71)</f>
        <v/>
      </c>
      <c r="H72" s="165">
        <f>+SUMPRODUCT(H53:H71,$D53:$D71)</f>
        <v/>
      </c>
      <c r="I72" s="165">
        <f>+SUMPRODUCT(I53:I71,$D53:$D71)</f>
        <v/>
      </c>
      <c r="J72" s="165">
        <f>+SUMPRODUCT(J53:J71,$D53:$D71)</f>
        <v/>
      </c>
      <c r="K72" s="165">
        <f>+SUMPRODUCT(K53:K71,$D53:$D71)</f>
        <v/>
      </c>
      <c r="L72" s="165">
        <f>+SUMPRODUCT(L53:L71,$D53:$D71)</f>
        <v/>
      </c>
      <c r="M72" s="165">
        <f>+SUMPRODUCT(M53:M71,$D53:$D71)</f>
        <v/>
      </c>
      <c r="N72" s="165">
        <f>SUM(N53:N71)</f>
        <v/>
      </c>
      <c r="P72" s="198" t="inlineStr">
        <is>
          <t>Total (Pre-Vacancy)</t>
        </is>
      </c>
      <c r="Q72" s="122" t="n"/>
      <c r="R72" s="560">
        <f>SUM(R53:R71)</f>
        <v/>
      </c>
      <c r="S72" s="560">
        <f>+SUMPRODUCT(S53:S71,$R53:$R71)</f>
        <v/>
      </c>
      <c r="T72" s="165">
        <f>+SUMPRODUCT(T53:T71,$R53:$R71)</f>
        <v/>
      </c>
      <c r="U72" s="165">
        <f>SUM(U53:U71)</f>
        <v/>
      </c>
      <c r="W72" s="198" t="inlineStr">
        <is>
          <t>Total (Pre-Vacancy)</t>
        </is>
      </c>
      <c r="X72" s="122" t="n"/>
      <c r="Y72" s="560">
        <f>SUM(Y53:Y71)</f>
        <v/>
      </c>
      <c r="Z72" s="560">
        <f>+SUMPRODUCT(Z53:Z71,$Y53:$Y71)</f>
        <v/>
      </c>
      <c r="AA72" s="165">
        <f>+SUMPRODUCT(AA53:AA71,$Y53:$Y71)</f>
        <v/>
      </c>
      <c r="AB72" s="165">
        <f>SUM(AB53:AB71)</f>
        <v/>
      </c>
      <c r="AC72" s="122" t="n"/>
      <c r="AD72" s="198" t="inlineStr">
        <is>
          <t>Total (Pre-Vacancy)</t>
        </is>
      </c>
      <c r="AE72" s="122" t="n"/>
      <c r="AF72" s="560">
        <f>SUM(AF53:AF71)</f>
        <v/>
      </c>
      <c r="AG72" s="560">
        <f>+SUMPRODUCT(AG53:AG71,$AF53:$AF71)</f>
        <v/>
      </c>
      <c r="AH72" s="165">
        <f>+SUMPRODUCT(AH53:AH71,$AF53:$AF71)</f>
        <v/>
      </c>
      <c r="AI72" s="165">
        <f>SUM(AI53:AI71)</f>
        <v/>
      </c>
      <c r="AK72" s="198" t="inlineStr">
        <is>
          <t>Total (Pre-Vacancy)</t>
        </is>
      </c>
      <c r="AL72" s="122" t="n"/>
      <c r="AM72" s="560">
        <f>SUM(AF53:AF71)</f>
        <v/>
      </c>
      <c r="AN72" s="560">
        <f>+SUMPRODUCT(AG53:AG71,$AF53:$AF71)</f>
        <v/>
      </c>
      <c r="AO72" s="165">
        <f>+SUMPRODUCT(AH53:AH71,$AF53:$AF71)</f>
        <v/>
      </c>
      <c r="AP72" s="165">
        <f>SUM(AP53:AP71)</f>
        <v/>
      </c>
    </row>
    <row r="73" ht="15.75" customFormat="1" customHeight="1" s="120">
      <c r="K73" s="132" t="n"/>
      <c r="AK73" s="607" t="n"/>
      <c r="AL73" s="607" t="n"/>
      <c r="AM73" s="607" t="n"/>
      <c r="AN73" s="607" t="n"/>
      <c r="AO73" s="607" t="n"/>
      <c r="AP73" s="607" t="n"/>
    </row>
    <row r="74" ht="15.75" customFormat="1" customHeight="1" s="168">
      <c r="B74" s="170" t="inlineStr">
        <is>
          <t>Year 4</t>
        </is>
      </c>
      <c r="C74" s="170" t="n"/>
      <c r="D74" s="170" t="n"/>
      <c r="E74" s="170" t="n"/>
      <c r="F74" s="170" t="n"/>
      <c r="G74" s="170" t="n"/>
      <c r="H74" s="170" t="n"/>
      <c r="I74" s="170" t="n"/>
      <c r="J74" s="170" t="n"/>
      <c r="K74" s="170" t="n"/>
      <c r="L74" s="170" t="n"/>
      <c r="M74" s="170" t="n"/>
      <c r="N74" s="170" t="n"/>
      <c r="P74" s="170">
        <f>+$B74</f>
        <v/>
      </c>
      <c r="Q74" s="170" t="n"/>
      <c r="R74" s="170" t="n"/>
      <c r="S74" s="170" t="n"/>
      <c r="T74" s="170" t="n"/>
      <c r="U74" s="170" t="n"/>
      <c r="W74" s="170">
        <f>+$B74</f>
        <v/>
      </c>
      <c r="X74" s="170" t="n"/>
      <c r="Y74" s="170" t="n"/>
      <c r="Z74" s="170" t="n"/>
      <c r="AA74" s="170" t="n"/>
      <c r="AB74" s="170" t="n"/>
      <c r="AD74" s="170">
        <f>+$B74</f>
        <v/>
      </c>
      <c r="AE74" s="170" t="n"/>
      <c r="AF74" s="170" t="n"/>
      <c r="AG74" s="170" t="n"/>
      <c r="AH74" s="170" t="n"/>
      <c r="AI74" s="170" t="n"/>
      <c r="AK74" s="170">
        <f>+$B74</f>
        <v/>
      </c>
      <c r="AL74" s="170" t="n"/>
      <c r="AM74" s="170" t="n"/>
      <c r="AN74" s="170" t="n"/>
      <c r="AO74" s="170" t="n"/>
      <c r="AP74" s="170" t="n"/>
    </row>
    <row r="75" ht="38.25" customFormat="1" customHeight="1" s="164">
      <c r="B75" s="543" t="inlineStr">
        <is>
          <t>Unit Type</t>
        </is>
      </c>
      <c r="C75" s="543" t="inlineStr">
        <is>
          <t>AMI / S8</t>
        </is>
      </c>
      <c r="D75" s="543" t="inlineStr">
        <is>
          <t># of Units</t>
        </is>
      </c>
      <c r="E75" s="543" t="inlineStr">
        <is>
          <t>Avg. SF</t>
        </is>
      </c>
      <c r="F75" s="543" t="inlineStr">
        <is>
          <t>Avg. Utilities</t>
        </is>
      </c>
      <c r="G75" s="544" t="inlineStr">
        <is>
          <t>Avg. Max LITHC</t>
        </is>
      </c>
      <c r="H75" s="543" t="inlineStr">
        <is>
          <t>Net LIHTC</t>
        </is>
      </c>
      <c r="I75" s="543" t="inlineStr">
        <is>
          <t>Avg. Max FMR</t>
        </is>
      </c>
      <c r="J75" s="543" t="inlineStr">
        <is>
          <t>Net FMR</t>
        </is>
      </c>
      <c r="K75" s="543">
        <f>+K52</f>
        <v/>
      </c>
      <c r="L75" s="543" t="inlineStr">
        <is>
          <t>Gross Rent</t>
        </is>
      </c>
      <c r="M75" s="543" t="inlineStr">
        <is>
          <t>Avg. Current Rent</t>
        </is>
      </c>
      <c r="N75" s="543" t="inlineStr">
        <is>
          <t>Yrly. Gross Income (Net Rent)</t>
        </is>
      </c>
      <c r="P75" s="543" t="inlineStr">
        <is>
          <t>Unit Type</t>
        </is>
      </c>
      <c r="Q75" s="543" t="inlineStr">
        <is>
          <t>AMI / S8</t>
        </is>
      </c>
      <c r="R75" s="543" t="inlineStr">
        <is>
          <t># of Units</t>
        </is>
      </c>
      <c r="S75" s="543" t="inlineStr">
        <is>
          <t>Avg. SF</t>
        </is>
      </c>
      <c r="T75" s="543" t="inlineStr">
        <is>
          <t>Avg. Utilities</t>
        </is>
      </c>
      <c r="U75" s="543" t="inlineStr">
        <is>
          <t>Max Current Vouchers</t>
        </is>
      </c>
      <c r="W75" s="543" t="inlineStr">
        <is>
          <t>Unit Type</t>
        </is>
      </c>
      <c r="X75" s="543" t="inlineStr">
        <is>
          <t>AMI / S8</t>
        </is>
      </c>
      <c r="Y75" s="543" t="inlineStr">
        <is>
          <t># of Units</t>
        </is>
      </c>
      <c r="Z75" s="543" t="inlineStr">
        <is>
          <t>Avg. SF</t>
        </is>
      </c>
      <c r="AA75" s="543" t="inlineStr">
        <is>
          <t>Avg. Utilities</t>
        </is>
      </c>
      <c r="AB75" s="543" t="inlineStr">
        <is>
          <t>Max NET LIHTC</t>
        </is>
      </c>
      <c r="AD75" s="543" t="inlineStr">
        <is>
          <t>Unit Type</t>
        </is>
      </c>
      <c r="AE75" s="543" t="inlineStr">
        <is>
          <t>AMI / S8</t>
        </is>
      </c>
      <c r="AF75" s="543" t="inlineStr">
        <is>
          <t># of Units</t>
        </is>
      </c>
      <c r="AG75" s="543" t="inlineStr">
        <is>
          <t>Avg. SF</t>
        </is>
      </c>
      <c r="AH75" s="543" t="inlineStr">
        <is>
          <t>Avg. Utilities</t>
        </is>
      </c>
      <c r="AI75" s="543" t="inlineStr">
        <is>
          <t xml:space="preserve">Max Current Vouchers + NET LIHTC </t>
        </is>
      </c>
      <c r="AK75" s="543" t="inlineStr">
        <is>
          <t>Unit Type</t>
        </is>
      </c>
      <c r="AL75" s="543" t="inlineStr">
        <is>
          <t>AMI / S8</t>
        </is>
      </c>
      <c r="AM75" s="543" t="inlineStr">
        <is>
          <t># of Units</t>
        </is>
      </c>
      <c r="AN75" s="543" t="inlineStr">
        <is>
          <t>Avg. SF</t>
        </is>
      </c>
      <c r="AO75" s="543" t="inlineStr">
        <is>
          <t>Avg. Utilities</t>
        </is>
      </c>
      <c r="AP75" s="543" t="inlineStr">
        <is>
          <t xml:space="preserve">Max Current Vouchers + NET LIHTC </t>
        </is>
      </c>
    </row>
    <row r="76" ht="15.75" customFormat="1" customHeight="1" s="120">
      <c r="B76" s="551">
        <f>B53</f>
        <v/>
      </c>
      <c r="C76" s="552">
        <f>C53</f>
        <v/>
      </c>
      <c r="D76" s="551">
        <f>$D53</f>
        <v/>
      </c>
      <c r="E76" s="553">
        <f>E53</f>
        <v/>
      </c>
      <c r="F76" s="554">
        <f>F53*(1+Dashboard!$P$12)</f>
        <v/>
      </c>
      <c r="G76" s="555">
        <f>G53*(1+Dashboard!$P$11)</f>
        <v/>
      </c>
      <c r="H76" s="549">
        <f>+G76-F76</f>
        <v/>
      </c>
      <c r="I76" s="556">
        <f>I53*(1+Dashboard!$P$11)</f>
        <v/>
      </c>
      <c r="J76" s="557">
        <f>I76-F76</f>
        <v/>
      </c>
      <c r="K76" s="558">
        <f>K53*(1+Dashboard!$P$11)</f>
        <v/>
      </c>
      <c r="L76" s="559">
        <f>M76+F76</f>
        <v/>
      </c>
      <c r="M76" s="559">
        <f>M53*(1+Dashboard!$P$11)</f>
        <v/>
      </c>
      <c r="N76" s="548">
        <f>((M76*D76)*12)</f>
        <v/>
      </c>
      <c r="P76" s="545">
        <f>B76</f>
        <v/>
      </c>
      <c r="Q76" s="545">
        <f>C76</f>
        <v/>
      </c>
      <c r="R76" s="545">
        <f>D76</f>
        <v/>
      </c>
      <c r="S76" s="546">
        <f>E76</f>
        <v/>
      </c>
      <c r="T76" s="547">
        <f>F76</f>
        <v/>
      </c>
      <c r="U76" s="548">
        <f>((M76*R76)*12)</f>
        <v/>
      </c>
      <c r="W76" s="545">
        <f>B76</f>
        <v/>
      </c>
      <c r="X76" s="545">
        <f>C76</f>
        <v/>
      </c>
      <c r="Y76" s="545">
        <f>D76</f>
        <v/>
      </c>
      <c r="Z76" s="546">
        <f>E76</f>
        <v/>
      </c>
      <c r="AA76" s="547">
        <f>F76</f>
        <v/>
      </c>
      <c r="AB76" s="549">
        <f>((H76*Y76)*12)</f>
        <v/>
      </c>
      <c r="AD76" s="545">
        <f>B76</f>
        <v/>
      </c>
      <c r="AE76" s="545">
        <f>C76</f>
        <v/>
      </c>
      <c r="AF76" s="545">
        <f>D76</f>
        <v/>
      </c>
      <c r="AG76" s="546">
        <f>E76</f>
        <v/>
      </c>
      <c r="AH76" s="547">
        <f>F76</f>
        <v/>
      </c>
      <c r="AI76" s="548">
        <f>+MAX(U76,AB76)</f>
        <v/>
      </c>
      <c r="AK76" s="545">
        <f>B76</f>
        <v/>
      </c>
      <c r="AL76" s="545">
        <f>C76</f>
        <v/>
      </c>
      <c r="AM76" s="545">
        <f>D76</f>
        <v/>
      </c>
      <c r="AN76" s="546">
        <f>E76</f>
        <v/>
      </c>
      <c r="AO76" s="547">
        <f>F76</f>
        <v/>
      </c>
      <c r="AP76" s="548">
        <f>IF(G76&gt;0,MAX(U76,AB76),N76)</f>
        <v/>
      </c>
    </row>
    <row r="77" ht="15.75" customFormat="1" customHeight="1" s="120">
      <c r="B77" s="551">
        <f>B54</f>
        <v/>
      </c>
      <c r="C77" s="552">
        <f>C54</f>
        <v/>
      </c>
      <c r="D77" s="551">
        <f>$D54</f>
        <v/>
      </c>
      <c r="E77" s="553">
        <f>E54</f>
        <v/>
      </c>
      <c r="F77" s="554">
        <f>F54*(1+Dashboard!$P$12)</f>
        <v/>
      </c>
      <c r="G77" s="555">
        <f>G54*(1+Dashboard!$P$11)</f>
        <v/>
      </c>
      <c r="H77" s="549">
        <f>+G77-F77</f>
        <v/>
      </c>
      <c r="I77" s="556">
        <f>I54*(1+Dashboard!$P$11)</f>
        <v/>
      </c>
      <c r="J77" s="557">
        <f>I77-F77</f>
        <v/>
      </c>
      <c r="K77" s="558">
        <f>K54*(1+Dashboard!$P$11)</f>
        <v/>
      </c>
      <c r="L77" s="559">
        <f>M77+F77</f>
        <v/>
      </c>
      <c r="M77" s="559">
        <f>M54*(1+Dashboard!$P$11)</f>
        <v/>
      </c>
      <c r="N77" s="548">
        <f>((M77*D77)*12)</f>
        <v/>
      </c>
      <c r="P77" s="545">
        <f>B77</f>
        <v/>
      </c>
      <c r="Q77" s="550">
        <f>C77</f>
        <v/>
      </c>
      <c r="R77" s="545">
        <f>D77</f>
        <v/>
      </c>
      <c r="S77" s="546">
        <f>E77</f>
        <v/>
      </c>
      <c r="T77" s="547">
        <f>F77</f>
        <v/>
      </c>
      <c r="U77" s="548">
        <f>((M77*R77)*12)</f>
        <v/>
      </c>
      <c r="W77" s="545">
        <f>B77</f>
        <v/>
      </c>
      <c r="X77" s="550">
        <f>C77</f>
        <v/>
      </c>
      <c r="Y77" s="545">
        <f>D77</f>
        <v/>
      </c>
      <c r="Z77" s="546">
        <f>E77</f>
        <v/>
      </c>
      <c r="AA77" s="547">
        <f>F77</f>
        <v/>
      </c>
      <c r="AB77" s="549">
        <f>((H77*Y77)*12)</f>
        <v/>
      </c>
      <c r="AD77" s="545">
        <f>B77</f>
        <v/>
      </c>
      <c r="AE77" s="550">
        <f>C77</f>
        <v/>
      </c>
      <c r="AF77" s="545">
        <f>D77</f>
        <v/>
      </c>
      <c r="AG77" s="546">
        <f>E77</f>
        <v/>
      </c>
      <c r="AH77" s="547">
        <f>F77</f>
        <v/>
      </c>
      <c r="AI77" s="548">
        <f>+MAX(U77,AB77)</f>
        <v/>
      </c>
      <c r="AK77" s="545">
        <f>B77</f>
        <v/>
      </c>
      <c r="AL77" s="550">
        <f>C77</f>
        <v/>
      </c>
      <c r="AM77" s="545">
        <f>D77</f>
        <v/>
      </c>
      <c r="AN77" s="546">
        <f>E77</f>
        <v/>
      </c>
      <c r="AO77" s="547">
        <f>F77</f>
        <v/>
      </c>
      <c r="AP77" s="548">
        <f>IF(G77&gt;0,MAX(U77,AB77),N77)</f>
        <v/>
      </c>
    </row>
    <row r="78" ht="15.75" customFormat="1" customHeight="1" s="120">
      <c r="B78" s="551">
        <f>B55</f>
        <v/>
      </c>
      <c r="C78" s="552">
        <f>C55</f>
        <v/>
      </c>
      <c r="D78" s="551">
        <f>$D55</f>
        <v/>
      </c>
      <c r="E78" s="553">
        <f>E55</f>
        <v/>
      </c>
      <c r="F78" s="554">
        <f>F55*(1+Dashboard!$P$12)</f>
        <v/>
      </c>
      <c r="G78" s="555">
        <f>G55*(1+Dashboard!$P$11)</f>
        <v/>
      </c>
      <c r="H78" s="549">
        <f>+G78-F78</f>
        <v/>
      </c>
      <c r="I78" s="556">
        <f>I55*(1+Dashboard!$P$11)</f>
        <v/>
      </c>
      <c r="J78" s="557">
        <f>I78-F78</f>
        <v/>
      </c>
      <c r="K78" s="558">
        <f>K55*(1+Dashboard!$P$11)</f>
        <v/>
      </c>
      <c r="L78" s="559">
        <f>M78+F78</f>
        <v/>
      </c>
      <c r="M78" s="559">
        <f>M55*(1+Dashboard!$P$11)</f>
        <v/>
      </c>
      <c r="N78" s="548">
        <f>((M78*D78)*12)</f>
        <v/>
      </c>
      <c r="P78" s="545">
        <f>B78</f>
        <v/>
      </c>
      <c r="Q78" s="550">
        <f>C78</f>
        <v/>
      </c>
      <c r="R78" s="545">
        <f>D78</f>
        <v/>
      </c>
      <c r="S78" s="546">
        <f>E78</f>
        <v/>
      </c>
      <c r="T78" s="547">
        <f>F78</f>
        <v/>
      </c>
      <c r="U78" s="548">
        <f>((M78*R78)*12)</f>
        <v/>
      </c>
      <c r="W78" s="545">
        <f>B78</f>
        <v/>
      </c>
      <c r="X78" s="550">
        <f>C78</f>
        <v/>
      </c>
      <c r="Y78" s="545">
        <f>D78</f>
        <v/>
      </c>
      <c r="Z78" s="546">
        <f>E78</f>
        <v/>
      </c>
      <c r="AA78" s="547">
        <f>F78</f>
        <v/>
      </c>
      <c r="AB78" s="549">
        <f>((H78*Y78)*12)</f>
        <v/>
      </c>
      <c r="AD78" s="545">
        <f>B78</f>
        <v/>
      </c>
      <c r="AE78" s="550">
        <f>C78</f>
        <v/>
      </c>
      <c r="AF78" s="545">
        <f>D78</f>
        <v/>
      </c>
      <c r="AG78" s="546">
        <f>E78</f>
        <v/>
      </c>
      <c r="AH78" s="547">
        <f>F78</f>
        <v/>
      </c>
      <c r="AI78" s="548">
        <f>+MAX(U78,AB78)</f>
        <v/>
      </c>
      <c r="AK78" s="545">
        <f>B78</f>
        <v/>
      </c>
      <c r="AL78" s="550">
        <f>C78</f>
        <v/>
      </c>
      <c r="AM78" s="545">
        <f>D78</f>
        <v/>
      </c>
      <c r="AN78" s="546">
        <f>E78</f>
        <v/>
      </c>
      <c r="AO78" s="547">
        <f>F78</f>
        <v/>
      </c>
      <c r="AP78" s="548">
        <f>IF(G78&gt;0,MAX(U78,AB78),N78)</f>
        <v/>
      </c>
    </row>
    <row r="79" ht="15.75" customFormat="1" customHeight="1" s="120">
      <c r="B79" s="551">
        <f>B56</f>
        <v/>
      </c>
      <c r="C79" s="552">
        <f>C56</f>
        <v/>
      </c>
      <c r="D79" s="551">
        <f>$D56</f>
        <v/>
      </c>
      <c r="E79" s="553">
        <f>E56</f>
        <v/>
      </c>
      <c r="F79" s="554">
        <f>F56*(1+Dashboard!$P$12)</f>
        <v/>
      </c>
      <c r="G79" s="555">
        <f>G56*(1+Dashboard!$P$11)</f>
        <v/>
      </c>
      <c r="H79" s="549">
        <f>+G79-F79</f>
        <v/>
      </c>
      <c r="I79" s="556">
        <f>I56*(1+Dashboard!$P$11)</f>
        <v/>
      </c>
      <c r="J79" s="557">
        <f>I79-F79</f>
        <v/>
      </c>
      <c r="K79" s="558">
        <f>K56*(1+Dashboard!$P$11)</f>
        <v/>
      </c>
      <c r="L79" s="559">
        <f>M79+F79</f>
        <v/>
      </c>
      <c r="M79" s="559">
        <f>M56*(1+Dashboard!$P$11)</f>
        <v/>
      </c>
      <c r="N79" s="548">
        <f>((M79*D79)*12)</f>
        <v/>
      </c>
      <c r="P79" s="545">
        <f>B79</f>
        <v/>
      </c>
      <c r="Q79" s="550">
        <f>C79</f>
        <v/>
      </c>
      <c r="R79" s="545">
        <f>D79</f>
        <v/>
      </c>
      <c r="S79" s="546">
        <f>E79</f>
        <v/>
      </c>
      <c r="T79" s="547">
        <f>F79</f>
        <v/>
      </c>
      <c r="U79" s="548">
        <f>((M79*R79)*12)</f>
        <v/>
      </c>
      <c r="W79" s="545">
        <f>B79</f>
        <v/>
      </c>
      <c r="X79" s="550">
        <f>C79</f>
        <v/>
      </c>
      <c r="Y79" s="545">
        <f>D79</f>
        <v/>
      </c>
      <c r="Z79" s="546">
        <f>E79</f>
        <v/>
      </c>
      <c r="AA79" s="547">
        <f>F79</f>
        <v/>
      </c>
      <c r="AB79" s="549">
        <f>((H79*Y79)*12)</f>
        <v/>
      </c>
      <c r="AD79" s="545">
        <f>B79</f>
        <v/>
      </c>
      <c r="AE79" s="550">
        <f>C79</f>
        <v/>
      </c>
      <c r="AF79" s="545">
        <f>D79</f>
        <v/>
      </c>
      <c r="AG79" s="546">
        <f>E79</f>
        <v/>
      </c>
      <c r="AH79" s="547">
        <f>F79</f>
        <v/>
      </c>
      <c r="AI79" s="548">
        <f>+MAX(U79,AB79)</f>
        <v/>
      </c>
      <c r="AK79" s="545">
        <f>B79</f>
        <v/>
      </c>
      <c r="AL79" s="550">
        <f>C79</f>
        <v/>
      </c>
      <c r="AM79" s="545">
        <f>D79</f>
        <v/>
      </c>
      <c r="AN79" s="546">
        <f>E79</f>
        <v/>
      </c>
      <c r="AO79" s="547">
        <f>F79</f>
        <v/>
      </c>
      <c r="AP79" s="548">
        <f>IF(G79&gt;0,MAX(U79,AB79),N79)</f>
        <v/>
      </c>
    </row>
    <row r="80" ht="15.75" customFormat="1" customHeight="1" s="120">
      <c r="B80" s="551">
        <f>B57</f>
        <v/>
      </c>
      <c r="C80" s="552">
        <f>C57</f>
        <v/>
      </c>
      <c r="D80" s="551">
        <f>$D57</f>
        <v/>
      </c>
      <c r="E80" s="553">
        <f>E57</f>
        <v/>
      </c>
      <c r="F80" s="554">
        <f>F57*(1+Dashboard!$P$12)</f>
        <v/>
      </c>
      <c r="G80" s="555">
        <f>G57*(1+Dashboard!$P$11)</f>
        <v/>
      </c>
      <c r="H80" s="549">
        <f>+G80-F80</f>
        <v/>
      </c>
      <c r="I80" s="556">
        <f>I57*(1+Dashboard!$P$11)</f>
        <v/>
      </c>
      <c r="J80" s="557">
        <f>I80-F80</f>
        <v/>
      </c>
      <c r="K80" s="558">
        <f>K57*(1+Dashboard!$P$11)</f>
        <v/>
      </c>
      <c r="L80" s="559">
        <f>M80+F80</f>
        <v/>
      </c>
      <c r="M80" s="559">
        <f>M57*(1+Dashboard!$P$11)</f>
        <v/>
      </c>
      <c r="N80" s="548">
        <f>((M80*D80)*12)</f>
        <v/>
      </c>
      <c r="P80" s="545">
        <f>B80</f>
        <v/>
      </c>
      <c r="Q80" s="550">
        <f>C80</f>
        <v/>
      </c>
      <c r="R80" s="545">
        <f>D80</f>
        <v/>
      </c>
      <c r="S80" s="546">
        <f>E80</f>
        <v/>
      </c>
      <c r="T80" s="547">
        <f>F80</f>
        <v/>
      </c>
      <c r="U80" s="548">
        <f>((M80*R80)*12)</f>
        <v/>
      </c>
      <c r="W80" s="545">
        <f>B80</f>
        <v/>
      </c>
      <c r="X80" s="550">
        <f>C80</f>
        <v/>
      </c>
      <c r="Y80" s="545">
        <f>D80</f>
        <v/>
      </c>
      <c r="Z80" s="546">
        <f>E80</f>
        <v/>
      </c>
      <c r="AA80" s="547">
        <f>F80</f>
        <v/>
      </c>
      <c r="AB80" s="549">
        <f>((H80*Y80)*12)</f>
        <v/>
      </c>
      <c r="AD80" s="545">
        <f>B80</f>
        <v/>
      </c>
      <c r="AE80" s="550">
        <f>C80</f>
        <v/>
      </c>
      <c r="AF80" s="545">
        <f>D80</f>
        <v/>
      </c>
      <c r="AG80" s="546">
        <f>E80</f>
        <v/>
      </c>
      <c r="AH80" s="547">
        <f>F80</f>
        <v/>
      </c>
      <c r="AI80" s="548">
        <f>+MAX(U80,AB80)</f>
        <v/>
      </c>
      <c r="AK80" s="545">
        <f>B80</f>
        <v/>
      </c>
      <c r="AL80" s="550">
        <f>C80</f>
        <v/>
      </c>
      <c r="AM80" s="545">
        <f>D80</f>
        <v/>
      </c>
      <c r="AN80" s="546">
        <f>E80</f>
        <v/>
      </c>
      <c r="AO80" s="547">
        <f>F80</f>
        <v/>
      </c>
      <c r="AP80" s="548">
        <f>IF(G80&gt;0,MAX(U80,AB80),N80)</f>
        <v/>
      </c>
    </row>
    <row r="81" ht="15.75" customFormat="1" customHeight="1" s="120">
      <c r="B81" s="551">
        <f>B58</f>
        <v/>
      </c>
      <c r="C81" s="552">
        <f>C58</f>
        <v/>
      </c>
      <c r="D81" s="551">
        <f>$D58</f>
        <v/>
      </c>
      <c r="E81" s="553">
        <f>E58</f>
        <v/>
      </c>
      <c r="F81" s="554">
        <f>F58*(1+Dashboard!$P$12)</f>
        <v/>
      </c>
      <c r="G81" s="555">
        <f>G58*(1+Dashboard!$P$11)</f>
        <v/>
      </c>
      <c r="H81" s="549">
        <f>+G81-F81</f>
        <v/>
      </c>
      <c r="I81" s="556">
        <f>I58*(1+Dashboard!$P$11)</f>
        <v/>
      </c>
      <c r="J81" s="557">
        <f>I81-F81</f>
        <v/>
      </c>
      <c r="K81" s="558">
        <f>K58*(1+Dashboard!$P$11)</f>
        <v/>
      </c>
      <c r="L81" s="559">
        <f>M81+F81</f>
        <v/>
      </c>
      <c r="M81" s="559">
        <f>M58*(1+Dashboard!$P$11)</f>
        <v/>
      </c>
      <c r="N81" s="548">
        <f>((M81*D81)*12)</f>
        <v/>
      </c>
      <c r="P81" s="545">
        <f>B81</f>
        <v/>
      </c>
      <c r="Q81" s="550">
        <f>C81</f>
        <v/>
      </c>
      <c r="R81" s="545">
        <f>D81</f>
        <v/>
      </c>
      <c r="S81" s="546">
        <f>E81</f>
        <v/>
      </c>
      <c r="T81" s="547">
        <f>F81</f>
        <v/>
      </c>
      <c r="U81" s="548">
        <f>((M81*R81)*12)</f>
        <v/>
      </c>
      <c r="W81" s="545">
        <f>B81</f>
        <v/>
      </c>
      <c r="X81" s="550">
        <f>C81</f>
        <v/>
      </c>
      <c r="Y81" s="545">
        <f>D81</f>
        <v/>
      </c>
      <c r="Z81" s="546">
        <f>E81</f>
        <v/>
      </c>
      <c r="AA81" s="547">
        <f>F81</f>
        <v/>
      </c>
      <c r="AB81" s="549">
        <f>((H81*Y81)*12)</f>
        <v/>
      </c>
      <c r="AD81" s="545">
        <f>B81</f>
        <v/>
      </c>
      <c r="AE81" s="550">
        <f>C81</f>
        <v/>
      </c>
      <c r="AF81" s="545">
        <f>D81</f>
        <v/>
      </c>
      <c r="AG81" s="546">
        <f>E81</f>
        <v/>
      </c>
      <c r="AH81" s="547">
        <f>F81</f>
        <v/>
      </c>
      <c r="AI81" s="548">
        <f>+MAX(U81,AB81)</f>
        <v/>
      </c>
      <c r="AK81" s="545">
        <f>B81</f>
        <v/>
      </c>
      <c r="AL81" s="550">
        <f>C81</f>
        <v/>
      </c>
      <c r="AM81" s="545">
        <f>D81</f>
        <v/>
      </c>
      <c r="AN81" s="546">
        <f>E81</f>
        <v/>
      </c>
      <c r="AO81" s="547">
        <f>F81</f>
        <v/>
      </c>
      <c r="AP81" s="548">
        <f>IF(G81&gt;0,MAX(U81,AB81),N81)</f>
        <v/>
      </c>
    </row>
    <row r="82" ht="15.75" customFormat="1" customHeight="1" s="120">
      <c r="B82" s="551">
        <f>B59</f>
        <v/>
      </c>
      <c r="C82" s="552">
        <f>C59</f>
        <v/>
      </c>
      <c r="D82" s="551">
        <f>$D59</f>
        <v/>
      </c>
      <c r="E82" s="553">
        <f>E59</f>
        <v/>
      </c>
      <c r="F82" s="554">
        <f>F59*(1+Dashboard!$P$12)</f>
        <v/>
      </c>
      <c r="G82" s="555">
        <f>G59*(1+Dashboard!$P$11)</f>
        <v/>
      </c>
      <c r="H82" s="549">
        <f>+G82-F82</f>
        <v/>
      </c>
      <c r="I82" s="556">
        <f>I59*(1+Dashboard!$P$11)</f>
        <v/>
      </c>
      <c r="J82" s="557">
        <f>I82-F82</f>
        <v/>
      </c>
      <c r="K82" s="558">
        <f>K59*(1+Dashboard!$P$11)</f>
        <v/>
      </c>
      <c r="L82" s="559">
        <f>M82+F82</f>
        <v/>
      </c>
      <c r="M82" s="559">
        <f>M59*(1+Dashboard!$P$11)</f>
        <v/>
      </c>
      <c r="N82" s="548">
        <f>((M82*D82)*12)</f>
        <v/>
      </c>
      <c r="P82" s="545">
        <f>B82</f>
        <v/>
      </c>
      <c r="Q82" s="550">
        <f>C82</f>
        <v/>
      </c>
      <c r="R82" s="545">
        <f>D82</f>
        <v/>
      </c>
      <c r="S82" s="546">
        <f>E82</f>
        <v/>
      </c>
      <c r="T82" s="547">
        <f>F82</f>
        <v/>
      </c>
      <c r="U82" s="548">
        <f>((M82*R82)*12)</f>
        <v/>
      </c>
      <c r="W82" s="545">
        <f>B82</f>
        <v/>
      </c>
      <c r="X82" s="550">
        <f>C82</f>
        <v/>
      </c>
      <c r="Y82" s="545">
        <f>D82</f>
        <v/>
      </c>
      <c r="Z82" s="546">
        <f>E82</f>
        <v/>
      </c>
      <c r="AA82" s="547">
        <f>F82</f>
        <v/>
      </c>
      <c r="AB82" s="549">
        <f>((H82*Y82)*12)</f>
        <v/>
      </c>
      <c r="AD82" s="545">
        <f>B82</f>
        <v/>
      </c>
      <c r="AE82" s="550">
        <f>C82</f>
        <v/>
      </c>
      <c r="AF82" s="545">
        <f>D82</f>
        <v/>
      </c>
      <c r="AG82" s="546">
        <f>E82</f>
        <v/>
      </c>
      <c r="AH82" s="547">
        <f>F82</f>
        <v/>
      </c>
      <c r="AI82" s="548">
        <f>+MAX(U82,AB82)</f>
        <v/>
      </c>
      <c r="AK82" s="545">
        <f>B82</f>
        <v/>
      </c>
      <c r="AL82" s="550">
        <f>C82</f>
        <v/>
      </c>
      <c r="AM82" s="545">
        <f>D82</f>
        <v/>
      </c>
      <c r="AN82" s="546">
        <f>E82</f>
        <v/>
      </c>
      <c r="AO82" s="547">
        <f>F82</f>
        <v/>
      </c>
      <c r="AP82" s="548">
        <f>IF(G82&gt;0,MAX(U82,AB82),N82)</f>
        <v/>
      </c>
    </row>
    <row r="83" ht="15.75" customFormat="1" customHeight="1" s="120">
      <c r="B83" s="551">
        <f>B60</f>
        <v/>
      </c>
      <c r="C83" s="552">
        <f>C60</f>
        <v/>
      </c>
      <c r="D83" s="551">
        <f>$D60</f>
        <v/>
      </c>
      <c r="E83" s="553">
        <f>E60</f>
        <v/>
      </c>
      <c r="F83" s="554">
        <f>F60*(1+Dashboard!$P$12)</f>
        <v/>
      </c>
      <c r="G83" s="555">
        <f>G60*(1+Dashboard!$P$11)</f>
        <v/>
      </c>
      <c r="H83" s="549">
        <f>+G83-F83</f>
        <v/>
      </c>
      <c r="I83" s="556">
        <f>I60*(1+Dashboard!$P$11)</f>
        <v/>
      </c>
      <c r="J83" s="557">
        <f>I83-F83</f>
        <v/>
      </c>
      <c r="K83" s="558">
        <f>K60*(1+Dashboard!$P$11)</f>
        <v/>
      </c>
      <c r="L83" s="559">
        <f>M83+F83</f>
        <v/>
      </c>
      <c r="M83" s="559">
        <f>M60*(1+Dashboard!$P$11)</f>
        <v/>
      </c>
      <c r="N83" s="548">
        <f>((M83*D83)*12)</f>
        <v/>
      </c>
      <c r="P83" s="545">
        <f>B83</f>
        <v/>
      </c>
      <c r="Q83" s="550">
        <f>C83</f>
        <v/>
      </c>
      <c r="R83" s="545">
        <f>D83</f>
        <v/>
      </c>
      <c r="S83" s="546">
        <f>E83</f>
        <v/>
      </c>
      <c r="T83" s="547">
        <f>F83</f>
        <v/>
      </c>
      <c r="U83" s="548">
        <f>((M83*R83)*12)</f>
        <v/>
      </c>
      <c r="W83" s="545">
        <f>B83</f>
        <v/>
      </c>
      <c r="X83" s="550">
        <f>C83</f>
        <v/>
      </c>
      <c r="Y83" s="545">
        <f>D83</f>
        <v/>
      </c>
      <c r="Z83" s="546">
        <f>E83</f>
        <v/>
      </c>
      <c r="AA83" s="547">
        <f>F83</f>
        <v/>
      </c>
      <c r="AB83" s="549">
        <f>((H83*Y83)*12)</f>
        <v/>
      </c>
      <c r="AD83" s="545">
        <f>B83</f>
        <v/>
      </c>
      <c r="AE83" s="550">
        <f>C83</f>
        <v/>
      </c>
      <c r="AF83" s="545">
        <f>D83</f>
        <v/>
      </c>
      <c r="AG83" s="546">
        <f>E83</f>
        <v/>
      </c>
      <c r="AH83" s="547">
        <f>F83</f>
        <v/>
      </c>
      <c r="AI83" s="548">
        <f>+MAX(U83,AB83)</f>
        <v/>
      </c>
      <c r="AK83" s="545">
        <f>B83</f>
        <v/>
      </c>
      <c r="AL83" s="550">
        <f>C83</f>
        <v/>
      </c>
      <c r="AM83" s="545">
        <f>D83</f>
        <v/>
      </c>
      <c r="AN83" s="546">
        <f>E83</f>
        <v/>
      </c>
      <c r="AO83" s="547">
        <f>F83</f>
        <v/>
      </c>
      <c r="AP83" s="548">
        <f>IF(G83&gt;0,MAX(U83,AB83),N83)</f>
        <v/>
      </c>
    </row>
    <row r="84" ht="15.75" customFormat="1" customHeight="1" s="120">
      <c r="B84" s="551">
        <f>B61</f>
        <v/>
      </c>
      <c r="C84" s="552">
        <f>C61</f>
        <v/>
      </c>
      <c r="D84" s="551">
        <f>$D61</f>
        <v/>
      </c>
      <c r="E84" s="553">
        <f>E61</f>
        <v/>
      </c>
      <c r="F84" s="554">
        <f>F61*(1+Dashboard!$P$12)</f>
        <v/>
      </c>
      <c r="G84" s="555">
        <f>G61*(1+Dashboard!$P$11)</f>
        <v/>
      </c>
      <c r="H84" s="549">
        <f>+G84-F84</f>
        <v/>
      </c>
      <c r="I84" s="556">
        <f>I61*(1+Dashboard!$P$11)</f>
        <v/>
      </c>
      <c r="J84" s="557">
        <f>I84-F84</f>
        <v/>
      </c>
      <c r="K84" s="558">
        <f>K61*(1+Dashboard!$P$11)</f>
        <v/>
      </c>
      <c r="L84" s="559">
        <f>M84+F84</f>
        <v/>
      </c>
      <c r="M84" s="559">
        <f>M61*(1+Dashboard!$P$11)</f>
        <v/>
      </c>
      <c r="N84" s="548">
        <f>((M84*D84)*12)</f>
        <v/>
      </c>
      <c r="P84" s="545">
        <f>B84</f>
        <v/>
      </c>
      <c r="Q84" s="550">
        <f>C84</f>
        <v/>
      </c>
      <c r="R84" s="545">
        <f>D84</f>
        <v/>
      </c>
      <c r="S84" s="546">
        <f>E84</f>
        <v/>
      </c>
      <c r="T84" s="547">
        <f>F84</f>
        <v/>
      </c>
      <c r="U84" s="548">
        <f>((M84*R84)*12)</f>
        <v/>
      </c>
      <c r="W84" s="545">
        <f>B84</f>
        <v/>
      </c>
      <c r="X84" s="550">
        <f>C84</f>
        <v/>
      </c>
      <c r="Y84" s="545">
        <f>D84</f>
        <v/>
      </c>
      <c r="Z84" s="546">
        <f>E84</f>
        <v/>
      </c>
      <c r="AA84" s="547">
        <f>F84</f>
        <v/>
      </c>
      <c r="AB84" s="549">
        <f>((H84*Y84)*12)</f>
        <v/>
      </c>
      <c r="AD84" s="545">
        <f>B84</f>
        <v/>
      </c>
      <c r="AE84" s="550">
        <f>C84</f>
        <v/>
      </c>
      <c r="AF84" s="545">
        <f>D84</f>
        <v/>
      </c>
      <c r="AG84" s="546">
        <f>E84</f>
        <v/>
      </c>
      <c r="AH84" s="547">
        <f>F84</f>
        <v/>
      </c>
      <c r="AI84" s="548">
        <f>+MAX(U84,AB84)</f>
        <v/>
      </c>
      <c r="AK84" s="545">
        <f>B84</f>
        <v/>
      </c>
      <c r="AL84" s="550">
        <f>C84</f>
        <v/>
      </c>
      <c r="AM84" s="545">
        <f>D84</f>
        <v/>
      </c>
      <c r="AN84" s="546">
        <f>E84</f>
        <v/>
      </c>
      <c r="AO84" s="547">
        <f>F84</f>
        <v/>
      </c>
      <c r="AP84" s="548">
        <f>IF(G84&gt;0,MAX(U84,AB84),N84)</f>
        <v/>
      </c>
    </row>
    <row r="85" ht="15.75" customFormat="1" customHeight="1" s="120">
      <c r="B85" s="551">
        <f>B62</f>
        <v/>
      </c>
      <c r="C85" s="552">
        <f>C62</f>
        <v/>
      </c>
      <c r="D85" s="551">
        <f>$D62</f>
        <v/>
      </c>
      <c r="E85" s="553">
        <f>E62</f>
        <v/>
      </c>
      <c r="F85" s="554">
        <f>F62*(1+Dashboard!$P$12)</f>
        <v/>
      </c>
      <c r="G85" s="555">
        <f>G62*(1+Dashboard!$P$11)</f>
        <v/>
      </c>
      <c r="H85" s="549">
        <f>+G85-F85</f>
        <v/>
      </c>
      <c r="I85" s="556">
        <f>I62*(1+Dashboard!$P$11)</f>
        <v/>
      </c>
      <c r="J85" s="557">
        <f>I85-F85</f>
        <v/>
      </c>
      <c r="K85" s="558">
        <f>K62*(1+Dashboard!$P$11)</f>
        <v/>
      </c>
      <c r="L85" s="559">
        <f>M85+F85</f>
        <v/>
      </c>
      <c r="M85" s="559">
        <f>M62*(1+Dashboard!$P$11)</f>
        <v/>
      </c>
      <c r="N85" s="548">
        <f>((M85*D85)*12)</f>
        <v/>
      </c>
      <c r="P85" s="545">
        <f>B85</f>
        <v/>
      </c>
      <c r="Q85" s="550">
        <f>C85</f>
        <v/>
      </c>
      <c r="R85" s="545">
        <f>D85</f>
        <v/>
      </c>
      <c r="S85" s="546">
        <f>E85</f>
        <v/>
      </c>
      <c r="T85" s="547">
        <f>F85</f>
        <v/>
      </c>
      <c r="U85" s="548">
        <f>((M85*R85)*12)</f>
        <v/>
      </c>
      <c r="W85" s="545">
        <f>B85</f>
        <v/>
      </c>
      <c r="X85" s="550">
        <f>C85</f>
        <v/>
      </c>
      <c r="Y85" s="545">
        <f>D85</f>
        <v/>
      </c>
      <c r="Z85" s="546">
        <f>E85</f>
        <v/>
      </c>
      <c r="AA85" s="547">
        <f>F85</f>
        <v/>
      </c>
      <c r="AB85" s="549">
        <f>((H85*Y85)*12)</f>
        <v/>
      </c>
      <c r="AD85" s="545">
        <f>B85</f>
        <v/>
      </c>
      <c r="AE85" s="550">
        <f>C85</f>
        <v/>
      </c>
      <c r="AF85" s="545">
        <f>D85</f>
        <v/>
      </c>
      <c r="AG85" s="546">
        <f>E85</f>
        <v/>
      </c>
      <c r="AH85" s="547">
        <f>F85</f>
        <v/>
      </c>
      <c r="AI85" s="548">
        <f>+MAX(U85,AB85)</f>
        <v/>
      </c>
      <c r="AK85" s="545">
        <f>B85</f>
        <v/>
      </c>
      <c r="AL85" s="550">
        <f>C85</f>
        <v/>
      </c>
      <c r="AM85" s="545">
        <f>D85</f>
        <v/>
      </c>
      <c r="AN85" s="546">
        <f>E85</f>
        <v/>
      </c>
      <c r="AO85" s="547">
        <f>F85</f>
        <v/>
      </c>
      <c r="AP85" s="548">
        <f>IF(G85&gt;0,MAX(U85,AB85),N85)</f>
        <v/>
      </c>
    </row>
    <row r="86" ht="15.75" customFormat="1" customHeight="1" s="120">
      <c r="B86" s="551">
        <f>B63</f>
        <v/>
      </c>
      <c r="C86" s="552">
        <f>C63</f>
        <v/>
      </c>
      <c r="D86" s="551">
        <f>$D63</f>
        <v/>
      </c>
      <c r="E86" s="553">
        <f>E63</f>
        <v/>
      </c>
      <c r="F86" s="554">
        <f>F63*(1+Dashboard!$P$12)</f>
        <v/>
      </c>
      <c r="G86" s="555">
        <f>G63*(1+Dashboard!$P$11)</f>
        <v/>
      </c>
      <c r="H86" s="549">
        <f>+G86-F86</f>
        <v/>
      </c>
      <c r="I86" s="556">
        <f>I63*(1+Dashboard!$P$11)</f>
        <v/>
      </c>
      <c r="J86" s="557">
        <f>I86-F86</f>
        <v/>
      </c>
      <c r="K86" s="558">
        <f>K63*(1+Dashboard!$P$11)</f>
        <v/>
      </c>
      <c r="L86" s="559">
        <f>M86+F86</f>
        <v/>
      </c>
      <c r="M86" s="559">
        <f>M63*(1+Dashboard!$P$11)</f>
        <v/>
      </c>
      <c r="N86" s="548">
        <f>((M86*D86)*12)</f>
        <v/>
      </c>
      <c r="P86" s="545">
        <f>B86</f>
        <v/>
      </c>
      <c r="Q86" s="550">
        <f>C86</f>
        <v/>
      </c>
      <c r="R86" s="545">
        <f>D86</f>
        <v/>
      </c>
      <c r="S86" s="546">
        <f>E86</f>
        <v/>
      </c>
      <c r="T86" s="547">
        <f>F86</f>
        <v/>
      </c>
      <c r="U86" s="548">
        <f>((M86*R86)*12)</f>
        <v/>
      </c>
      <c r="W86" s="545">
        <f>B86</f>
        <v/>
      </c>
      <c r="X86" s="550">
        <f>C86</f>
        <v/>
      </c>
      <c r="Y86" s="545">
        <f>D86</f>
        <v/>
      </c>
      <c r="Z86" s="546">
        <f>E86</f>
        <v/>
      </c>
      <c r="AA86" s="547">
        <f>F86</f>
        <v/>
      </c>
      <c r="AB86" s="549">
        <f>((H86*Y86)*12)</f>
        <v/>
      </c>
      <c r="AD86" s="545">
        <f>B86</f>
        <v/>
      </c>
      <c r="AE86" s="550">
        <f>C86</f>
        <v/>
      </c>
      <c r="AF86" s="545">
        <f>D86</f>
        <v/>
      </c>
      <c r="AG86" s="546">
        <f>E86</f>
        <v/>
      </c>
      <c r="AH86" s="547">
        <f>F86</f>
        <v/>
      </c>
      <c r="AI86" s="548">
        <f>+MAX(U86,AB86)</f>
        <v/>
      </c>
      <c r="AK86" s="545">
        <f>B86</f>
        <v/>
      </c>
      <c r="AL86" s="550">
        <f>C86</f>
        <v/>
      </c>
      <c r="AM86" s="545">
        <f>D86</f>
        <v/>
      </c>
      <c r="AN86" s="546">
        <f>E86</f>
        <v/>
      </c>
      <c r="AO86" s="547">
        <f>F86</f>
        <v/>
      </c>
      <c r="AP86" s="548">
        <f>IF(G86&gt;0,MAX(U86,AB86),N86)</f>
        <v/>
      </c>
    </row>
    <row r="87" ht="15.75" customFormat="1" customHeight="1" s="120">
      <c r="B87" s="551">
        <f>B64</f>
        <v/>
      </c>
      <c r="C87" s="552">
        <f>C64</f>
        <v/>
      </c>
      <c r="D87" s="551">
        <f>$D64</f>
        <v/>
      </c>
      <c r="E87" s="553">
        <f>E64</f>
        <v/>
      </c>
      <c r="F87" s="554">
        <f>F64*(1+Dashboard!$P$12)</f>
        <v/>
      </c>
      <c r="G87" s="555">
        <f>G64*(1+Dashboard!$P$11)</f>
        <v/>
      </c>
      <c r="H87" s="549">
        <f>+G87-F87</f>
        <v/>
      </c>
      <c r="I87" s="556">
        <f>I64*(1+Dashboard!$P$11)</f>
        <v/>
      </c>
      <c r="J87" s="557">
        <f>I87-F87</f>
        <v/>
      </c>
      <c r="K87" s="558">
        <f>K64*(1+Dashboard!$P$11)</f>
        <v/>
      </c>
      <c r="L87" s="559">
        <f>M87+F87</f>
        <v/>
      </c>
      <c r="M87" s="559">
        <f>M64*(1+Dashboard!$P$11)</f>
        <v/>
      </c>
      <c r="N87" s="548">
        <f>((M87*D87)*12)</f>
        <v/>
      </c>
      <c r="P87" s="545">
        <f>B87</f>
        <v/>
      </c>
      <c r="Q87" s="550">
        <f>C87</f>
        <v/>
      </c>
      <c r="R87" s="545">
        <f>D87</f>
        <v/>
      </c>
      <c r="S87" s="546">
        <f>E87</f>
        <v/>
      </c>
      <c r="T87" s="547">
        <f>F87</f>
        <v/>
      </c>
      <c r="U87" s="548">
        <f>((M87*R87)*12)</f>
        <v/>
      </c>
      <c r="W87" s="545">
        <f>B87</f>
        <v/>
      </c>
      <c r="X87" s="550">
        <f>C87</f>
        <v/>
      </c>
      <c r="Y87" s="545">
        <f>D87</f>
        <v/>
      </c>
      <c r="Z87" s="546">
        <f>E87</f>
        <v/>
      </c>
      <c r="AA87" s="547">
        <f>F87</f>
        <v/>
      </c>
      <c r="AB87" s="549">
        <f>((H87*Y87)*12)</f>
        <v/>
      </c>
      <c r="AD87" s="545">
        <f>B87</f>
        <v/>
      </c>
      <c r="AE87" s="550">
        <f>C87</f>
        <v/>
      </c>
      <c r="AF87" s="545">
        <f>D87</f>
        <v/>
      </c>
      <c r="AG87" s="546">
        <f>E87</f>
        <v/>
      </c>
      <c r="AH87" s="547">
        <f>F87</f>
        <v/>
      </c>
      <c r="AI87" s="548">
        <f>+MAX(U87,AB87)</f>
        <v/>
      </c>
      <c r="AK87" s="545">
        <f>B87</f>
        <v/>
      </c>
      <c r="AL87" s="550">
        <f>C87</f>
        <v/>
      </c>
      <c r="AM87" s="545">
        <f>D87</f>
        <v/>
      </c>
      <c r="AN87" s="546">
        <f>E87</f>
        <v/>
      </c>
      <c r="AO87" s="547">
        <f>F87</f>
        <v/>
      </c>
      <c r="AP87" s="548">
        <f>IF(G87&gt;0,MAX(U87,AB87),N87)</f>
        <v/>
      </c>
    </row>
    <row r="88" ht="15.75" customFormat="1" customHeight="1" s="120">
      <c r="B88" s="551">
        <f>B65</f>
        <v/>
      </c>
      <c r="C88" s="552">
        <f>C65</f>
        <v/>
      </c>
      <c r="D88" s="551">
        <f>$D65</f>
        <v/>
      </c>
      <c r="E88" s="553">
        <f>E65</f>
        <v/>
      </c>
      <c r="F88" s="554">
        <f>F65*(1+Dashboard!$P$12)</f>
        <v/>
      </c>
      <c r="G88" s="555">
        <f>G65*(1+Dashboard!$P$11)</f>
        <v/>
      </c>
      <c r="H88" s="549">
        <f>+G88-F88</f>
        <v/>
      </c>
      <c r="I88" s="556">
        <f>I65*(1+Dashboard!$P$11)</f>
        <v/>
      </c>
      <c r="J88" s="557">
        <f>I88-F88</f>
        <v/>
      </c>
      <c r="K88" s="558">
        <f>K65*(1+Dashboard!$P$11)</f>
        <v/>
      </c>
      <c r="L88" s="559">
        <f>M88+F88</f>
        <v/>
      </c>
      <c r="M88" s="559">
        <f>M65*(1+Dashboard!$P$11)</f>
        <v/>
      </c>
      <c r="N88" s="548">
        <f>((M88*D88)*12)</f>
        <v/>
      </c>
      <c r="P88" s="545">
        <f>B88</f>
        <v/>
      </c>
      <c r="Q88" s="550">
        <f>C88</f>
        <v/>
      </c>
      <c r="R88" s="545">
        <f>D88</f>
        <v/>
      </c>
      <c r="S88" s="546">
        <f>E88</f>
        <v/>
      </c>
      <c r="T88" s="547">
        <f>F88</f>
        <v/>
      </c>
      <c r="U88" s="548">
        <f>((M88*R88)*12)</f>
        <v/>
      </c>
      <c r="W88" s="545">
        <f>B88</f>
        <v/>
      </c>
      <c r="X88" s="550">
        <f>C88</f>
        <v/>
      </c>
      <c r="Y88" s="545">
        <f>D88</f>
        <v/>
      </c>
      <c r="Z88" s="546">
        <f>E88</f>
        <v/>
      </c>
      <c r="AA88" s="547">
        <f>F88</f>
        <v/>
      </c>
      <c r="AB88" s="549">
        <f>((H88*Y88)*12)</f>
        <v/>
      </c>
      <c r="AD88" s="545">
        <f>B88</f>
        <v/>
      </c>
      <c r="AE88" s="550">
        <f>C88</f>
        <v/>
      </c>
      <c r="AF88" s="545">
        <f>D88</f>
        <v/>
      </c>
      <c r="AG88" s="546">
        <f>E88</f>
        <v/>
      </c>
      <c r="AH88" s="547">
        <f>F88</f>
        <v/>
      </c>
      <c r="AI88" s="548">
        <f>+MAX(U88,AB88)</f>
        <v/>
      </c>
      <c r="AK88" s="545">
        <f>B88</f>
        <v/>
      </c>
      <c r="AL88" s="550">
        <f>C88</f>
        <v/>
      </c>
      <c r="AM88" s="545">
        <f>D88</f>
        <v/>
      </c>
      <c r="AN88" s="546">
        <f>E88</f>
        <v/>
      </c>
      <c r="AO88" s="547">
        <f>F88</f>
        <v/>
      </c>
      <c r="AP88" s="548">
        <f>IF(G88&gt;0,MAX(U88,AB88),N88)</f>
        <v/>
      </c>
    </row>
    <row r="89" ht="15.75" customFormat="1" customHeight="1" s="120">
      <c r="B89" s="551">
        <f>B66</f>
        <v/>
      </c>
      <c r="C89" s="552">
        <f>C66</f>
        <v/>
      </c>
      <c r="D89" s="551">
        <f>$D66</f>
        <v/>
      </c>
      <c r="E89" s="553">
        <f>E66</f>
        <v/>
      </c>
      <c r="F89" s="554">
        <f>F66*(1+Dashboard!$P$12)</f>
        <v/>
      </c>
      <c r="G89" s="555">
        <f>G66*(1+Dashboard!$P$11)</f>
        <v/>
      </c>
      <c r="H89" s="549">
        <f>+G89-F89</f>
        <v/>
      </c>
      <c r="I89" s="556">
        <f>I66*(1+Dashboard!$P$11)</f>
        <v/>
      </c>
      <c r="J89" s="557">
        <f>I89-F89</f>
        <v/>
      </c>
      <c r="K89" s="558">
        <f>K66*(1+Dashboard!$P$11)</f>
        <v/>
      </c>
      <c r="L89" s="559">
        <f>M89+F89</f>
        <v/>
      </c>
      <c r="M89" s="559">
        <f>M66*(1+Dashboard!$P$11)</f>
        <v/>
      </c>
      <c r="N89" s="548">
        <f>((M89*D89)*12)</f>
        <v/>
      </c>
      <c r="P89" s="545">
        <f>B89</f>
        <v/>
      </c>
      <c r="Q89" s="550">
        <f>C89</f>
        <v/>
      </c>
      <c r="R89" s="545">
        <f>D89</f>
        <v/>
      </c>
      <c r="S89" s="546">
        <f>E89</f>
        <v/>
      </c>
      <c r="T89" s="547">
        <f>F89</f>
        <v/>
      </c>
      <c r="U89" s="548">
        <f>((M89*R89)*12)</f>
        <v/>
      </c>
      <c r="W89" s="545">
        <f>B89</f>
        <v/>
      </c>
      <c r="X89" s="550">
        <f>C89</f>
        <v/>
      </c>
      <c r="Y89" s="545">
        <f>D89</f>
        <v/>
      </c>
      <c r="Z89" s="546">
        <f>E89</f>
        <v/>
      </c>
      <c r="AA89" s="547">
        <f>F89</f>
        <v/>
      </c>
      <c r="AB89" s="549">
        <f>((H89*Y89)*12)</f>
        <v/>
      </c>
      <c r="AD89" s="545">
        <f>B89</f>
        <v/>
      </c>
      <c r="AE89" s="550">
        <f>C89</f>
        <v/>
      </c>
      <c r="AF89" s="545">
        <f>D89</f>
        <v/>
      </c>
      <c r="AG89" s="546">
        <f>E89</f>
        <v/>
      </c>
      <c r="AH89" s="547">
        <f>F89</f>
        <v/>
      </c>
      <c r="AI89" s="548">
        <f>+MAX(U89,AB89)</f>
        <v/>
      </c>
      <c r="AK89" s="545">
        <f>B89</f>
        <v/>
      </c>
      <c r="AL89" s="550">
        <f>C89</f>
        <v/>
      </c>
      <c r="AM89" s="545">
        <f>D89</f>
        <v/>
      </c>
      <c r="AN89" s="546">
        <f>E89</f>
        <v/>
      </c>
      <c r="AO89" s="547">
        <f>F89</f>
        <v/>
      </c>
      <c r="AP89" s="548">
        <f>IF(G89&gt;0,MAX(U89,AB89),N89)</f>
        <v/>
      </c>
    </row>
    <row r="90" ht="15.75" customFormat="1" customHeight="1" s="120">
      <c r="B90" s="551">
        <f>B67</f>
        <v/>
      </c>
      <c r="C90" s="552">
        <f>C67</f>
        <v/>
      </c>
      <c r="D90" s="551">
        <f>$D67</f>
        <v/>
      </c>
      <c r="E90" s="553">
        <f>E67</f>
        <v/>
      </c>
      <c r="F90" s="554">
        <f>F67*(1+Dashboard!$P$12)</f>
        <v/>
      </c>
      <c r="G90" s="555">
        <f>G67*(1+Dashboard!$P$11)</f>
        <v/>
      </c>
      <c r="H90" s="549">
        <f>+G90-F90</f>
        <v/>
      </c>
      <c r="I90" s="556">
        <f>I67*(1+Dashboard!$P$11)</f>
        <v/>
      </c>
      <c r="J90" s="557">
        <f>I90-F90</f>
        <v/>
      </c>
      <c r="K90" s="558">
        <f>K67*(1+Dashboard!$P$11)</f>
        <v/>
      </c>
      <c r="L90" s="559">
        <f>M90+F90</f>
        <v/>
      </c>
      <c r="M90" s="559">
        <f>M67*(1+Dashboard!$P$11)</f>
        <v/>
      </c>
      <c r="N90" s="548">
        <f>((M90*D90)*12)</f>
        <v/>
      </c>
      <c r="P90" s="545">
        <f>B90</f>
        <v/>
      </c>
      <c r="Q90" s="550">
        <f>C90</f>
        <v/>
      </c>
      <c r="R90" s="545">
        <f>D90</f>
        <v/>
      </c>
      <c r="S90" s="546">
        <f>E90</f>
        <v/>
      </c>
      <c r="T90" s="547">
        <f>F90</f>
        <v/>
      </c>
      <c r="U90" s="548">
        <f>((M90*R90)*12)</f>
        <v/>
      </c>
      <c r="W90" s="545">
        <f>B90</f>
        <v/>
      </c>
      <c r="X90" s="550">
        <f>C90</f>
        <v/>
      </c>
      <c r="Y90" s="545">
        <f>D90</f>
        <v/>
      </c>
      <c r="Z90" s="546">
        <f>E90</f>
        <v/>
      </c>
      <c r="AA90" s="547">
        <f>F90</f>
        <v/>
      </c>
      <c r="AB90" s="549">
        <f>((H90*Y90)*12)</f>
        <v/>
      </c>
      <c r="AD90" s="545">
        <f>B90</f>
        <v/>
      </c>
      <c r="AE90" s="550">
        <f>C90</f>
        <v/>
      </c>
      <c r="AF90" s="545">
        <f>D90</f>
        <v/>
      </c>
      <c r="AG90" s="546">
        <f>E90</f>
        <v/>
      </c>
      <c r="AH90" s="547">
        <f>F90</f>
        <v/>
      </c>
      <c r="AI90" s="548">
        <f>+MAX(U90,AB90)</f>
        <v/>
      </c>
      <c r="AK90" s="545">
        <f>B90</f>
        <v/>
      </c>
      <c r="AL90" s="550">
        <f>C90</f>
        <v/>
      </c>
      <c r="AM90" s="545">
        <f>D90</f>
        <v/>
      </c>
      <c r="AN90" s="546">
        <f>E90</f>
        <v/>
      </c>
      <c r="AO90" s="547">
        <f>F90</f>
        <v/>
      </c>
      <c r="AP90" s="548">
        <f>IF(G90&gt;0,MAX(U90,AB90),N90)</f>
        <v/>
      </c>
    </row>
    <row r="91" ht="15.75" customFormat="1" customHeight="1" s="120">
      <c r="B91" s="551">
        <f>B68</f>
        <v/>
      </c>
      <c r="C91" s="552">
        <f>C68</f>
        <v/>
      </c>
      <c r="D91" s="551">
        <f>$D68</f>
        <v/>
      </c>
      <c r="E91" s="553">
        <f>E68</f>
        <v/>
      </c>
      <c r="F91" s="554">
        <f>F68*(1+Dashboard!$P$12)</f>
        <v/>
      </c>
      <c r="G91" s="555">
        <f>G68*(1+Dashboard!$P$11)</f>
        <v/>
      </c>
      <c r="H91" s="549">
        <f>+G91-F91</f>
        <v/>
      </c>
      <c r="I91" s="556">
        <f>I68*(1+Dashboard!$P$11)</f>
        <v/>
      </c>
      <c r="J91" s="557">
        <f>I91-F91</f>
        <v/>
      </c>
      <c r="K91" s="558">
        <f>K68*(1+Dashboard!$P$11)</f>
        <v/>
      </c>
      <c r="L91" s="559">
        <f>M91+F91</f>
        <v/>
      </c>
      <c r="M91" s="559">
        <f>M68*(1+Dashboard!$P$11)</f>
        <v/>
      </c>
      <c r="N91" s="548">
        <f>((M91*D91)*12)</f>
        <v/>
      </c>
      <c r="P91" s="545">
        <f>B91</f>
        <v/>
      </c>
      <c r="Q91" s="550">
        <f>C91</f>
        <v/>
      </c>
      <c r="R91" s="545">
        <f>D91</f>
        <v/>
      </c>
      <c r="S91" s="546">
        <f>E91</f>
        <v/>
      </c>
      <c r="T91" s="547">
        <f>F91</f>
        <v/>
      </c>
      <c r="U91" s="548">
        <f>((M91*R91)*12)</f>
        <v/>
      </c>
      <c r="W91" s="545">
        <f>B91</f>
        <v/>
      </c>
      <c r="X91" s="550">
        <f>C91</f>
        <v/>
      </c>
      <c r="Y91" s="545">
        <f>D91</f>
        <v/>
      </c>
      <c r="Z91" s="546">
        <f>E91</f>
        <v/>
      </c>
      <c r="AA91" s="547">
        <f>F91</f>
        <v/>
      </c>
      <c r="AB91" s="549">
        <f>((H91*Y91)*12)</f>
        <v/>
      </c>
      <c r="AD91" s="545">
        <f>B91</f>
        <v/>
      </c>
      <c r="AE91" s="550">
        <f>C91</f>
        <v/>
      </c>
      <c r="AF91" s="545">
        <f>D91</f>
        <v/>
      </c>
      <c r="AG91" s="546">
        <f>E91</f>
        <v/>
      </c>
      <c r="AH91" s="547">
        <f>F91</f>
        <v/>
      </c>
      <c r="AI91" s="548">
        <f>+MAX(U91,AB91)</f>
        <v/>
      </c>
      <c r="AK91" s="545">
        <f>B91</f>
        <v/>
      </c>
      <c r="AL91" s="550">
        <f>C91</f>
        <v/>
      </c>
      <c r="AM91" s="545">
        <f>D91</f>
        <v/>
      </c>
      <c r="AN91" s="546">
        <f>E91</f>
        <v/>
      </c>
      <c r="AO91" s="547">
        <f>F91</f>
        <v/>
      </c>
      <c r="AP91" s="548">
        <f>IF(G91&gt;0,MAX(U91,AB91),N91)</f>
        <v/>
      </c>
    </row>
    <row r="92" ht="15.75" customFormat="1" customHeight="1" s="120">
      <c r="B92" s="551">
        <f>B69</f>
        <v/>
      </c>
      <c r="C92" s="552">
        <f>C69</f>
        <v/>
      </c>
      <c r="D92" s="551">
        <f>$D69</f>
        <v/>
      </c>
      <c r="E92" s="553">
        <f>E69</f>
        <v/>
      </c>
      <c r="F92" s="554">
        <f>F69*(1+Dashboard!$P$12)</f>
        <v/>
      </c>
      <c r="G92" s="555">
        <f>G69*(1+Dashboard!$P$11)</f>
        <v/>
      </c>
      <c r="H92" s="549">
        <f>+G92-F92</f>
        <v/>
      </c>
      <c r="I92" s="556">
        <f>I69*(1+Dashboard!$P$11)</f>
        <v/>
      </c>
      <c r="J92" s="557">
        <f>I92-F92</f>
        <v/>
      </c>
      <c r="K92" s="558">
        <f>K69*(1+Dashboard!$P$11)</f>
        <v/>
      </c>
      <c r="L92" s="559">
        <f>M92+F92</f>
        <v/>
      </c>
      <c r="M92" s="559">
        <f>M69*(1+Dashboard!$P$11)</f>
        <v/>
      </c>
      <c r="N92" s="548">
        <f>((M92*D92)*12)</f>
        <v/>
      </c>
      <c r="P92" s="545">
        <f>B92</f>
        <v/>
      </c>
      <c r="Q92" s="550">
        <f>C92</f>
        <v/>
      </c>
      <c r="R92" s="545">
        <f>D92</f>
        <v/>
      </c>
      <c r="S92" s="546">
        <f>E92</f>
        <v/>
      </c>
      <c r="T92" s="547">
        <f>F92</f>
        <v/>
      </c>
      <c r="U92" s="548">
        <f>((M92*R92)*12)</f>
        <v/>
      </c>
      <c r="W92" s="545">
        <f>B92</f>
        <v/>
      </c>
      <c r="X92" s="550">
        <f>C92</f>
        <v/>
      </c>
      <c r="Y92" s="545">
        <f>D92</f>
        <v/>
      </c>
      <c r="Z92" s="546">
        <f>E92</f>
        <v/>
      </c>
      <c r="AA92" s="547">
        <f>F92</f>
        <v/>
      </c>
      <c r="AB92" s="549">
        <f>((H92*Y92)*12)</f>
        <v/>
      </c>
      <c r="AD92" s="545">
        <f>B92</f>
        <v/>
      </c>
      <c r="AE92" s="550">
        <f>C92</f>
        <v/>
      </c>
      <c r="AF92" s="545">
        <f>D92</f>
        <v/>
      </c>
      <c r="AG92" s="546">
        <f>E92</f>
        <v/>
      </c>
      <c r="AH92" s="547">
        <f>F92</f>
        <v/>
      </c>
      <c r="AI92" s="548">
        <f>+MAX(U92,AB92)</f>
        <v/>
      </c>
      <c r="AK92" s="545">
        <f>B92</f>
        <v/>
      </c>
      <c r="AL92" s="550">
        <f>C92</f>
        <v/>
      </c>
      <c r="AM92" s="545">
        <f>D92</f>
        <v/>
      </c>
      <c r="AN92" s="546">
        <f>E92</f>
        <v/>
      </c>
      <c r="AO92" s="547">
        <f>F92</f>
        <v/>
      </c>
      <c r="AP92" s="548">
        <f>IF(G92&gt;0,MAX(U92,AB92),N92)</f>
        <v/>
      </c>
    </row>
    <row r="93" ht="15.75" customFormat="1" customHeight="1" s="120">
      <c r="B93" s="551">
        <f>B70</f>
        <v/>
      </c>
      <c r="C93" s="552">
        <f>C70</f>
        <v/>
      </c>
      <c r="D93" s="551">
        <f>$D70</f>
        <v/>
      </c>
      <c r="E93" s="553">
        <f>E70</f>
        <v/>
      </c>
      <c r="F93" s="554">
        <f>F70*(1+Dashboard!$P$12)</f>
        <v/>
      </c>
      <c r="G93" s="555">
        <f>G70*(1+Dashboard!$P$11)</f>
        <v/>
      </c>
      <c r="H93" s="549">
        <f>+G93-F93</f>
        <v/>
      </c>
      <c r="I93" s="556">
        <f>I70*(1+Dashboard!$P$11)</f>
        <v/>
      </c>
      <c r="J93" s="557">
        <f>I93-F93</f>
        <v/>
      </c>
      <c r="K93" s="558">
        <f>K70*(1+Dashboard!$P$11)</f>
        <v/>
      </c>
      <c r="L93" s="559">
        <f>M93+F93</f>
        <v/>
      </c>
      <c r="M93" s="559">
        <f>M70*(1+Dashboard!$P$11)</f>
        <v/>
      </c>
      <c r="N93" s="548">
        <f>((M93*D93)*12)</f>
        <v/>
      </c>
      <c r="P93" s="545">
        <f>B93</f>
        <v/>
      </c>
      <c r="Q93" s="550">
        <f>C93</f>
        <v/>
      </c>
      <c r="R93" s="545">
        <f>D93</f>
        <v/>
      </c>
      <c r="S93" s="546">
        <f>E93</f>
        <v/>
      </c>
      <c r="T93" s="547">
        <f>F93</f>
        <v/>
      </c>
      <c r="U93" s="548">
        <f>((M93*R93)*12)</f>
        <v/>
      </c>
      <c r="W93" s="545">
        <f>B93</f>
        <v/>
      </c>
      <c r="X93" s="550">
        <f>C93</f>
        <v/>
      </c>
      <c r="Y93" s="545">
        <f>D93</f>
        <v/>
      </c>
      <c r="Z93" s="546">
        <f>E93</f>
        <v/>
      </c>
      <c r="AA93" s="547">
        <f>F93</f>
        <v/>
      </c>
      <c r="AB93" s="549">
        <f>((H93*Y93)*12)</f>
        <v/>
      </c>
      <c r="AD93" s="545">
        <f>B93</f>
        <v/>
      </c>
      <c r="AE93" s="550">
        <f>C93</f>
        <v/>
      </c>
      <c r="AF93" s="545">
        <f>D93</f>
        <v/>
      </c>
      <c r="AG93" s="546">
        <f>E93</f>
        <v/>
      </c>
      <c r="AH93" s="547">
        <f>F93</f>
        <v/>
      </c>
      <c r="AI93" s="548">
        <f>+MAX(U93,AB93)</f>
        <v/>
      </c>
      <c r="AK93" s="545">
        <f>B93</f>
        <v/>
      </c>
      <c r="AL93" s="550">
        <f>C93</f>
        <v/>
      </c>
      <c r="AM93" s="545">
        <f>D93</f>
        <v/>
      </c>
      <c r="AN93" s="546">
        <f>E93</f>
        <v/>
      </c>
      <c r="AO93" s="547">
        <f>F93</f>
        <v/>
      </c>
      <c r="AP93" s="548">
        <f>IF(G93&gt;0,MAX(U93,AB93),N93)</f>
        <v/>
      </c>
    </row>
    <row r="94" ht="15.75" customFormat="1" customHeight="1" s="120">
      <c r="B94" s="551">
        <f>B71</f>
        <v/>
      </c>
      <c r="C94" s="552">
        <f>C71</f>
        <v/>
      </c>
      <c r="D94" s="551">
        <f>$D71</f>
        <v/>
      </c>
      <c r="E94" s="553">
        <f>E71</f>
        <v/>
      </c>
      <c r="F94" s="554">
        <f>F71*(1+Dashboard!$P$12)</f>
        <v/>
      </c>
      <c r="G94" s="555">
        <f>G71*(1+Dashboard!$P$11)</f>
        <v/>
      </c>
      <c r="H94" s="549">
        <f>+G94-F94</f>
        <v/>
      </c>
      <c r="I94" s="556">
        <f>I71*(1+Dashboard!$P$11)</f>
        <v/>
      </c>
      <c r="J94" s="557">
        <f>I94-F94</f>
        <v/>
      </c>
      <c r="K94" s="558">
        <f>K71*(1+Dashboard!$P$11)</f>
        <v/>
      </c>
      <c r="L94" s="559">
        <f>M94+F94</f>
        <v/>
      </c>
      <c r="M94" s="559">
        <f>M71*(1+Dashboard!$P$11)</f>
        <v/>
      </c>
      <c r="N94" s="548">
        <f>((M94*D94)*12)</f>
        <v/>
      </c>
      <c r="P94" s="545">
        <f>B94</f>
        <v/>
      </c>
      <c r="Q94" s="550">
        <f>C94</f>
        <v/>
      </c>
      <c r="R94" s="545">
        <f>D94</f>
        <v/>
      </c>
      <c r="S94" s="546">
        <f>E94</f>
        <v/>
      </c>
      <c r="T94" s="547">
        <f>F94</f>
        <v/>
      </c>
      <c r="U94" s="548">
        <f>((M94*R94)*12)</f>
        <v/>
      </c>
      <c r="W94" s="545">
        <f>B94</f>
        <v/>
      </c>
      <c r="X94" s="550">
        <f>C94</f>
        <v/>
      </c>
      <c r="Y94" s="545">
        <f>D94</f>
        <v/>
      </c>
      <c r="Z94" s="546">
        <f>E94</f>
        <v/>
      </c>
      <c r="AA94" s="547">
        <f>F94</f>
        <v/>
      </c>
      <c r="AB94" s="549">
        <f>((H94*Y94)*12)</f>
        <v/>
      </c>
      <c r="AD94" s="545">
        <f>B94</f>
        <v/>
      </c>
      <c r="AE94" s="550">
        <f>C94</f>
        <v/>
      </c>
      <c r="AF94" s="545">
        <f>D94</f>
        <v/>
      </c>
      <c r="AG94" s="546">
        <f>E94</f>
        <v/>
      </c>
      <c r="AH94" s="547">
        <f>F94</f>
        <v/>
      </c>
      <c r="AI94" s="548">
        <f>+MAX(U94,AB94)</f>
        <v/>
      </c>
      <c r="AK94" s="545">
        <f>B94</f>
        <v/>
      </c>
      <c r="AL94" s="550">
        <f>C94</f>
        <v/>
      </c>
      <c r="AM94" s="545">
        <f>D94</f>
        <v/>
      </c>
      <c r="AN94" s="546">
        <f>E94</f>
        <v/>
      </c>
      <c r="AO94" s="547">
        <f>F94</f>
        <v/>
      </c>
      <c r="AP94" s="548">
        <f>IF(G94&gt;0,MAX(U94,AB94),N94)</f>
        <v/>
      </c>
    </row>
    <row r="95" ht="15.75" customFormat="1" customHeight="1" s="120">
      <c r="B95" s="198" t="inlineStr">
        <is>
          <t>Total (Pre-Vacancy)</t>
        </is>
      </c>
      <c r="C95" s="122" t="n"/>
      <c r="D95" s="166">
        <f>SUM(D76:D94)</f>
        <v/>
      </c>
      <c r="E95" s="166">
        <f>+SUMPRODUCT(E76:E94,$D76:$D94)</f>
        <v/>
      </c>
      <c r="F95" s="165">
        <f>+SUMPRODUCT(F76:F94,$D76:$D94)</f>
        <v/>
      </c>
      <c r="G95" s="165">
        <f>+SUMPRODUCT(G76:G94,$D76:$D94)</f>
        <v/>
      </c>
      <c r="H95" s="165">
        <f>+SUMPRODUCT(H76:H94,$D76:$D94)</f>
        <v/>
      </c>
      <c r="I95" s="165">
        <f>+SUMPRODUCT(I76:I94,$D76:$D94)</f>
        <v/>
      </c>
      <c r="J95" s="165">
        <f>+SUMPRODUCT(J76:J94,$D76:$D94)</f>
        <v/>
      </c>
      <c r="K95" s="165">
        <f>+SUMPRODUCT(K76:K94,$D76:$D94)</f>
        <v/>
      </c>
      <c r="L95" s="165">
        <f>+SUMPRODUCT(L76:L94,$D76:$D94)</f>
        <v/>
      </c>
      <c r="M95" s="165">
        <f>+SUMPRODUCT(M76:M94,$D76:$D94)</f>
        <v/>
      </c>
      <c r="N95" s="165">
        <f>SUM(N76:N94)</f>
        <v/>
      </c>
      <c r="P95" s="198" t="inlineStr">
        <is>
          <t>Total (Pre-Vacancy)</t>
        </is>
      </c>
      <c r="Q95" s="122" t="n"/>
      <c r="R95" s="560">
        <f>SUM(R76:R94)</f>
        <v/>
      </c>
      <c r="S95" s="560">
        <f>+SUMPRODUCT(S76:S94,$R76:$R94)</f>
        <v/>
      </c>
      <c r="T95" s="165">
        <f>+SUMPRODUCT(T76:T94,$R76:$R94)</f>
        <v/>
      </c>
      <c r="U95" s="165">
        <f>SUM(U76:U94)</f>
        <v/>
      </c>
      <c r="W95" s="198" t="inlineStr">
        <is>
          <t>Total (Pre-Vacancy)</t>
        </is>
      </c>
      <c r="X95" s="122" t="n"/>
      <c r="Y95" s="560">
        <f>SUM(Y76:Y94)</f>
        <v/>
      </c>
      <c r="Z95" s="560">
        <f>+SUMPRODUCT(Z76:Z94,$Y76:$Y94)</f>
        <v/>
      </c>
      <c r="AA95" s="165">
        <f>+SUMPRODUCT(AA76:AA94,$Y76:$Y94)</f>
        <v/>
      </c>
      <c r="AB95" s="165">
        <f>SUM(AB76:AB94)</f>
        <v/>
      </c>
      <c r="AC95" s="122" t="n"/>
      <c r="AD95" s="198" t="inlineStr">
        <is>
          <t>Total (Pre-Vacancy)</t>
        </is>
      </c>
      <c r="AE95" s="122" t="n"/>
      <c r="AF95" s="560">
        <f>SUM(AF76:AF94)</f>
        <v/>
      </c>
      <c r="AG95" s="560">
        <f>+SUMPRODUCT(AG76:AG94,$AF76:$AF94)</f>
        <v/>
      </c>
      <c r="AH95" s="165">
        <f>+SUMPRODUCT(AH76:AH94,$AF76:$AF94)</f>
        <v/>
      </c>
      <c r="AI95" s="165">
        <f>SUM(AI76:AI94)</f>
        <v/>
      </c>
      <c r="AK95" s="198" t="inlineStr">
        <is>
          <t>Total (Pre-Vacancy)</t>
        </is>
      </c>
      <c r="AL95" s="122" t="n"/>
      <c r="AM95" s="560">
        <f>SUM(AF76:AF94)</f>
        <v/>
      </c>
      <c r="AN95" s="560">
        <f>+SUMPRODUCT(AG76:AG94,$AF76:$AF94)</f>
        <v/>
      </c>
      <c r="AO95" s="165">
        <f>+SUMPRODUCT(AH76:AH94,$AF76:$AF94)</f>
        <v/>
      </c>
      <c r="AP95" s="165">
        <f>SUM(AP76:AP94)</f>
        <v/>
      </c>
    </row>
    <row r="96">
      <c r="AK96" s="607" t="n"/>
      <c r="AL96" s="607" t="n"/>
      <c r="AM96" s="607" t="n"/>
      <c r="AN96" s="607" t="n"/>
      <c r="AO96" s="607" t="n"/>
      <c r="AP96" s="607" t="n"/>
    </row>
    <row r="97" ht="15.75" customFormat="1" customHeight="1" s="167">
      <c r="B97" s="170" t="inlineStr">
        <is>
          <t>Year 5</t>
        </is>
      </c>
      <c r="C97" s="170" t="n"/>
      <c r="D97" s="170" t="n"/>
      <c r="E97" s="170" t="n"/>
      <c r="F97" s="170" t="n"/>
      <c r="G97" s="170" t="n"/>
      <c r="H97" s="170" t="n"/>
      <c r="I97" s="170" t="n"/>
      <c r="J97" s="170" t="n"/>
      <c r="K97" s="170" t="n"/>
      <c r="L97" s="170" t="n"/>
      <c r="M97" s="170" t="n"/>
      <c r="N97" s="170" t="n"/>
      <c r="P97" s="170">
        <f>+$B97</f>
        <v/>
      </c>
      <c r="Q97" s="170" t="n"/>
      <c r="R97" s="170" t="n"/>
      <c r="S97" s="170" t="n"/>
      <c r="T97" s="170" t="n"/>
      <c r="U97" s="170" t="n"/>
      <c r="W97" s="170">
        <f>+$B97</f>
        <v/>
      </c>
      <c r="X97" s="170" t="n"/>
      <c r="Y97" s="170" t="n"/>
      <c r="Z97" s="170" t="n"/>
      <c r="AA97" s="170" t="n"/>
      <c r="AB97" s="170" t="n"/>
      <c r="AD97" s="170">
        <f>+$B97</f>
        <v/>
      </c>
      <c r="AE97" s="170" t="n"/>
      <c r="AF97" s="170" t="n"/>
      <c r="AG97" s="170" t="n"/>
      <c r="AH97" s="170" t="n"/>
      <c r="AI97" s="170" t="n"/>
      <c r="AK97" s="170">
        <f>+$B97</f>
        <v/>
      </c>
      <c r="AL97" s="170" t="n"/>
      <c r="AM97" s="170" t="n"/>
      <c r="AN97" s="170" t="n"/>
      <c r="AO97" s="170" t="n"/>
      <c r="AP97" s="170" t="n"/>
    </row>
    <row r="98" ht="38.25" customFormat="1" customHeight="1" s="164">
      <c r="B98" s="543" t="inlineStr">
        <is>
          <t>Unit Type</t>
        </is>
      </c>
      <c r="C98" s="543" t="inlineStr">
        <is>
          <t>AMI / S8</t>
        </is>
      </c>
      <c r="D98" s="543" t="inlineStr">
        <is>
          <t># of Units</t>
        </is>
      </c>
      <c r="E98" s="543" t="inlineStr">
        <is>
          <t>Avg. SF</t>
        </is>
      </c>
      <c r="F98" s="543" t="inlineStr">
        <is>
          <t>Avg. Utilities</t>
        </is>
      </c>
      <c r="G98" s="544" t="inlineStr">
        <is>
          <t>Avg. Max LITHC</t>
        </is>
      </c>
      <c r="H98" s="543" t="inlineStr">
        <is>
          <t>Net LIHTC</t>
        </is>
      </c>
      <c r="I98" s="543" t="inlineStr">
        <is>
          <t>Avg. Max FMR</t>
        </is>
      </c>
      <c r="J98" s="543" t="inlineStr">
        <is>
          <t>Net FMR</t>
        </is>
      </c>
      <c r="K98" s="543">
        <f>+K75</f>
        <v/>
      </c>
      <c r="L98" s="543" t="inlineStr">
        <is>
          <t>Gross Rent</t>
        </is>
      </c>
      <c r="M98" s="543" t="inlineStr">
        <is>
          <t>Avg. Current Rent</t>
        </is>
      </c>
      <c r="N98" s="543" t="inlineStr">
        <is>
          <t>Yrly. Gross Income (Net Rent)</t>
        </is>
      </c>
      <c r="P98" s="543" t="inlineStr">
        <is>
          <t>Unit Type</t>
        </is>
      </c>
      <c r="Q98" s="543" t="inlineStr">
        <is>
          <t>AMI / S8</t>
        </is>
      </c>
      <c r="R98" s="543" t="inlineStr">
        <is>
          <t># of Units</t>
        </is>
      </c>
      <c r="S98" s="543" t="inlineStr">
        <is>
          <t>Avg. SF</t>
        </is>
      </c>
      <c r="T98" s="543" t="inlineStr">
        <is>
          <t>Avg. Utilities</t>
        </is>
      </c>
      <c r="U98" s="543" t="inlineStr">
        <is>
          <t>Max Current Vouchers</t>
        </is>
      </c>
      <c r="W98" s="543" t="inlineStr">
        <is>
          <t>Unit Type</t>
        </is>
      </c>
      <c r="X98" s="543" t="inlineStr">
        <is>
          <t>AMI / S8</t>
        </is>
      </c>
      <c r="Y98" s="543" t="inlineStr">
        <is>
          <t># of Units</t>
        </is>
      </c>
      <c r="Z98" s="543" t="inlineStr">
        <is>
          <t>Avg. SF</t>
        </is>
      </c>
      <c r="AA98" s="543" t="inlineStr">
        <is>
          <t>Avg. Utilities</t>
        </is>
      </c>
      <c r="AB98" s="543" t="inlineStr">
        <is>
          <t>Max NET LIHTC</t>
        </is>
      </c>
      <c r="AD98" s="543" t="inlineStr">
        <is>
          <t>Unit Type</t>
        </is>
      </c>
      <c r="AE98" s="543" t="inlineStr">
        <is>
          <t>AMI / S8</t>
        </is>
      </c>
      <c r="AF98" s="543" t="inlineStr">
        <is>
          <t># of Units</t>
        </is>
      </c>
      <c r="AG98" s="543" t="inlineStr">
        <is>
          <t>Avg. SF</t>
        </is>
      </c>
      <c r="AH98" s="543" t="inlineStr">
        <is>
          <t>Avg. Utilities</t>
        </is>
      </c>
      <c r="AI98" s="543" t="inlineStr">
        <is>
          <t xml:space="preserve">Max Current Vouchers + NET LIHTC </t>
        </is>
      </c>
      <c r="AK98" s="543" t="inlineStr">
        <is>
          <t>Unit Type</t>
        </is>
      </c>
      <c r="AL98" s="543" t="inlineStr">
        <is>
          <t>AMI / S8</t>
        </is>
      </c>
      <c r="AM98" s="543" t="inlineStr">
        <is>
          <t># of Units</t>
        </is>
      </c>
      <c r="AN98" s="543" t="inlineStr">
        <is>
          <t>Avg. SF</t>
        </is>
      </c>
      <c r="AO98" s="543" t="inlineStr">
        <is>
          <t>Avg. Utilities</t>
        </is>
      </c>
      <c r="AP98" s="543" t="inlineStr">
        <is>
          <t xml:space="preserve">Max Current Vouchers + NET LIHTC </t>
        </is>
      </c>
    </row>
    <row r="99" ht="15.75" customFormat="1" customHeight="1" s="120">
      <c r="B99" s="551">
        <f>B76</f>
        <v/>
      </c>
      <c r="C99" s="552">
        <f>C76</f>
        <v/>
      </c>
      <c r="D99" s="551">
        <f>$D76</f>
        <v/>
      </c>
      <c r="E99" s="553">
        <f>E76</f>
        <v/>
      </c>
      <c r="F99" s="554">
        <f>F76*(1+Dashboard!$P$12)</f>
        <v/>
      </c>
      <c r="G99" s="555">
        <f>G76*(1+Dashboard!$P$11)</f>
        <v/>
      </c>
      <c r="H99" s="549">
        <f>+G99-F99</f>
        <v/>
      </c>
      <c r="I99" s="556">
        <f>I76*(1+Dashboard!$P$11)</f>
        <v/>
      </c>
      <c r="J99" s="557">
        <f>I99-F99</f>
        <v/>
      </c>
      <c r="K99" s="558">
        <f>K76*(1+Dashboard!$P$11)</f>
        <v/>
      </c>
      <c r="L99" s="559">
        <f>M99+F99</f>
        <v/>
      </c>
      <c r="M99" s="559">
        <f>M76*(1+Dashboard!$P$11)</f>
        <v/>
      </c>
      <c r="N99" s="548">
        <f>((M99*D99)*12)</f>
        <v/>
      </c>
      <c r="P99" s="545">
        <f>B99</f>
        <v/>
      </c>
      <c r="Q99" s="545">
        <f>C99</f>
        <v/>
      </c>
      <c r="R99" s="545">
        <f>D99</f>
        <v/>
      </c>
      <c r="S99" s="546">
        <f>E99</f>
        <v/>
      </c>
      <c r="T99" s="547">
        <f>F99</f>
        <v/>
      </c>
      <c r="U99" s="548">
        <f>((M99*R99)*12)</f>
        <v/>
      </c>
      <c r="W99" s="545">
        <f>B99</f>
        <v/>
      </c>
      <c r="X99" s="545">
        <f>C99</f>
        <v/>
      </c>
      <c r="Y99" s="545">
        <f>D99</f>
        <v/>
      </c>
      <c r="Z99" s="546">
        <f>E99</f>
        <v/>
      </c>
      <c r="AA99" s="547">
        <f>F99</f>
        <v/>
      </c>
      <c r="AB99" s="549">
        <f>((H99*Y99)*12)</f>
        <v/>
      </c>
      <c r="AD99" s="545">
        <f>B99</f>
        <v/>
      </c>
      <c r="AE99" s="545">
        <f>C99</f>
        <v/>
      </c>
      <c r="AF99" s="545">
        <f>D99</f>
        <v/>
      </c>
      <c r="AG99" s="546">
        <f>E99</f>
        <v/>
      </c>
      <c r="AH99" s="547">
        <f>F99</f>
        <v/>
      </c>
      <c r="AI99" s="548">
        <f>+MAX(U99,AB99)</f>
        <v/>
      </c>
      <c r="AK99" s="545">
        <f>B99</f>
        <v/>
      </c>
      <c r="AL99" s="545">
        <f>C99</f>
        <v/>
      </c>
      <c r="AM99" s="545">
        <f>D99</f>
        <v/>
      </c>
      <c r="AN99" s="546">
        <f>E99</f>
        <v/>
      </c>
      <c r="AO99" s="547">
        <f>F99</f>
        <v/>
      </c>
      <c r="AP99" s="548">
        <f>IF(G99&gt;0,MAX(U99,AB99),N99)</f>
        <v/>
      </c>
    </row>
    <row r="100" ht="15.75" customFormat="1" customHeight="1" s="120">
      <c r="B100" s="551">
        <f>B77</f>
        <v/>
      </c>
      <c r="C100" s="552">
        <f>C77</f>
        <v/>
      </c>
      <c r="D100" s="551">
        <f>$D77</f>
        <v/>
      </c>
      <c r="E100" s="553">
        <f>E77</f>
        <v/>
      </c>
      <c r="F100" s="554">
        <f>F77*(1+Dashboard!$P$12)</f>
        <v/>
      </c>
      <c r="G100" s="555">
        <f>G77*(1+Dashboard!$P$11)</f>
        <v/>
      </c>
      <c r="H100" s="549">
        <f>+G100-F100</f>
        <v/>
      </c>
      <c r="I100" s="556">
        <f>I77*(1+Dashboard!$P$11)</f>
        <v/>
      </c>
      <c r="J100" s="557">
        <f>I100-F100</f>
        <v/>
      </c>
      <c r="K100" s="558">
        <f>K77*(1+Dashboard!$P$11)</f>
        <v/>
      </c>
      <c r="L100" s="559">
        <f>M100+F100</f>
        <v/>
      </c>
      <c r="M100" s="559">
        <f>M77*(1+Dashboard!$P$11)</f>
        <v/>
      </c>
      <c r="N100" s="548">
        <f>((M100*D100)*12)</f>
        <v/>
      </c>
      <c r="P100" s="545">
        <f>B100</f>
        <v/>
      </c>
      <c r="Q100" s="550">
        <f>C100</f>
        <v/>
      </c>
      <c r="R100" s="545">
        <f>D100</f>
        <v/>
      </c>
      <c r="S100" s="546">
        <f>E100</f>
        <v/>
      </c>
      <c r="T100" s="547">
        <f>F100</f>
        <v/>
      </c>
      <c r="U100" s="548">
        <f>((M100*R100)*12)</f>
        <v/>
      </c>
      <c r="W100" s="545">
        <f>B100</f>
        <v/>
      </c>
      <c r="X100" s="550">
        <f>C100</f>
        <v/>
      </c>
      <c r="Y100" s="545">
        <f>D100</f>
        <v/>
      </c>
      <c r="Z100" s="546">
        <f>E100</f>
        <v/>
      </c>
      <c r="AA100" s="547">
        <f>F100</f>
        <v/>
      </c>
      <c r="AB100" s="549">
        <f>((H100*Y100)*12)</f>
        <v/>
      </c>
      <c r="AD100" s="545">
        <f>B100</f>
        <v/>
      </c>
      <c r="AE100" s="550">
        <f>C100</f>
        <v/>
      </c>
      <c r="AF100" s="545">
        <f>D100</f>
        <v/>
      </c>
      <c r="AG100" s="546">
        <f>E100</f>
        <v/>
      </c>
      <c r="AH100" s="547">
        <f>F100</f>
        <v/>
      </c>
      <c r="AI100" s="548">
        <f>+MAX(U100,AB100)</f>
        <v/>
      </c>
      <c r="AK100" s="545">
        <f>B100</f>
        <v/>
      </c>
      <c r="AL100" s="550">
        <f>C100</f>
        <v/>
      </c>
      <c r="AM100" s="545">
        <f>D100</f>
        <v/>
      </c>
      <c r="AN100" s="546">
        <f>E100</f>
        <v/>
      </c>
      <c r="AO100" s="547">
        <f>F100</f>
        <v/>
      </c>
      <c r="AP100" s="548">
        <f>IF(G100&gt;0,MAX(U100,AB100),N100)</f>
        <v/>
      </c>
    </row>
    <row r="101" ht="15.75" customFormat="1" customHeight="1" s="120">
      <c r="B101" s="551">
        <f>B78</f>
        <v/>
      </c>
      <c r="C101" s="552">
        <f>C78</f>
        <v/>
      </c>
      <c r="D101" s="551">
        <f>$D78</f>
        <v/>
      </c>
      <c r="E101" s="553">
        <f>E78</f>
        <v/>
      </c>
      <c r="F101" s="554">
        <f>F78*(1+Dashboard!$P$12)</f>
        <v/>
      </c>
      <c r="G101" s="555">
        <f>G78*(1+Dashboard!$P$11)</f>
        <v/>
      </c>
      <c r="H101" s="549">
        <f>+G101-F101</f>
        <v/>
      </c>
      <c r="I101" s="556">
        <f>I78*(1+Dashboard!$P$11)</f>
        <v/>
      </c>
      <c r="J101" s="557">
        <f>I101-F101</f>
        <v/>
      </c>
      <c r="K101" s="558">
        <f>K78*(1+Dashboard!$P$11)</f>
        <v/>
      </c>
      <c r="L101" s="559">
        <f>M101+F101</f>
        <v/>
      </c>
      <c r="M101" s="559">
        <f>M78*(1+Dashboard!$P$11)</f>
        <v/>
      </c>
      <c r="N101" s="548">
        <f>((M101*D101)*12)</f>
        <v/>
      </c>
      <c r="P101" s="545">
        <f>B101</f>
        <v/>
      </c>
      <c r="Q101" s="550">
        <f>C101</f>
        <v/>
      </c>
      <c r="R101" s="545">
        <f>D101</f>
        <v/>
      </c>
      <c r="S101" s="546">
        <f>E101</f>
        <v/>
      </c>
      <c r="T101" s="547">
        <f>F101</f>
        <v/>
      </c>
      <c r="U101" s="548">
        <f>((M101*R101)*12)</f>
        <v/>
      </c>
      <c r="W101" s="545">
        <f>B101</f>
        <v/>
      </c>
      <c r="X101" s="550">
        <f>C101</f>
        <v/>
      </c>
      <c r="Y101" s="545">
        <f>D101</f>
        <v/>
      </c>
      <c r="Z101" s="546">
        <f>E101</f>
        <v/>
      </c>
      <c r="AA101" s="547">
        <f>F101</f>
        <v/>
      </c>
      <c r="AB101" s="549">
        <f>((H101*Y101)*12)</f>
        <v/>
      </c>
      <c r="AD101" s="545">
        <f>B101</f>
        <v/>
      </c>
      <c r="AE101" s="550">
        <f>C101</f>
        <v/>
      </c>
      <c r="AF101" s="545">
        <f>D101</f>
        <v/>
      </c>
      <c r="AG101" s="546">
        <f>E101</f>
        <v/>
      </c>
      <c r="AH101" s="547">
        <f>F101</f>
        <v/>
      </c>
      <c r="AI101" s="548">
        <f>+MAX(U101,AB101)</f>
        <v/>
      </c>
      <c r="AK101" s="545">
        <f>B101</f>
        <v/>
      </c>
      <c r="AL101" s="550">
        <f>C101</f>
        <v/>
      </c>
      <c r="AM101" s="545">
        <f>D101</f>
        <v/>
      </c>
      <c r="AN101" s="546">
        <f>E101</f>
        <v/>
      </c>
      <c r="AO101" s="547">
        <f>F101</f>
        <v/>
      </c>
      <c r="AP101" s="548">
        <f>IF(G101&gt;0,MAX(U101,AB101),N101)</f>
        <v/>
      </c>
    </row>
    <row r="102" ht="15.75" customFormat="1" customHeight="1" s="120">
      <c r="B102" s="551">
        <f>B79</f>
        <v/>
      </c>
      <c r="C102" s="552">
        <f>C79</f>
        <v/>
      </c>
      <c r="D102" s="551">
        <f>$D79</f>
        <v/>
      </c>
      <c r="E102" s="553">
        <f>E79</f>
        <v/>
      </c>
      <c r="F102" s="554">
        <f>F79*(1+Dashboard!$P$12)</f>
        <v/>
      </c>
      <c r="G102" s="555">
        <f>G79*(1+Dashboard!$P$11)</f>
        <v/>
      </c>
      <c r="H102" s="549">
        <f>+G102-F102</f>
        <v/>
      </c>
      <c r="I102" s="556">
        <f>I79*(1+Dashboard!$P$11)</f>
        <v/>
      </c>
      <c r="J102" s="557">
        <f>I102-F102</f>
        <v/>
      </c>
      <c r="K102" s="558">
        <f>K79*(1+Dashboard!$P$11)</f>
        <v/>
      </c>
      <c r="L102" s="559">
        <f>M102+F102</f>
        <v/>
      </c>
      <c r="M102" s="559">
        <f>M79*(1+Dashboard!$P$11)</f>
        <v/>
      </c>
      <c r="N102" s="548">
        <f>((M102*D102)*12)</f>
        <v/>
      </c>
      <c r="P102" s="545">
        <f>B102</f>
        <v/>
      </c>
      <c r="Q102" s="550">
        <f>C102</f>
        <v/>
      </c>
      <c r="R102" s="545">
        <f>D102</f>
        <v/>
      </c>
      <c r="S102" s="546">
        <f>E102</f>
        <v/>
      </c>
      <c r="T102" s="547">
        <f>F102</f>
        <v/>
      </c>
      <c r="U102" s="548">
        <f>((M102*R102)*12)</f>
        <v/>
      </c>
      <c r="W102" s="545">
        <f>B102</f>
        <v/>
      </c>
      <c r="X102" s="550">
        <f>C102</f>
        <v/>
      </c>
      <c r="Y102" s="545">
        <f>D102</f>
        <v/>
      </c>
      <c r="Z102" s="546">
        <f>E102</f>
        <v/>
      </c>
      <c r="AA102" s="547">
        <f>F102</f>
        <v/>
      </c>
      <c r="AB102" s="549">
        <f>((H102*Y102)*12)</f>
        <v/>
      </c>
      <c r="AD102" s="545">
        <f>B102</f>
        <v/>
      </c>
      <c r="AE102" s="550">
        <f>C102</f>
        <v/>
      </c>
      <c r="AF102" s="545">
        <f>D102</f>
        <v/>
      </c>
      <c r="AG102" s="546">
        <f>E102</f>
        <v/>
      </c>
      <c r="AH102" s="547">
        <f>F102</f>
        <v/>
      </c>
      <c r="AI102" s="548">
        <f>+MAX(U102,AB102)</f>
        <v/>
      </c>
      <c r="AK102" s="545">
        <f>B102</f>
        <v/>
      </c>
      <c r="AL102" s="550">
        <f>C102</f>
        <v/>
      </c>
      <c r="AM102" s="545">
        <f>D102</f>
        <v/>
      </c>
      <c r="AN102" s="546">
        <f>E102</f>
        <v/>
      </c>
      <c r="AO102" s="547">
        <f>F102</f>
        <v/>
      </c>
      <c r="AP102" s="548">
        <f>IF(G102&gt;0,MAX(U102,AB102),N102)</f>
        <v/>
      </c>
    </row>
    <row r="103" ht="15.75" customFormat="1" customHeight="1" s="120">
      <c r="B103" s="551">
        <f>B80</f>
        <v/>
      </c>
      <c r="C103" s="552">
        <f>C80</f>
        <v/>
      </c>
      <c r="D103" s="551">
        <f>$D80</f>
        <v/>
      </c>
      <c r="E103" s="553">
        <f>E80</f>
        <v/>
      </c>
      <c r="F103" s="554">
        <f>F80*(1+Dashboard!$P$12)</f>
        <v/>
      </c>
      <c r="G103" s="555">
        <f>G80*(1+Dashboard!$P$11)</f>
        <v/>
      </c>
      <c r="H103" s="549">
        <f>+G103-F103</f>
        <v/>
      </c>
      <c r="I103" s="556">
        <f>I80*(1+Dashboard!$P$11)</f>
        <v/>
      </c>
      <c r="J103" s="557">
        <f>I103-F103</f>
        <v/>
      </c>
      <c r="K103" s="558">
        <f>K80*(1+Dashboard!$P$11)</f>
        <v/>
      </c>
      <c r="L103" s="559">
        <f>M103+F103</f>
        <v/>
      </c>
      <c r="M103" s="559">
        <f>M80*(1+Dashboard!$P$11)</f>
        <v/>
      </c>
      <c r="N103" s="548">
        <f>((M103*D103)*12)</f>
        <v/>
      </c>
      <c r="P103" s="545">
        <f>B103</f>
        <v/>
      </c>
      <c r="Q103" s="550">
        <f>C103</f>
        <v/>
      </c>
      <c r="R103" s="545">
        <f>D103</f>
        <v/>
      </c>
      <c r="S103" s="546">
        <f>E103</f>
        <v/>
      </c>
      <c r="T103" s="547">
        <f>F103</f>
        <v/>
      </c>
      <c r="U103" s="548">
        <f>((M103*R103)*12)</f>
        <v/>
      </c>
      <c r="W103" s="545">
        <f>B103</f>
        <v/>
      </c>
      <c r="X103" s="550">
        <f>C103</f>
        <v/>
      </c>
      <c r="Y103" s="545">
        <f>D103</f>
        <v/>
      </c>
      <c r="Z103" s="546">
        <f>E103</f>
        <v/>
      </c>
      <c r="AA103" s="547">
        <f>F103</f>
        <v/>
      </c>
      <c r="AB103" s="549">
        <f>((H103*Y103)*12)</f>
        <v/>
      </c>
      <c r="AD103" s="545">
        <f>B103</f>
        <v/>
      </c>
      <c r="AE103" s="550">
        <f>C103</f>
        <v/>
      </c>
      <c r="AF103" s="545">
        <f>D103</f>
        <v/>
      </c>
      <c r="AG103" s="546">
        <f>E103</f>
        <v/>
      </c>
      <c r="AH103" s="547">
        <f>F103</f>
        <v/>
      </c>
      <c r="AI103" s="548">
        <f>+MAX(U103,AB103)</f>
        <v/>
      </c>
      <c r="AK103" s="545">
        <f>B103</f>
        <v/>
      </c>
      <c r="AL103" s="550">
        <f>C103</f>
        <v/>
      </c>
      <c r="AM103" s="545">
        <f>D103</f>
        <v/>
      </c>
      <c r="AN103" s="546">
        <f>E103</f>
        <v/>
      </c>
      <c r="AO103" s="547">
        <f>F103</f>
        <v/>
      </c>
      <c r="AP103" s="548">
        <f>IF(G103&gt;0,MAX(U103,AB103),N103)</f>
        <v/>
      </c>
    </row>
    <row r="104" ht="15.75" customFormat="1" customHeight="1" s="120">
      <c r="B104" s="551">
        <f>B81</f>
        <v/>
      </c>
      <c r="C104" s="552">
        <f>C81</f>
        <v/>
      </c>
      <c r="D104" s="551">
        <f>$D81</f>
        <v/>
      </c>
      <c r="E104" s="553">
        <f>E81</f>
        <v/>
      </c>
      <c r="F104" s="554">
        <f>F81*(1+Dashboard!$P$12)</f>
        <v/>
      </c>
      <c r="G104" s="555">
        <f>G81*(1+Dashboard!$P$11)</f>
        <v/>
      </c>
      <c r="H104" s="549">
        <f>+G104-F104</f>
        <v/>
      </c>
      <c r="I104" s="556">
        <f>I81*(1+Dashboard!$P$11)</f>
        <v/>
      </c>
      <c r="J104" s="557">
        <f>I104-F104</f>
        <v/>
      </c>
      <c r="K104" s="558">
        <f>K81*(1+Dashboard!$P$11)</f>
        <v/>
      </c>
      <c r="L104" s="559">
        <f>M104+F104</f>
        <v/>
      </c>
      <c r="M104" s="559">
        <f>M81*(1+Dashboard!$P$11)</f>
        <v/>
      </c>
      <c r="N104" s="548">
        <f>((M104*D104)*12)</f>
        <v/>
      </c>
      <c r="P104" s="545">
        <f>B104</f>
        <v/>
      </c>
      <c r="Q104" s="550">
        <f>C104</f>
        <v/>
      </c>
      <c r="R104" s="545">
        <f>D104</f>
        <v/>
      </c>
      <c r="S104" s="546">
        <f>E104</f>
        <v/>
      </c>
      <c r="T104" s="547">
        <f>F104</f>
        <v/>
      </c>
      <c r="U104" s="548">
        <f>((M104*R104)*12)</f>
        <v/>
      </c>
      <c r="W104" s="545">
        <f>B104</f>
        <v/>
      </c>
      <c r="X104" s="550">
        <f>C104</f>
        <v/>
      </c>
      <c r="Y104" s="545">
        <f>D104</f>
        <v/>
      </c>
      <c r="Z104" s="546">
        <f>E104</f>
        <v/>
      </c>
      <c r="AA104" s="547">
        <f>F104</f>
        <v/>
      </c>
      <c r="AB104" s="549">
        <f>((H104*Y104)*12)</f>
        <v/>
      </c>
      <c r="AD104" s="545">
        <f>B104</f>
        <v/>
      </c>
      <c r="AE104" s="550">
        <f>C104</f>
        <v/>
      </c>
      <c r="AF104" s="545">
        <f>D104</f>
        <v/>
      </c>
      <c r="AG104" s="546">
        <f>E104</f>
        <v/>
      </c>
      <c r="AH104" s="547">
        <f>F104</f>
        <v/>
      </c>
      <c r="AI104" s="548">
        <f>+MAX(U104,AB104)</f>
        <v/>
      </c>
      <c r="AK104" s="545">
        <f>B104</f>
        <v/>
      </c>
      <c r="AL104" s="550">
        <f>C104</f>
        <v/>
      </c>
      <c r="AM104" s="545">
        <f>D104</f>
        <v/>
      </c>
      <c r="AN104" s="546">
        <f>E104</f>
        <v/>
      </c>
      <c r="AO104" s="547">
        <f>F104</f>
        <v/>
      </c>
      <c r="AP104" s="548">
        <f>IF(G104&gt;0,MAX(U104,AB104),N104)</f>
        <v/>
      </c>
    </row>
    <row r="105" ht="15.75" customFormat="1" customHeight="1" s="120">
      <c r="B105" s="551">
        <f>B82</f>
        <v/>
      </c>
      <c r="C105" s="552">
        <f>C82</f>
        <v/>
      </c>
      <c r="D105" s="551">
        <f>$D82</f>
        <v/>
      </c>
      <c r="E105" s="553">
        <f>E82</f>
        <v/>
      </c>
      <c r="F105" s="554">
        <f>F82*(1+Dashboard!$P$12)</f>
        <v/>
      </c>
      <c r="G105" s="555">
        <f>G82*(1+Dashboard!$P$11)</f>
        <v/>
      </c>
      <c r="H105" s="549">
        <f>+G105-F105</f>
        <v/>
      </c>
      <c r="I105" s="556">
        <f>I82*(1+Dashboard!$P$11)</f>
        <v/>
      </c>
      <c r="J105" s="557">
        <f>I105-F105</f>
        <v/>
      </c>
      <c r="K105" s="558">
        <f>K82*(1+Dashboard!$P$11)</f>
        <v/>
      </c>
      <c r="L105" s="559">
        <f>M105+F105</f>
        <v/>
      </c>
      <c r="M105" s="559">
        <f>M82*(1+Dashboard!$P$11)</f>
        <v/>
      </c>
      <c r="N105" s="548">
        <f>((M105*D105)*12)</f>
        <v/>
      </c>
      <c r="P105" s="545">
        <f>B105</f>
        <v/>
      </c>
      <c r="Q105" s="550">
        <f>C105</f>
        <v/>
      </c>
      <c r="R105" s="545">
        <f>D105</f>
        <v/>
      </c>
      <c r="S105" s="546">
        <f>E105</f>
        <v/>
      </c>
      <c r="T105" s="547">
        <f>F105</f>
        <v/>
      </c>
      <c r="U105" s="548">
        <f>((M105*R105)*12)</f>
        <v/>
      </c>
      <c r="W105" s="545">
        <f>B105</f>
        <v/>
      </c>
      <c r="X105" s="550">
        <f>C105</f>
        <v/>
      </c>
      <c r="Y105" s="545">
        <f>D105</f>
        <v/>
      </c>
      <c r="Z105" s="546">
        <f>E105</f>
        <v/>
      </c>
      <c r="AA105" s="547">
        <f>F105</f>
        <v/>
      </c>
      <c r="AB105" s="549">
        <f>((H105*Y105)*12)</f>
        <v/>
      </c>
      <c r="AD105" s="545">
        <f>B105</f>
        <v/>
      </c>
      <c r="AE105" s="550">
        <f>C105</f>
        <v/>
      </c>
      <c r="AF105" s="545">
        <f>D105</f>
        <v/>
      </c>
      <c r="AG105" s="546">
        <f>E105</f>
        <v/>
      </c>
      <c r="AH105" s="547">
        <f>F105</f>
        <v/>
      </c>
      <c r="AI105" s="548">
        <f>+MAX(U105,AB105)</f>
        <v/>
      </c>
      <c r="AK105" s="545">
        <f>B105</f>
        <v/>
      </c>
      <c r="AL105" s="550">
        <f>C105</f>
        <v/>
      </c>
      <c r="AM105" s="545">
        <f>D105</f>
        <v/>
      </c>
      <c r="AN105" s="546">
        <f>E105</f>
        <v/>
      </c>
      <c r="AO105" s="547">
        <f>F105</f>
        <v/>
      </c>
      <c r="AP105" s="548">
        <f>IF(G105&gt;0,MAX(U105,AB105),N105)</f>
        <v/>
      </c>
    </row>
    <row r="106" ht="15.75" customFormat="1" customHeight="1" s="120">
      <c r="B106" s="551">
        <f>B83</f>
        <v/>
      </c>
      <c r="C106" s="552">
        <f>C83</f>
        <v/>
      </c>
      <c r="D106" s="551">
        <f>$D83</f>
        <v/>
      </c>
      <c r="E106" s="553">
        <f>E83</f>
        <v/>
      </c>
      <c r="F106" s="554">
        <f>F83*(1+Dashboard!$P$12)</f>
        <v/>
      </c>
      <c r="G106" s="555">
        <f>G83*(1+Dashboard!$P$11)</f>
        <v/>
      </c>
      <c r="H106" s="549">
        <f>+G106-F106</f>
        <v/>
      </c>
      <c r="I106" s="556">
        <f>I83*(1+Dashboard!$P$11)</f>
        <v/>
      </c>
      <c r="J106" s="557">
        <f>I106-F106</f>
        <v/>
      </c>
      <c r="K106" s="558">
        <f>K83*(1+Dashboard!$P$11)</f>
        <v/>
      </c>
      <c r="L106" s="559">
        <f>M106+F106</f>
        <v/>
      </c>
      <c r="M106" s="559">
        <f>M83*(1+Dashboard!$P$11)</f>
        <v/>
      </c>
      <c r="N106" s="548">
        <f>((M106*D106)*12)</f>
        <v/>
      </c>
      <c r="P106" s="545">
        <f>B106</f>
        <v/>
      </c>
      <c r="Q106" s="550">
        <f>C106</f>
        <v/>
      </c>
      <c r="R106" s="545">
        <f>D106</f>
        <v/>
      </c>
      <c r="S106" s="546">
        <f>E106</f>
        <v/>
      </c>
      <c r="T106" s="547">
        <f>F106</f>
        <v/>
      </c>
      <c r="U106" s="548">
        <f>((M106*R106)*12)</f>
        <v/>
      </c>
      <c r="W106" s="545">
        <f>B106</f>
        <v/>
      </c>
      <c r="X106" s="550">
        <f>C106</f>
        <v/>
      </c>
      <c r="Y106" s="545">
        <f>D106</f>
        <v/>
      </c>
      <c r="Z106" s="546">
        <f>E106</f>
        <v/>
      </c>
      <c r="AA106" s="547">
        <f>F106</f>
        <v/>
      </c>
      <c r="AB106" s="549">
        <f>((H106*Y106)*12)</f>
        <v/>
      </c>
      <c r="AD106" s="545">
        <f>B106</f>
        <v/>
      </c>
      <c r="AE106" s="550">
        <f>C106</f>
        <v/>
      </c>
      <c r="AF106" s="545">
        <f>D106</f>
        <v/>
      </c>
      <c r="AG106" s="546">
        <f>E106</f>
        <v/>
      </c>
      <c r="AH106" s="547">
        <f>F106</f>
        <v/>
      </c>
      <c r="AI106" s="548">
        <f>+MAX(U106,AB106)</f>
        <v/>
      </c>
      <c r="AK106" s="545">
        <f>B106</f>
        <v/>
      </c>
      <c r="AL106" s="550">
        <f>C106</f>
        <v/>
      </c>
      <c r="AM106" s="545">
        <f>D106</f>
        <v/>
      </c>
      <c r="AN106" s="546">
        <f>E106</f>
        <v/>
      </c>
      <c r="AO106" s="547">
        <f>F106</f>
        <v/>
      </c>
      <c r="AP106" s="548">
        <f>IF(G106&gt;0,MAX(U106,AB106),N106)</f>
        <v/>
      </c>
    </row>
    <row r="107" ht="15.75" customFormat="1" customHeight="1" s="120">
      <c r="B107" s="551">
        <f>B84</f>
        <v/>
      </c>
      <c r="C107" s="552">
        <f>C84</f>
        <v/>
      </c>
      <c r="D107" s="551">
        <f>$D84</f>
        <v/>
      </c>
      <c r="E107" s="553">
        <f>E84</f>
        <v/>
      </c>
      <c r="F107" s="554">
        <f>F84*(1+Dashboard!$P$12)</f>
        <v/>
      </c>
      <c r="G107" s="555">
        <f>G84*(1+Dashboard!$P$11)</f>
        <v/>
      </c>
      <c r="H107" s="549">
        <f>+G107-F107</f>
        <v/>
      </c>
      <c r="I107" s="556">
        <f>I84*(1+Dashboard!$P$11)</f>
        <v/>
      </c>
      <c r="J107" s="557">
        <f>I107-F107</f>
        <v/>
      </c>
      <c r="K107" s="558">
        <f>K84*(1+Dashboard!$P$11)</f>
        <v/>
      </c>
      <c r="L107" s="559">
        <f>M107+F107</f>
        <v/>
      </c>
      <c r="M107" s="559">
        <f>M84*(1+Dashboard!$P$11)</f>
        <v/>
      </c>
      <c r="N107" s="548">
        <f>((M107*D107)*12)</f>
        <v/>
      </c>
      <c r="P107" s="545">
        <f>B107</f>
        <v/>
      </c>
      <c r="Q107" s="550">
        <f>C107</f>
        <v/>
      </c>
      <c r="R107" s="545">
        <f>D107</f>
        <v/>
      </c>
      <c r="S107" s="546">
        <f>E107</f>
        <v/>
      </c>
      <c r="T107" s="547">
        <f>F107</f>
        <v/>
      </c>
      <c r="U107" s="548">
        <f>((M107*R107)*12)</f>
        <v/>
      </c>
      <c r="W107" s="545">
        <f>B107</f>
        <v/>
      </c>
      <c r="X107" s="550">
        <f>C107</f>
        <v/>
      </c>
      <c r="Y107" s="545">
        <f>D107</f>
        <v/>
      </c>
      <c r="Z107" s="546">
        <f>E107</f>
        <v/>
      </c>
      <c r="AA107" s="547">
        <f>F107</f>
        <v/>
      </c>
      <c r="AB107" s="549">
        <f>((H107*Y107)*12)</f>
        <v/>
      </c>
      <c r="AD107" s="545">
        <f>B107</f>
        <v/>
      </c>
      <c r="AE107" s="550">
        <f>C107</f>
        <v/>
      </c>
      <c r="AF107" s="545">
        <f>D107</f>
        <v/>
      </c>
      <c r="AG107" s="546">
        <f>E107</f>
        <v/>
      </c>
      <c r="AH107" s="547">
        <f>F107</f>
        <v/>
      </c>
      <c r="AI107" s="548">
        <f>+MAX(U107,AB107)</f>
        <v/>
      </c>
      <c r="AK107" s="545">
        <f>B107</f>
        <v/>
      </c>
      <c r="AL107" s="550">
        <f>C107</f>
        <v/>
      </c>
      <c r="AM107" s="545">
        <f>D107</f>
        <v/>
      </c>
      <c r="AN107" s="546">
        <f>E107</f>
        <v/>
      </c>
      <c r="AO107" s="547">
        <f>F107</f>
        <v/>
      </c>
      <c r="AP107" s="548">
        <f>IF(G107&gt;0,MAX(U107,AB107),N107)</f>
        <v/>
      </c>
    </row>
    <row r="108" ht="15.75" customFormat="1" customHeight="1" s="120">
      <c r="B108" s="551">
        <f>B85</f>
        <v/>
      </c>
      <c r="C108" s="552">
        <f>C85</f>
        <v/>
      </c>
      <c r="D108" s="551">
        <f>$D85</f>
        <v/>
      </c>
      <c r="E108" s="553">
        <f>E85</f>
        <v/>
      </c>
      <c r="F108" s="554">
        <f>F85*(1+Dashboard!$P$12)</f>
        <v/>
      </c>
      <c r="G108" s="555">
        <f>G85*(1+Dashboard!$P$11)</f>
        <v/>
      </c>
      <c r="H108" s="549">
        <f>+G108-F108</f>
        <v/>
      </c>
      <c r="I108" s="556">
        <f>I85*(1+Dashboard!$P$11)</f>
        <v/>
      </c>
      <c r="J108" s="557">
        <f>I108-F108</f>
        <v/>
      </c>
      <c r="K108" s="558">
        <f>K85*(1+Dashboard!$P$11)</f>
        <v/>
      </c>
      <c r="L108" s="559">
        <f>M108+F108</f>
        <v/>
      </c>
      <c r="M108" s="559">
        <f>M85*(1+Dashboard!$P$11)</f>
        <v/>
      </c>
      <c r="N108" s="548">
        <f>((M108*D108)*12)</f>
        <v/>
      </c>
      <c r="P108" s="545">
        <f>B108</f>
        <v/>
      </c>
      <c r="Q108" s="550">
        <f>C108</f>
        <v/>
      </c>
      <c r="R108" s="545">
        <f>D108</f>
        <v/>
      </c>
      <c r="S108" s="546">
        <f>E108</f>
        <v/>
      </c>
      <c r="T108" s="547">
        <f>F108</f>
        <v/>
      </c>
      <c r="U108" s="548">
        <f>((M108*R108)*12)</f>
        <v/>
      </c>
      <c r="W108" s="545">
        <f>B108</f>
        <v/>
      </c>
      <c r="X108" s="550">
        <f>C108</f>
        <v/>
      </c>
      <c r="Y108" s="545">
        <f>D108</f>
        <v/>
      </c>
      <c r="Z108" s="546">
        <f>E108</f>
        <v/>
      </c>
      <c r="AA108" s="547">
        <f>F108</f>
        <v/>
      </c>
      <c r="AB108" s="549">
        <f>((H108*Y108)*12)</f>
        <v/>
      </c>
      <c r="AD108" s="545">
        <f>B108</f>
        <v/>
      </c>
      <c r="AE108" s="550">
        <f>C108</f>
        <v/>
      </c>
      <c r="AF108" s="545">
        <f>D108</f>
        <v/>
      </c>
      <c r="AG108" s="546">
        <f>E108</f>
        <v/>
      </c>
      <c r="AH108" s="547">
        <f>F108</f>
        <v/>
      </c>
      <c r="AI108" s="548">
        <f>+MAX(U108,AB108)</f>
        <v/>
      </c>
      <c r="AK108" s="545">
        <f>B108</f>
        <v/>
      </c>
      <c r="AL108" s="550">
        <f>C108</f>
        <v/>
      </c>
      <c r="AM108" s="545">
        <f>D108</f>
        <v/>
      </c>
      <c r="AN108" s="546">
        <f>E108</f>
        <v/>
      </c>
      <c r="AO108" s="547">
        <f>F108</f>
        <v/>
      </c>
      <c r="AP108" s="548">
        <f>IF(G108&gt;0,MAX(U108,AB108),N108)</f>
        <v/>
      </c>
    </row>
    <row r="109" ht="15.75" customFormat="1" customHeight="1" s="120">
      <c r="B109" s="551">
        <f>B86</f>
        <v/>
      </c>
      <c r="C109" s="552">
        <f>C86</f>
        <v/>
      </c>
      <c r="D109" s="551">
        <f>$D86</f>
        <v/>
      </c>
      <c r="E109" s="553">
        <f>E86</f>
        <v/>
      </c>
      <c r="F109" s="554">
        <f>F86*(1+Dashboard!$P$12)</f>
        <v/>
      </c>
      <c r="G109" s="555">
        <f>G86*(1+Dashboard!$P$11)</f>
        <v/>
      </c>
      <c r="H109" s="549">
        <f>+G109-F109</f>
        <v/>
      </c>
      <c r="I109" s="556">
        <f>I86*(1+Dashboard!$P$11)</f>
        <v/>
      </c>
      <c r="J109" s="557">
        <f>I109-F109</f>
        <v/>
      </c>
      <c r="K109" s="558">
        <f>K86*(1+Dashboard!$P$11)</f>
        <v/>
      </c>
      <c r="L109" s="559">
        <f>M109+F109</f>
        <v/>
      </c>
      <c r="M109" s="559">
        <f>M86*(1+Dashboard!$P$11)</f>
        <v/>
      </c>
      <c r="N109" s="548">
        <f>((M109*D109)*12)</f>
        <v/>
      </c>
      <c r="P109" s="545">
        <f>B109</f>
        <v/>
      </c>
      <c r="Q109" s="550">
        <f>C109</f>
        <v/>
      </c>
      <c r="R109" s="545">
        <f>D109</f>
        <v/>
      </c>
      <c r="S109" s="546">
        <f>E109</f>
        <v/>
      </c>
      <c r="T109" s="547">
        <f>F109</f>
        <v/>
      </c>
      <c r="U109" s="548">
        <f>((M109*R109)*12)</f>
        <v/>
      </c>
      <c r="W109" s="545">
        <f>B109</f>
        <v/>
      </c>
      <c r="X109" s="550">
        <f>C109</f>
        <v/>
      </c>
      <c r="Y109" s="545">
        <f>D109</f>
        <v/>
      </c>
      <c r="Z109" s="546">
        <f>E109</f>
        <v/>
      </c>
      <c r="AA109" s="547">
        <f>F109</f>
        <v/>
      </c>
      <c r="AB109" s="549">
        <f>((H109*Y109)*12)</f>
        <v/>
      </c>
      <c r="AD109" s="545">
        <f>B109</f>
        <v/>
      </c>
      <c r="AE109" s="550">
        <f>C109</f>
        <v/>
      </c>
      <c r="AF109" s="545">
        <f>D109</f>
        <v/>
      </c>
      <c r="AG109" s="546">
        <f>E109</f>
        <v/>
      </c>
      <c r="AH109" s="547">
        <f>F109</f>
        <v/>
      </c>
      <c r="AI109" s="548">
        <f>+MAX(U109,AB109)</f>
        <v/>
      </c>
      <c r="AK109" s="545">
        <f>B109</f>
        <v/>
      </c>
      <c r="AL109" s="550">
        <f>C109</f>
        <v/>
      </c>
      <c r="AM109" s="545">
        <f>D109</f>
        <v/>
      </c>
      <c r="AN109" s="546">
        <f>E109</f>
        <v/>
      </c>
      <c r="AO109" s="547">
        <f>F109</f>
        <v/>
      </c>
      <c r="AP109" s="548">
        <f>IF(G109&gt;0,MAX(U109,AB109),N109)</f>
        <v/>
      </c>
    </row>
    <row r="110" ht="15.75" customFormat="1" customHeight="1" s="120">
      <c r="B110" s="551">
        <f>B87</f>
        <v/>
      </c>
      <c r="C110" s="552">
        <f>C87</f>
        <v/>
      </c>
      <c r="D110" s="551">
        <f>$D87</f>
        <v/>
      </c>
      <c r="E110" s="553">
        <f>E87</f>
        <v/>
      </c>
      <c r="F110" s="554">
        <f>F87*(1+Dashboard!$P$12)</f>
        <v/>
      </c>
      <c r="G110" s="555">
        <f>G87*(1+Dashboard!$P$11)</f>
        <v/>
      </c>
      <c r="H110" s="549">
        <f>+G110-F110</f>
        <v/>
      </c>
      <c r="I110" s="556">
        <f>I87*(1+Dashboard!$P$11)</f>
        <v/>
      </c>
      <c r="J110" s="557">
        <f>I110-F110</f>
        <v/>
      </c>
      <c r="K110" s="558">
        <f>K87*(1+Dashboard!$P$11)</f>
        <v/>
      </c>
      <c r="L110" s="559">
        <f>M110+F110</f>
        <v/>
      </c>
      <c r="M110" s="559">
        <f>M87*(1+Dashboard!$P$11)</f>
        <v/>
      </c>
      <c r="N110" s="548">
        <f>((M110*D110)*12)</f>
        <v/>
      </c>
      <c r="P110" s="545">
        <f>B110</f>
        <v/>
      </c>
      <c r="Q110" s="550">
        <f>C110</f>
        <v/>
      </c>
      <c r="R110" s="545">
        <f>D110</f>
        <v/>
      </c>
      <c r="S110" s="546">
        <f>E110</f>
        <v/>
      </c>
      <c r="T110" s="547">
        <f>F110</f>
        <v/>
      </c>
      <c r="U110" s="548">
        <f>((M110*R110)*12)</f>
        <v/>
      </c>
      <c r="W110" s="545">
        <f>B110</f>
        <v/>
      </c>
      <c r="X110" s="550">
        <f>C110</f>
        <v/>
      </c>
      <c r="Y110" s="545">
        <f>D110</f>
        <v/>
      </c>
      <c r="Z110" s="546">
        <f>E110</f>
        <v/>
      </c>
      <c r="AA110" s="547">
        <f>F110</f>
        <v/>
      </c>
      <c r="AB110" s="549">
        <f>((H110*Y110)*12)</f>
        <v/>
      </c>
      <c r="AD110" s="545">
        <f>B110</f>
        <v/>
      </c>
      <c r="AE110" s="550">
        <f>C110</f>
        <v/>
      </c>
      <c r="AF110" s="545">
        <f>D110</f>
        <v/>
      </c>
      <c r="AG110" s="546">
        <f>E110</f>
        <v/>
      </c>
      <c r="AH110" s="547">
        <f>F110</f>
        <v/>
      </c>
      <c r="AI110" s="548">
        <f>+MAX(U110,AB110)</f>
        <v/>
      </c>
      <c r="AK110" s="545">
        <f>B110</f>
        <v/>
      </c>
      <c r="AL110" s="550">
        <f>C110</f>
        <v/>
      </c>
      <c r="AM110" s="545">
        <f>D110</f>
        <v/>
      </c>
      <c r="AN110" s="546">
        <f>E110</f>
        <v/>
      </c>
      <c r="AO110" s="547">
        <f>F110</f>
        <v/>
      </c>
      <c r="AP110" s="548">
        <f>IF(G110&gt;0,MAX(U110,AB110),N110)</f>
        <v/>
      </c>
    </row>
    <row r="111" ht="15.75" customFormat="1" customHeight="1" s="120">
      <c r="B111" s="551">
        <f>B88</f>
        <v/>
      </c>
      <c r="C111" s="552">
        <f>C88</f>
        <v/>
      </c>
      <c r="D111" s="551">
        <f>$D88</f>
        <v/>
      </c>
      <c r="E111" s="553">
        <f>E88</f>
        <v/>
      </c>
      <c r="F111" s="554">
        <f>F88*(1+Dashboard!$P$12)</f>
        <v/>
      </c>
      <c r="G111" s="555">
        <f>G88*(1+Dashboard!$P$11)</f>
        <v/>
      </c>
      <c r="H111" s="549">
        <f>+G111-F111</f>
        <v/>
      </c>
      <c r="I111" s="556">
        <f>I88*(1+Dashboard!$P$11)</f>
        <v/>
      </c>
      <c r="J111" s="557">
        <f>I111-F111</f>
        <v/>
      </c>
      <c r="K111" s="558">
        <f>K88*(1+Dashboard!$P$11)</f>
        <v/>
      </c>
      <c r="L111" s="559">
        <f>M111+F111</f>
        <v/>
      </c>
      <c r="M111" s="559">
        <f>M88*(1+Dashboard!$P$11)</f>
        <v/>
      </c>
      <c r="N111" s="548">
        <f>((M111*D111)*12)</f>
        <v/>
      </c>
      <c r="P111" s="545">
        <f>B111</f>
        <v/>
      </c>
      <c r="Q111" s="550">
        <f>C111</f>
        <v/>
      </c>
      <c r="R111" s="545">
        <f>D111</f>
        <v/>
      </c>
      <c r="S111" s="546">
        <f>E111</f>
        <v/>
      </c>
      <c r="T111" s="547">
        <f>F111</f>
        <v/>
      </c>
      <c r="U111" s="548">
        <f>((M111*R111)*12)</f>
        <v/>
      </c>
      <c r="W111" s="545">
        <f>B111</f>
        <v/>
      </c>
      <c r="X111" s="550">
        <f>C111</f>
        <v/>
      </c>
      <c r="Y111" s="545">
        <f>D111</f>
        <v/>
      </c>
      <c r="Z111" s="546">
        <f>E111</f>
        <v/>
      </c>
      <c r="AA111" s="547">
        <f>F111</f>
        <v/>
      </c>
      <c r="AB111" s="549">
        <f>((H111*Y111)*12)</f>
        <v/>
      </c>
      <c r="AD111" s="545">
        <f>B111</f>
        <v/>
      </c>
      <c r="AE111" s="550">
        <f>C111</f>
        <v/>
      </c>
      <c r="AF111" s="545">
        <f>D111</f>
        <v/>
      </c>
      <c r="AG111" s="546">
        <f>E111</f>
        <v/>
      </c>
      <c r="AH111" s="547">
        <f>F111</f>
        <v/>
      </c>
      <c r="AI111" s="548">
        <f>+MAX(U111,AB111)</f>
        <v/>
      </c>
      <c r="AK111" s="545">
        <f>B111</f>
        <v/>
      </c>
      <c r="AL111" s="550">
        <f>C111</f>
        <v/>
      </c>
      <c r="AM111" s="545">
        <f>D111</f>
        <v/>
      </c>
      <c r="AN111" s="546">
        <f>E111</f>
        <v/>
      </c>
      <c r="AO111" s="547">
        <f>F111</f>
        <v/>
      </c>
      <c r="AP111" s="548">
        <f>IF(G111&gt;0,MAX(U111,AB111),N111)</f>
        <v/>
      </c>
    </row>
    <row r="112" ht="15.75" customFormat="1" customHeight="1" s="120">
      <c r="B112" s="551">
        <f>B89</f>
        <v/>
      </c>
      <c r="C112" s="552">
        <f>C89</f>
        <v/>
      </c>
      <c r="D112" s="551">
        <f>$D89</f>
        <v/>
      </c>
      <c r="E112" s="553">
        <f>E89</f>
        <v/>
      </c>
      <c r="F112" s="554">
        <f>F89*(1+Dashboard!$P$12)</f>
        <v/>
      </c>
      <c r="G112" s="555">
        <f>G89*(1+Dashboard!$P$11)</f>
        <v/>
      </c>
      <c r="H112" s="549">
        <f>+G112-F112</f>
        <v/>
      </c>
      <c r="I112" s="556">
        <f>I89*(1+Dashboard!$P$11)</f>
        <v/>
      </c>
      <c r="J112" s="557">
        <f>I112-F112</f>
        <v/>
      </c>
      <c r="K112" s="558">
        <f>K89*(1+Dashboard!$P$11)</f>
        <v/>
      </c>
      <c r="L112" s="559">
        <f>M112+F112</f>
        <v/>
      </c>
      <c r="M112" s="559">
        <f>M89*(1+Dashboard!$P$11)</f>
        <v/>
      </c>
      <c r="N112" s="548">
        <f>((M112*D112)*12)</f>
        <v/>
      </c>
      <c r="P112" s="545">
        <f>B112</f>
        <v/>
      </c>
      <c r="Q112" s="550">
        <f>C112</f>
        <v/>
      </c>
      <c r="R112" s="545">
        <f>D112</f>
        <v/>
      </c>
      <c r="S112" s="546">
        <f>E112</f>
        <v/>
      </c>
      <c r="T112" s="547">
        <f>F112</f>
        <v/>
      </c>
      <c r="U112" s="548">
        <f>((M112*R112)*12)</f>
        <v/>
      </c>
      <c r="W112" s="545">
        <f>B112</f>
        <v/>
      </c>
      <c r="X112" s="550">
        <f>C112</f>
        <v/>
      </c>
      <c r="Y112" s="545">
        <f>D112</f>
        <v/>
      </c>
      <c r="Z112" s="546">
        <f>E112</f>
        <v/>
      </c>
      <c r="AA112" s="547">
        <f>F112</f>
        <v/>
      </c>
      <c r="AB112" s="549">
        <f>((H112*Y112)*12)</f>
        <v/>
      </c>
      <c r="AD112" s="545">
        <f>B112</f>
        <v/>
      </c>
      <c r="AE112" s="550">
        <f>C112</f>
        <v/>
      </c>
      <c r="AF112" s="545">
        <f>D112</f>
        <v/>
      </c>
      <c r="AG112" s="546">
        <f>E112</f>
        <v/>
      </c>
      <c r="AH112" s="547">
        <f>F112</f>
        <v/>
      </c>
      <c r="AI112" s="548">
        <f>+MAX(U112,AB112)</f>
        <v/>
      </c>
      <c r="AK112" s="545">
        <f>B112</f>
        <v/>
      </c>
      <c r="AL112" s="550">
        <f>C112</f>
        <v/>
      </c>
      <c r="AM112" s="545">
        <f>D112</f>
        <v/>
      </c>
      <c r="AN112" s="546">
        <f>E112</f>
        <v/>
      </c>
      <c r="AO112" s="547">
        <f>F112</f>
        <v/>
      </c>
      <c r="AP112" s="548">
        <f>IF(G112&gt;0,MAX(U112,AB112),N112)</f>
        <v/>
      </c>
    </row>
    <row r="113" ht="15.75" customFormat="1" customHeight="1" s="120">
      <c r="B113" s="551">
        <f>B90</f>
        <v/>
      </c>
      <c r="C113" s="552">
        <f>C90</f>
        <v/>
      </c>
      <c r="D113" s="551">
        <f>$D90</f>
        <v/>
      </c>
      <c r="E113" s="553">
        <f>E90</f>
        <v/>
      </c>
      <c r="F113" s="554">
        <f>F90*(1+Dashboard!$P$12)</f>
        <v/>
      </c>
      <c r="G113" s="555">
        <f>G90*(1+Dashboard!$P$11)</f>
        <v/>
      </c>
      <c r="H113" s="549">
        <f>+G113-F113</f>
        <v/>
      </c>
      <c r="I113" s="556">
        <f>I90*(1+Dashboard!$P$11)</f>
        <v/>
      </c>
      <c r="J113" s="557">
        <f>I113-F113</f>
        <v/>
      </c>
      <c r="K113" s="558">
        <f>K90*(1+Dashboard!$P$11)</f>
        <v/>
      </c>
      <c r="L113" s="559">
        <f>M113+F113</f>
        <v/>
      </c>
      <c r="M113" s="559">
        <f>M90*(1+Dashboard!$P$11)</f>
        <v/>
      </c>
      <c r="N113" s="548">
        <f>((M113*D113)*12)</f>
        <v/>
      </c>
      <c r="P113" s="545">
        <f>B113</f>
        <v/>
      </c>
      <c r="Q113" s="550">
        <f>C113</f>
        <v/>
      </c>
      <c r="R113" s="545">
        <f>D113</f>
        <v/>
      </c>
      <c r="S113" s="546">
        <f>E113</f>
        <v/>
      </c>
      <c r="T113" s="547">
        <f>F113</f>
        <v/>
      </c>
      <c r="U113" s="548">
        <f>((M113*R113)*12)</f>
        <v/>
      </c>
      <c r="W113" s="545">
        <f>B113</f>
        <v/>
      </c>
      <c r="X113" s="550">
        <f>C113</f>
        <v/>
      </c>
      <c r="Y113" s="545">
        <f>D113</f>
        <v/>
      </c>
      <c r="Z113" s="546">
        <f>E113</f>
        <v/>
      </c>
      <c r="AA113" s="547">
        <f>F113</f>
        <v/>
      </c>
      <c r="AB113" s="549">
        <f>((H113*Y113)*12)</f>
        <v/>
      </c>
      <c r="AD113" s="545">
        <f>B113</f>
        <v/>
      </c>
      <c r="AE113" s="550">
        <f>C113</f>
        <v/>
      </c>
      <c r="AF113" s="545">
        <f>D113</f>
        <v/>
      </c>
      <c r="AG113" s="546">
        <f>E113</f>
        <v/>
      </c>
      <c r="AH113" s="547">
        <f>F113</f>
        <v/>
      </c>
      <c r="AI113" s="548">
        <f>+MAX(U113,AB113)</f>
        <v/>
      </c>
      <c r="AK113" s="545">
        <f>B113</f>
        <v/>
      </c>
      <c r="AL113" s="550">
        <f>C113</f>
        <v/>
      </c>
      <c r="AM113" s="545">
        <f>D113</f>
        <v/>
      </c>
      <c r="AN113" s="546">
        <f>E113</f>
        <v/>
      </c>
      <c r="AO113" s="547">
        <f>F113</f>
        <v/>
      </c>
      <c r="AP113" s="548">
        <f>IF(G113&gt;0,MAX(U113,AB113),N113)</f>
        <v/>
      </c>
    </row>
    <row r="114" ht="15.75" customFormat="1" customHeight="1" s="120">
      <c r="B114" s="551">
        <f>B91</f>
        <v/>
      </c>
      <c r="C114" s="552">
        <f>C91</f>
        <v/>
      </c>
      <c r="D114" s="551">
        <f>$D91</f>
        <v/>
      </c>
      <c r="E114" s="553">
        <f>E91</f>
        <v/>
      </c>
      <c r="F114" s="554">
        <f>F91*(1+Dashboard!$P$12)</f>
        <v/>
      </c>
      <c r="G114" s="555">
        <f>G91*(1+Dashboard!$P$11)</f>
        <v/>
      </c>
      <c r="H114" s="549">
        <f>+G114-F114</f>
        <v/>
      </c>
      <c r="I114" s="556">
        <f>I91*(1+Dashboard!$P$11)</f>
        <v/>
      </c>
      <c r="J114" s="557">
        <f>I114-F114</f>
        <v/>
      </c>
      <c r="K114" s="558">
        <f>K91*(1+Dashboard!$P$11)</f>
        <v/>
      </c>
      <c r="L114" s="559">
        <f>M114+F114</f>
        <v/>
      </c>
      <c r="M114" s="559">
        <f>M91*(1+Dashboard!$P$11)</f>
        <v/>
      </c>
      <c r="N114" s="548">
        <f>((M114*D114)*12)</f>
        <v/>
      </c>
      <c r="P114" s="545">
        <f>B114</f>
        <v/>
      </c>
      <c r="Q114" s="550">
        <f>C114</f>
        <v/>
      </c>
      <c r="R114" s="545">
        <f>D114</f>
        <v/>
      </c>
      <c r="S114" s="546">
        <f>E114</f>
        <v/>
      </c>
      <c r="T114" s="547">
        <f>F114</f>
        <v/>
      </c>
      <c r="U114" s="548">
        <f>((M114*R114)*12)</f>
        <v/>
      </c>
      <c r="W114" s="545">
        <f>B114</f>
        <v/>
      </c>
      <c r="X114" s="550">
        <f>C114</f>
        <v/>
      </c>
      <c r="Y114" s="545">
        <f>D114</f>
        <v/>
      </c>
      <c r="Z114" s="546">
        <f>E114</f>
        <v/>
      </c>
      <c r="AA114" s="547">
        <f>F114</f>
        <v/>
      </c>
      <c r="AB114" s="549">
        <f>((H114*Y114)*12)</f>
        <v/>
      </c>
      <c r="AD114" s="545">
        <f>B114</f>
        <v/>
      </c>
      <c r="AE114" s="550">
        <f>C114</f>
        <v/>
      </c>
      <c r="AF114" s="545">
        <f>D114</f>
        <v/>
      </c>
      <c r="AG114" s="546">
        <f>E114</f>
        <v/>
      </c>
      <c r="AH114" s="547">
        <f>F114</f>
        <v/>
      </c>
      <c r="AI114" s="548">
        <f>+MAX(U114,AB114)</f>
        <v/>
      </c>
      <c r="AK114" s="545">
        <f>B114</f>
        <v/>
      </c>
      <c r="AL114" s="550">
        <f>C114</f>
        <v/>
      </c>
      <c r="AM114" s="545">
        <f>D114</f>
        <v/>
      </c>
      <c r="AN114" s="546">
        <f>E114</f>
        <v/>
      </c>
      <c r="AO114" s="547">
        <f>F114</f>
        <v/>
      </c>
      <c r="AP114" s="548">
        <f>IF(G114&gt;0,MAX(U114,AB114),N114)</f>
        <v/>
      </c>
    </row>
    <row r="115" ht="15.75" customFormat="1" customHeight="1" s="120">
      <c r="B115" s="551">
        <f>B92</f>
        <v/>
      </c>
      <c r="C115" s="552">
        <f>C92</f>
        <v/>
      </c>
      <c r="D115" s="551">
        <f>$D92</f>
        <v/>
      </c>
      <c r="E115" s="553">
        <f>E92</f>
        <v/>
      </c>
      <c r="F115" s="554">
        <f>F92*(1+Dashboard!$P$12)</f>
        <v/>
      </c>
      <c r="G115" s="555">
        <f>G92*(1+Dashboard!$P$11)</f>
        <v/>
      </c>
      <c r="H115" s="549">
        <f>+G115-F115</f>
        <v/>
      </c>
      <c r="I115" s="556">
        <f>I92*(1+Dashboard!$P$11)</f>
        <v/>
      </c>
      <c r="J115" s="557">
        <f>I115-F115</f>
        <v/>
      </c>
      <c r="K115" s="558">
        <f>K92*(1+Dashboard!$P$11)</f>
        <v/>
      </c>
      <c r="L115" s="559">
        <f>M115+F115</f>
        <v/>
      </c>
      <c r="M115" s="559">
        <f>M92*(1+Dashboard!$P$11)</f>
        <v/>
      </c>
      <c r="N115" s="548">
        <f>((M115*D115)*12)</f>
        <v/>
      </c>
      <c r="P115" s="545">
        <f>B115</f>
        <v/>
      </c>
      <c r="Q115" s="550">
        <f>C115</f>
        <v/>
      </c>
      <c r="R115" s="545">
        <f>D115</f>
        <v/>
      </c>
      <c r="S115" s="546">
        <f>E115</f>
        <v/>
      </c>
      <c r="T115" s="547">
        <f>F115</f>
        <v/>
      </c>
      <c r="U115" s="548">
        <f>((M115*R115)*12)</f>
        <v/>
      </c>
      <c r="W115" s="545">
        <f>B115</f>
        <v/>
      </c>
      <c r="X115" s="550">
        <f>C115</f>
        <v/>
      </c>
      <c r="Y115" s="545">
        <f>D115</f>
        <v/>
      </c>
      <c r="Z115" s="546">
        <f>E115</f>
        <v/>
      </c>
      <c r="AA115" s="547">
        <f>F115</f>
        <v/>
      </c>
      <c r="AB115" s="549">
        <f>((H115*Y115)*12)</f>
        <v/>
      </c>
      <c r="AD115" s="545">
        <f>B115</f>
        <v/>
      </c>
      <c r="AE115" s="550">
        <f>C115</f>
        <v/>
      </c>
      <c r="AF115" s="545">
        <f>D115</f>
        <v/>
      </c>
      <c r="AG115" s="546">
        <f>E115</f>
        <v/>
      </c>
      <c r="AH115" s="547">
        <f>F115</f>
        <v/>
      </c>
      <c r="AI115" s="548">
        <f>+MAX(U115,AB115)</f>
        <v/>
      </c>
      <c r="AK115" s="545">
        <f>B115</f>
        <v/>
      </c>
      <c r="AL115" s="550">
        <f>C115</f>
        <v/>
      </c>
      <c r="AM115" s="545">
        <f>D115</f>
        <v/>
      </c>
      <c r="AN115" s="546">
        <f>E115</f>
        <v/>
      </c>
      <c r="AO115" s="547">
        <f>F115</f>
        <v/>
      </c>
      <c r="AP115" s="548">
        <f>IF(G115&gt;0,MAX(U115,AB115),N115)</f>
        <v/>
      </c>
    </row>
    <row r="116" ht="15.75" customFormat="1" customHeight="1" s="120">
      <c r="B116" s="551">
        <f>B93</f>
        <v/>
      </c>
      <c r="C116" s="552">
        <f>C93</f>
        <v/>
      </c>
      <c r="D116" s="551">
        <f>$D93</f>
        <v/>
      </c>
      <c r="E116" s="553">
        <f>E93</f>
        <v/>
      </c>
      <c r="F116" s="554">
        <f>F93*(1+Dashboard!$P$12)</f>
        <v/>
      </c>
      <c r="G116" s="555">
        <f>G93*(1+Dashboard!$P$11)</f>
        <v/>
      </c>
      <c r="H116" s="549">
        <f>+G116-F116</f>
        <v/>
      </c>
      <c r="I116" s="556">
        <f>I93*(1+Dashboard!$P$11)</f>
        <v/>
      </c>
      <c r="J116" s="557">
        <f>I116-F116</f>
        <v/>
      </c>
      <c r="K116" s="558">
        <f>K93*(1+Dashboard!$P$11)</f>
        <v/>
      </c>
      <c r="L116" s="559">
        <f>M116+F116</f>
        <v/>
      </c>
      <c r="M116" s="559">
        <f>M93*(1+Dashboard!$P$11)</f>
        <v/>
      </c>
      <c r="N116" s="548">
        <f>((M116*D116)*12)</f>
        <v/>
      </c>
      <c r="P116" s="545">
        <f>B116</f>
        <v/>
      </c>
      <c r="Q116" s="550">
        <f>C116</f>
        <v/>
      </c>
      <c r="R116" s="545">
        <f>D116</f>
        <v/>
      </c>
      <c r="S116" s="546">
        <f>E116</f>
        <v/>
      </c>
      <c r="T116" s="547">
        <f>F116</f>
        <v/>
      </c>
      <c r="U116" s="548">
        <f>((M116*R116)*12)</f>
        <v/>
      </c>
      <c r="W116" s="545">
        <f>B116</f>
        <v/>
      </c>
      <c r="X116" s="550">
        <f>C116</f>
        <v/>
      </c>
      <c r="Y116" s="545">
        <f>D116</f>
        <v/>
      </c>
      <c r="Z116" s="546">
        <f>E116</f>
        <v/>
      </c>
      <c r="AA116" s="547">
        <f>F116</f>
        <v/>
      </c>
      <c r="AB116" s="549">
        <f>((H116*Y116)*12)</f>
        <v/>
      </c>
      <c r="AD116" s="545">
        <f>B116</f>
        <v/>
      </c>
      <c r="AE116" s="550">
        <f>C116</f>
        <v/>
      </c>
      <c r="AF116" s="545">
        <f>D116</f>
        <v/>
      </c>
      <c r="AG116" s="546">
        <f>E116</f>
        <v/>
      </c>
      <c r="AH116" s="547">
        <f>F116</f>
        <v/>
      </c>
      <c r="AI116" s="548">
        <f>+MAX(U116,AB116)</f>
        <v/>
      </c>
      <c r="AK116" s="545">
        <f>B116</f>
        <v/>
      </c>
      <c r="AL116" s="550">
        <f>C116</f>
        <v/>
      </c>
      <c r="AM116" s="545">
        <f>D116</f>
        <v/>
      </c>
      <c r="AN116" s="546">
        <f>E116</f>
        <v/>
      </c>
      <c r="AO116" s="547">
        <f>F116</f>
        <v/>
      </c>
      <c r="AP116" s="548">
        <f>IF(G116&gt;0,MAX(U116,AB116),N116)</f>
        <v/>
      </c>
    </row>
    <row r="117" ht="15.75" customFormat="1" customHeight="1" s="120">
      <c r="B117" s="551">
        <f>B94</f>
        <v/>
      </c>
      <c r="C117" s="552">
        <f>C94</f>
        <v/>
      </c>
      <c r="D117" s="551">
        <f>$D94</f>
        <v/>
      </c>
      <c r="E117" s="553">
        <f>E94</f>
        <v/>
      </c>
      <c r="F117" s="554">
        <f>F94*(1+Dashboard!$P$12)</f>
        <v/>
      </c>
      <c r="G117" s="555">
        <f>G94*(1+Dashboard!$P$11)</f>
        <v/>
      </c>
      <c r="H117" s="549">
        <f>+G117-F117</f>
        <v/>
      </c>
      <c r="I117" s="556">
        <f>I94*(1+Dashboard!$P$11)</f>
        <v/>
      </c>
      <c r="J117" s="557">
        <f>I117-F117</f>
        <v/>
      </c>
      <c r="K117" s="558">
        <f>K94*(1+Dashboard!$P$11)</f>
        <v/>
      </c>
      <c r="L117" s="559">
        <f>M117+F117</f>
        <v/>
      </c>
      <c r="M117" s="559">
        <f>M94*(1+Dashboard!$P$11)</f>
        <v/>
      </c>
      <c r="N117" s="548">
        <f>((M117*D117)*12)</f>
        <v/>
      </c>
      <c r="P117" s="545">
        <f>B117</f>
        <v/>
      </c>
      <c r="Q117" s="550">
        <f>C117</f>
        <v/>
      </c>
      <c r="R117" s="545">
        <f>D117</f>
        <v/>
      </c>
      <c r="S117" s="546">
        <f>E117</f>
        <v/>
      </c>
      <c r="T117" s="547">
        <f>F117</f>
        <v/>
      </c>
      <c r="U117" s="548">
        <f>((M117*R117)*12)</f>
        <v/>
      </c>
      <c r="W117" s="545">
        <f>B117</f>
        <v/>
      </c>
      <c r="X117" s="550">
        <f>C117</f>
        <v/>
      </c>
      <c r="Y117" s="545">
        <f>D117</f>
        <v/>
      </c>
      <c r="Z117" s="546">
        <f>E117</f>
        <v/>
      </c>
      <c r="AA117" s="547">
        <f>F117</f>
        <v/>
      </c>
      <c r="AB117" s="549">
        <f>((H117*Y117)*12)</f>
        <v/>
      </c>
      <c r="AD117" s="545">
        <f>B117</f>
        <v/>
      </c>
      <c r="AE117" s="550">
        <f>C117</f>
        <v/>
      </c>
      <c r="AF117" s="545">
        <f>D117</f>
        <v/>
      </c>
      <c r="AG117" s="546">
        <f>E117</f>
        <v/>
      </c>
      <c r="AH117" s="547">
        <f>F117</f>
        <v/>
      </c>
      <c r="AI117" s="548">
        <f>+MAX(U117,AB117)</f>
        <v/>
      </c>
      <c r="AK117" s="545">
        <f>B117</f>
        <v/>
      </c>
      <c r="AL117" s="550">
        <f>C117</f>
        <v/>
      </c>
      <c r="AM117" s="545">
        <f>D117</f>
        <v/>
      </c>
      <c r="AN117" s="546">
        <f>E117</f>
        <v/>
      </c>
      <c r="AO117" s="547">
        <f>F117</f>
        <v/>
      </c>
      <c r="AP117" s="548">
        <f>IF(G117&gt;0,MAX(U117,AB117),N117)</f>
        <v/>
      </c>
    </row>
    <row r="118" ht="15.75" customFormat="1" customHeight="1" s="120">
      <c r="B118" s="198" t="inlineStr">
        <is>
          <t>Total (Pre-Vacancy)</t>
        </is>
      </c>
      <c r="C118" s="122" t="n"/>
      <c r="D118" s="166">
        <f>SUM(D99:D117)</f>
        <v/>
      </c>
      <c r="E118" s="166">
        <f>+SUMPRODUCT(E99:E117,$D99:$D117)</f>
        <v/>
      </c>
      <c r="F118" s="165">
        <f>+SUMPRODUCT(F99:F117,$D99:$D117)</f>
        <v/>
      </c>
      <c r="G118" s="165">
        <f>+SUMPRODUCT(G99:G117,$D99:$D117)</f>
        <v/>
      </c>
      <c r="H118" s="165">
        <f>+SUMPRODUCT(H99:H117,$D99:$D117)</f>
        <v/>
      </c>
      <c r="I118" s="165">
        <f>+SUMPRODUCT(I99:I117,$D99:$D117)</f>
        <v/>
      </c>
      <c r="J118" s="165">
        <f>+SUMPRODUCT(J99:J117,$D99:$D117)</f>
        <v/>
      </c>
      <c r="K118" s="165">
        <f>+SUMPRODUCT(K99:K117,$D99:$D117)</f>
        <v/>
      </c>
      <c r="L118" s="165">
        <f>+SUMPRODUCT(L99:L117,$D99:$D117)</f>
        <v/>
      </c>
      <c r="M118" s="165">
        <f>+SUMPRODUCT(M99:M117,$D99:$D117)</f>
        <v/>
      </c>
      <c r="N118" s="165">
        <f>SUM(N99:N117)</f>
        <v/>
      </c>
      <c r="P118" s="198" t="inlineStr">
        <is>
          <t>Total (Pre-Vacancy)</t>
        </is>
      </c>
      <c r="Q118" s="122" t="n"/>
      <c r="R118" s="560">
        <f>SUM(R99:R117)</f>
        <v/>
      </c>
      <c r="S118" s="560">
        <f>+SUMPRODUCT(S99:S117,$R99:$R117)</f>
        <v/>
      </c>
      <c r="T118" s="165">
        <f>+SUMPRODUCT(T99:T117,$R99:$R117)</f>
        <v/>
      </c>
      <c r="U118" s="165">
        <f>SUM(U99:U117)</f>
        <v/>
      </c>
      <c r="W118" s="198" t="inlineStr">
        <is>
          <t>Total (Pre-Vacancy)</t>
        </is>
      </c>
      <c r="X118" s="122" t="n"/>
      <c r="Y118" s="560">
        <f>SUM(Y99:Y117)</f>
        <v/>
      </c>
      <c r="Z118" s="560">
        <f>+SUMPRODUCT(Z99:Z117,$Y99:$Y117)</f>
        <v/>
      </c>
      <c r="AA118" s="165">
        <f>+SUMPRODUCT(AA99:AA117,$Y99:$Y117)</f>
        <v/>
      </c>
      <c r="AB118" s="165">
        <f>SUM(AB99:AB117)</f>
        <v/>
      </c>
      <c r="AC118" s="122" t="n"/>
      <c r="AD118" s="198" t="inlineStr">
        <is>
          <t>Total (Pre-Vacancy)</t>
        </is>
      </c>
      <c r="AE118" s="122" t="n"/>
      <c r="AF118" s="560">
        <f>SUM(AF99:AF117)</f>
        <v/>
      </c>
      <c r="AG118" s="560">
        <f>+SUMPRODUCT(AG99:AG117,$AF99:$AF117)</f>
        <v/>
      </c>
      <c r="AH118" s="165">
        <f>+SUMPRODUCT(AH99:AH117,$AF99:$AF117)</f>
        <v/>
      </c>
      <c r="AI118" s="165">
        <f>SUM(AI99:AI117)</f>
        <v/>
      </c>
      <c r="AK118" s="198" t="inlineStr">
        <is>
          <t>Total (Pre-Vacancy)</t>
        </is>
      </c>
      <c r="AL118" s="122" t="n"/>
      <c r="AM118" s="560">
        <f>SUM(AF99:AF117)</f>
        <v/>
      </c>
      <c r="AN118" s="560">
        <f>+SUMPRODUCT(AG99:AG117,$AF99:$AF117)</f>
        <v/>
      </c>
      <c r="AO118" s="165">
        <f>+SUMPRODUCT(AH99:AH117,$AF99:$AF117)</f>
        <v/>
      </c>
      <c r="AP118" s="165">
        <f>SUM(AP99:AP117)</f>
        <v/>
      </c>
    </row>
    <row r="119">
      <c r="AK119" s="607" t="n"/>
      <c r="AL119" s="607" t="n"/>
      <c r="AM119" s="607" t="n"/>
      <c r="AN119" s="607" t="n"/>
      <c r="AO119" s="607" t="n"/>
      <c r="AP119" s="607" t="n"/>
    </row>
    <row r="120" ht="15.75" customFormat="1" customHeight="1" s="167">
      <c r="B120" s="170" t="inlineStr">
        <is>
          <t>Year 6</t>
        </is>
      </c>
      <c r="C120" s="170" t="n"/>
      <c r="D120" s="170" t="n"/>
      <c r="E120" s="170" t="n"/>
      <c r="F120" s="170" t="n"/>
      <c r="G120" s="170" t="n"/>
      <c r="H120" s="170" t="n"/>
      <c r="I120" s="170" t="n"/>
      <c r="J120" s="170" t="n"/>
      <c r="K120" s="170" t="n"/>
      <c r="L120" s="170" t="n"/>
      <c r="M120" s="170" t="n"/>
      <c r="N120" s="170" t="n"/>
      <c r="P120" s="170">
        <f>+$B120</f>
        <v/>
      </c>
      <c r="Q120" s="170" t="n"/>
      <c r="R120" s="170" t="n"/>
      <c r="S120" s="170" t="n"/>
      <c r="T120" s="170" t="n"/>
      <c r="U120" s="170" t="n"/>
      <c r="W120" s="170">
        <f>+$B120</f>
        <v/>
      </c>
      <c r="X120" s="170" t="n"/>
      <c r="Y120" s="170" t="n"/>
      <c r="Z120" s="170" t="n"/>
      <c r="AA120" s="170" t="n"/>
      <c r="AB120" s="170" t="n"/>
      <c r="AD120" s="170">
        <f>+$B120</f>
        <v/>
      </c>
      <c r="AE120" s="170" t="n"/>
      <c r="AF120" s="170" t="n"/>
      <c r="AG120" s="170" t="n"/>
      <c r="AH120" s="170" t="n"/>
      <c r="AI120" s="170" t="n"/>
      <c r="AK120" s="170">
        <f>+$B120</f>
        <v/>
      </c>
      <c r="AL120" s="170" t="n"/>
      <c r="AM120" s="170" t="n"/>
      <c r="AN120" s="170" t="n"/>
      <c r="AO120" s="170" t="n"/>
      <c r="AP120" s="170" t="n"/>
    </row>
    <row r="121" ht="38.25" customFormat="1" customHeight="1" s="164">
      <c r="B121" s="543" t="inlineStr">
        <is>
          <t>Unit Type</t>
        </is>
      </c>
      <c r="C121" s="543" t="inlineStr">
        <is>
          <t>AMI / S8</t>
        </is>
      </c>
      <c r="D121" s="543" t="inlineStr">
        <is>
          <t># of Units</t>
        </is>
      </c>
      <c r="E121" s="543" t="inlineStr">
        <is>
          <t>Avg. SF</t>
        </is>
      </c>
      <c r="F121" s="543" t="inlineStr">
        <is>
          <t>Avg. Utilities</t>
        </is>
      </c>
      <c r="G121" s="544" t="inlineStr">
        <is>
          <t>Avg. Max LITHC</t>
        </is>
      </c>
      <c r="H121" s="543" t="inlineStr">
        <is>
          <t>Net LIHTC</t>
        </is>
      </c>
      <c r="I121" s="543" t="inlineStr">
        <is>
          <t>Avg. Max FMR</t>
        </is>
      </c>
      <c r="J121" s="543" t="inlineStr">
        <is>
          <t>Net FMR</t>
        </is>
      </c>
      <c r="K121" s="543">
        <f>+K98</f>
        <v/>
      </c>
      <c r="L121" s="543" t="inlineStr">
        <is>
          <t>Gross Rent</t>
        </is>
      </c>
      <c r="M121" s="543" t="inlineStr">
        <is>
          <t>Avg. Current Rent</t>
        </is>
      </c>
      <c r="N121" s="543" t="inlineStr">
        <is>
          <t>Yrly. Gross Income (Net Rent)</t>
        </is>
      </c>
      <c r="P121" s="543" t="inlineStr">
        <is>
          <t>Unit Type</t>
        </is>
      </c>
      <c r="Q121" s="543" t="inlineStr">
        <is>
          <t>AMI / S8</t>
        </is>
      </c>
      <c r="R121" s="543" t="inlineStr">
        <is>
          <t># of Units</t>
        </is>
      </c>
      <c r="S121" s="543" t="inlineStr">
        <is>
          <t>Avg. SF</t>
        </is>
      </c>
      <c r="T121" s="543" t="inlineStr">
        <is>
          <t>Avg. Utilities</t>
        </is>
      </c>
      <c r="U121" s="543" t="inlineStr">
        <is>
          <t>Max Current Vouchers</t>
        </is>
      </c>
      <c r="W121" s="543" t="inlineStr">
        <is>
          <t>Unit Type</t>
        </is>
      </c>
      <c r="X121" s="543" t="inlineStr">
        <is>
          <t>AMI / S8</t>
        </is>
      </c>
      <c r="Y121" s="543" t="inlineStr">
        <is>
          <t># of Units</t>
        </is>
      </c>
      <c r="Z121" s="543" t="inlineStr">
        <is>
          <t>Avg. SF</t>
        </is>
      </c>
      <c r="AA121" s="543" t="inlineStr">
        <is>
          <t>Avg. Utilities</t>
        </is>
      </c>
      <c r="AB121" s="543" t="inlineStr">
        <is>
          <t>Max NET LIHTC</t>
        </is>
      </c>
      <c r="AD121" s="543" t="inlineStr">
        <is>
          <t>Unit Type</t>
        </is>
      </c>
      <c r="AE121" s="543" t="inlineStr">
        <is>
          <t>AMI / S8</t>
        </is>
      </c>
      <c r="AF121" s="543" t="inlineStr">
        <is>
          <t># of Units</t>
        </is>
      </c>
      <c r="AG121" s="543" t="inlineStr">
        <is>
          <t>Avg. SF</t>
        </is>
      </c>
      <c r="AH121" s="543" t="inlineStr">
        <is>
          <t>Avg. Utilities</t>
        </is>
      </c>
      <c r="AI121" s="543" t="inlineStr">
        <is>
          <t xml:space="preserve">Max Current Vouchers + NET LIHTC </t>
        </is>
      </c>
      <c r="AK121" s="543" t="inlineStr">
        <is>
          <t>Unit Type</t>
        </is>
      </c>
      <c r="AL121" s="543" t="inlineStr">
        <is>
          <t>AMI / S8</t>
        </is>
      </c>
      <c r="AM121" s="543" t="inlineStr">
        <is>
          <t># of Units</t>
        </is>
      </c>
      <c r="AN121" s="543" t="inlineStr">
        <is>
          <t>Avg. SF</t>
        </is>
      </c>
      <c r="AO121" s="543" t="inlineStr">
        <is>
          <t>Avg. Utilities</t>
        </is>
      </c>
      <c r="AP121" s="543" t="inlineStr">
        <is>
          <t xml:space="preserve">Max Current Vouchers + NET LIHTC </t>
        </is>
      </c>
    </row>
    <row r="122" ht="15.75" customFormat="1" customHeight="1" s="120">
      <c r="B122" s="551">
        <f>B99</f>
        <v/>
      </c>
      <c r="C122" s="552">
        <f>C99</f>
        <v/>
      </c>
      <c r="D122" s="551">
        <f>$D99</f>
        <v/>
      </c>
      <c r="E122" s="553">
        <f>E99</f>
        <v/>
      </c>
      <c r="F122" s="554">
        <f>F99*(1+Dashboard!$P$12)</f>
        <v/>
      </c>
      <c r="G122" s="555">
        <f>G99*(1+Dashboard!$P$11)</f>
        <v/>
      </c>
      <c r="H122" s="549">
        <f>+G122-F122</f>
        <v/>
      </c>
      <c r="I122" s="556">
        <f>I99*(1+Dashboard!$P$11)</f>
        <v/>
      </c>
      <c r="J122" s="557">
        <f>I122-F122</f>
        <v/>
      </c>
      <c r="K122" s="558">
        <f>K99*(1+Dashboard!$P$11)</f>
        <v/>
      </c>
      <c r="L122" s="559">
        <f>M122+F122</f>
        <v/>
      </c>
      <c r="M122" s="559">
        <f>M99*(1+Dashboard!$P$11)</f>
        <v/>
      </c>
      <c r="N122" s="548">
        <f>((M122*D122)*12)</f>
        <v/>
      </c>
      <c r="P122" s="545">
        <f>B122</f>
        <v/>
      </c>
      <c r="Q122" s="545">
        <f>C122</f>
        <v/>
      </c>
      <c r="R122" s="545">
        <f>D122</f>
        <v/>
      </c>
      <c r="S122" s="546">
        <f>E122</f>
        <v/>
      </c>
      <c r="T122" s="547">
        <f>F122</f>
        <v/>
      </c>
      <c r="U122" s="548">
        <f>((M122*R122)*12)</f>
        <v/>
      </c>
      <c r="W122" s="545">
        <f>B122</f>
        <v/>
      </c>
      <c r="X122" s="545">
        <f>C122</f>
        <v/>
      </c>
      <c r="Y122" s="545">
        <f>D122</f>
        <v/>
      </c>
      <c r="Z122" s="546">
        <f>E122</f>
        <v/>
      </c>
      <c r="AA122" s="547">
        <f>F122</f>
        <v/>
      </c>
      <c r="AB122" s="549">
        <f>((H122*Y122)*12)</f>
        <v/>
      </c>
      <c r="AD122" s="545">
        <f>B122</f>
        <v/>
      </c>
      <c r="AE122" s="545">
        <f>C122</f>
        <v/>
      </c>
      <c r="AF122" s="545">
        <f>D122</f>
        <v/>
      </c>
      <c r="AG122" s="546">
        <f>E122</f>
        <v/>
      </c>
      <c r="AH122" s="547">
        <f>F122</f>
        <v/>
      </c>
      <c r="AI122" s="548">
        <f>+MAX(U122,AB122)</f>
        <v/>
      </c>
      <c r="AK122" s="545">
        <f>B122</f>
        <v/>
      </c>
      <c r="AL122" s="545">
        <f>C122</f>
        <v/>
      </c>
      <c r="AM122" s="545">
        <f>D122</f>
        <v/>
      </c>
      <c r="AN122" s="546">
        <f>E122</f>
        <v/>
      </c>
      <c r="AO122" s="547">
        <f>F122</f>
        <v/>
      </c>
      <c r="AP122" s="548">
        <f>IF(G122&gt;0,MAX(U122,AB122),N122)</f>
        <v/>
      </c>
    </row>
    <row r="123" ht="15.75" customFormat="1" customHeight="1" s="120">
      <c r="B123" s="551">
        <f>B100</f>
        <v/>
      </c>
      <c r="C123" s="552">
        <f>C100</f>
        <v/>
      </c>
      <c r="D123" s="551">
        <f>$D100</f>
        <v/>
      </c>
      <c r="E123" s="553">
        <f>E100</f>
        <v/>
      </c>
      <c r="F123" s="554">
        <f>F100*(1+Dashboard!$P$12)</f>
        <v/>
      </c>
      <c r="G123" s="555">
        <f>G100*(1+Dashboard!$P$11)</f>
        <v/>
      </c>
      <c r="H123" s="549">
        <f>+G123-F123</f>
        <v/>
      </c>
      <c r="I123" s="556">
        <f>I100*(1+Dashboard!$P$11)</f>
        <v/>
      </c>
      <c r="J123" s="557">
        <f>I123-F123</f>
        <v/>
      </c>
      <c r="K123" s="558">
        <f>K100*(1+Dashboard!$P$11)</f>
        <v/>
      </c>
      <c r="L123" s="559">
        <f>M123+F123</f>
        <v/>
      </c>
      <c r="M123" s="559">
        <f>M100*(1+Dashboard!$P$11)</f>
        <v/>
      </c>
      <c r="N123" s="548">
        <f>((M123*D123)*12)</f>
        <v/>
      </c>
      <c r="P123" s="545">
        <f>B123</f>
        <v/>
      </c>
      <c r="Q123" s="550">
        <f>C123</f>
        <v/>
      </c>
      <c r="R123" s="545">
        <f>D123</f>
        <v/>
      </c>
      <c r="S123" s="546">
        <f>E123</f>
        <v/>
      </c>
      <c r="T123" s="547">
        <f>F123</f>
        <v/>
      </c>
      <c r="U123" s="548">
        <f>((M123*R123)*12)</f>
        <v/>
      </c>
      <c r="W123" s="545">
        <f>B123</f>
        <v/>
      </c>
      <c r="X123" s="550">
        <f>C123</f>
        <v/>
      </c>
      <c r="Y123" s="545">
        <f>D123</f>
        <v/>
      </c>
      <c r="Z123" s="546">
        <f>E123</f>
        <v/>
      </c>
      <c r="AA123" s="547">
        <f>F123</f>
        <v/>
      </c>
      <c r="AB123" s="549">
        <f>((H123*Y123)*12)</f>
        <v/>
      </c>
      <c r="AD123" s="545">
        <f>B123</f>
        <v/>
      </c>
      <c r="AE123" s="550">
        <f>C123</f>
        <v/>
      </c>
      <c r="AF123" s="545">
        <f>D123</f>
        <v/>
      </c>
      <c r="AG123" s="546">
        <f>E123</f>
        <v/>
      </c>
      <c r="AH123" s="547">
        <f>F123</f>
        <v/>
      </c>
      <c r="AI123" s="548">
        <f>+MAX(U123,AB123)</f>
        <v/>
      </c>
      <c r="AK123" s="545">
        <f>B123</f>
        <v/>
      </c>
      <c r="AL123" s="550">
        <f>C123</f>
        <v/>
      </c>
      <c r="AM123" s="545">
        <f>D123</f>
        <v/>
      </c>
      <c r="AN123" s="546">
        <f>E123</f>
        <v/>
      </c>
      <c r="AO123" s="547">
        <f>F123</f>
        <v/>
      </c>
      <c r="AP123" s="548">
        <f>IF(G123&gt;0,MAX(U123,AB123),N123)</f>
        <v/>
      </c>
    </row>
    <row r="124" ht="15.75" customFormat="1" customHeight="1" s="120">
      <c r="B124" s="551">
        <f>B101</f>
        <v/>
      </c>
      <c r="C124" s="552">
        <f>C101</f>
        <v/>
      </c>
      <c r="D124" s="551">
        <f>$D101</f>
        <v/>
      </c>
      <c r="E124" s="553">
        <f>E101</f>
        <v/>
      </c>
      <c r="F124" s="554">
        <f>F101*(1+Dashboard!$P$12)</f>
        <v/>
      </c>
      <c r="G124" s="555">
        <f>G101*(1+Dashboard!$P$11)</f>
        <v/>
      </c>
      <c r="H124" s="549">
        <f>+G124-F124</f>
        <v/>
      </c>
      <c r="I124" s="556">
        <f>I101*(1+Dashboard!$P$11)</f>
        <v/>
      </c>
      <c r="J124" s="557">
        <f>I124-F124</f>
        <v/>
      </c>
      <c r="K124" s="558">
        <f>K101*(1+Dashboard!$P$11)</f>
        <v/>
      </c>
      <c r="L124" s="559">
        <f>M124+F124</f>
        <v/>
      </c>
      <c r="M124" s="559">
        <f>M101*(1+Dashboard!$P$11)</f>
        <v/>
      </c>
      <c r="N124" s="548">
        <f>((M124*D124)*12)</f>
        <v/>
      </c>
      <c r="P124" s="545">
        <f>B124</f>
        <v/>
      </c>
      <c r="Q124" s="550">
        <f>C124</f>
        <v/>
      </c>
      <c r="R124" s="545">
        <f>D124</f>
        <v/>
      </c>
      <c r="S124" s="546">
        <f>E124</f>
        <v/>
      </c>
      <c r="T124" s="547">
        <f>F124</f>
        <v/>
      </c>
      <c r="U124" s="548">
        <f>((M124*R124)*12)</f>
        <v/>
      </c>
      <c r="W124" s="545">
        <f>B124</f>
        <v/>
      </c>
      <c r="X124" s="550">
        <f>C124</f>
        <v/>
      </c>
      <c r="Y124" s="545">
        <f>D124</f>
        <v/>
      </c>
      <c r="Z124" s="546">
        <f>E124</f>
        <v/>
      </c>
      <c r="AA124" s="547">
        <f>F124</f>
        <v/>
      </c>
      <c r="AB124" s="549">
        <f>((H124*Y124)*12)</f>
        <v/>
      </c>
      <c r="AD124" s="545">
        <f>B124</f>
        <v/>
      </c>
      <c r="AE124" s="550">
        <f>C124</f>
        <v/>
      </c>
      <c r="AF124" s="545">
        <f>D124</f>
        <v/>
      </c>
      <c r="AG124" s="546">
        <f>E124</f>
        <v/>
      </c>
      <c r="AH124" s="547">
        <f>F124</f>
        <v/>
      </c>
      <c r="AI124" s="548">
        <f>+MAX(U124,AB124)</f>
        <v/>
      </c>
      <c r="AK124" s="545">
        <f>B124</f>
        <v/>
      </c>
      <c r="AL124" s="550">
        <f>C124</f>
        <v/>
      </c>
      <c r="AM124" s="545">
        <f>D124</f>
        <v/>
      </c>
      <c r="AN124" s="546">
        <f>E124</f>
        <v/>
      </c>
      <c r="AO124" s="547">
        <f>F124</f>
        <v/>
      </c>
      <c r="AP124" s="548">
        <f>IF(G124&gt;0,MAX(U124,AB124),N124)</f>
        <v/>
      </c>
    </row>
    <row r="125" ht="15.75" customFormat="1" customHeight="1" s="120">
      <c r="B125" s="551">
        <f>B102</f>
        <v/>
      </c>
      <c r="C125" s="552">
        <f>C102</f>
        <v/>
      </c>
      <c r="D125" s="551">
        <f>$D102</f>
        <v/>
      </c>
      <c r="E125" s="553">
        <f>E102</f>
        <v/>
      </c>
      <c r="F125" s="554">
        <f>F102*(1+Dashboard!$P$12)</f>
        <v/>
      </c>
      <c r="G125" s="555">
        <f>G102*(1+Dashboard!$P$11)</f>
        <v/>
      </c>
      <c r="H125" s="549">
        <f>+G125-F125</f>
        <v/>
      </c>
      <c r="I125" s="556">
        <f>I102*(1+Dashboard!$P$11)</f>
        <v/>
      </c>
      <c r="J125" s="557">
        <f>I125-F125</f>
        <v/>
      </c>
      <c r="K125" s="558">
        <f>K102*(1+Dashboard!$P$11)</f>
        <v/>
      </c>
      <c r="L125" s="559">
        <f>M125+F125</f>
        <v/>
      </c>
      <c r="M125" s="559">
        <f>M102*(1+Dashboard!$P$11)</f>
        <v/>
      </c>
      <c r="N125" s="548">
        <f>((M125*D125)*12)</f>
        <v/>
      </c>
      <c r="P125" s="545">
        <f>B125</f>
        <v/>
      </c>
      <c r="Q125" s="550">
        <f>C125</f>
        <v/>
      </c>
      <c r="R125" s="545">
        <f>D125</f>
        <v/>
      </c>
      <c r="S125" s="546">
        <f>E125</f>
        <v/>
      </c>
      <c r="T125" s="547">
        <f>F125</f>
        <v/>
      </c>
      <c r="U125" s="548">
        <f>((M125*R125)*12)</f>
        <v/>
      </c>
      <c r="W125" s="545">
        <f>B125</f>
        <v/>
      </c>
      <c r="X125" s="550">
        <f>C125</f>
        <v/>
      </c>
      <c r="Y125" s="545">
        <f>D125</f>
        <v/>
      </c>
      <c r="Z125" s="546">
        <f>E125</f>
        <v/>
      </c>
      <c r="AA125" s="547">
        <f>F125</f>
        <v/>
      </c>
      <c r="AB125" s="549">
        <f>((H125*Y125)*12)</f>
        <v/>
      </c>
      <c r="AD125" s="545">
        <f>B125</f>
        <v/>
      </c>
      <c r="AE125" s="550">
        <f>C125</f>
        <v/>
      </c>
      <c r="AF125" s="545">
        <f>D125</f>
        <v/>
      </c>
      <c r="AG125" s="546">
        <f>E125</f>
        <v/>
      </c>
      <c r="AH125" s="547">
        <f>F125</f>
        <v/>
      </c>
      <c r="AI125" s="548">
        <f>+MAX(U125,AB125)</f>
        <v/>
      </c>
      <c r="AK125" s="545">
        <f>B125</f>
        <v/>
      </c>
      <c r="AL125" s="550">
        <f>C125</f>
        <v/>
      </c>
      <c r="AM125" s="545">
        <f>D125</f>
        <v/>
      </c>
      <c r="AN125" s="546">
        <f>E125</f>
        <v/>
      </c>
      <c r="AO125" s="547">
        <f>F125</f>
        <v/>
      </c>
      <c r="AP125" s="548">
        <f>IF(G125&gt;0,MAX(U125,AB125),N125)</f>
        <v/>
      </c>
    </row>
    <row r="126" ht="15.75" customFormat="1" customHeight="1" s="120">
      <c r="B126" s="551">
        <f>B103</f>
        <v/>
      </c>
      <c r="C126" s="552">
        <f>C103</f>
        <v/>
      </c>
      <c r="D126" s="551">
        <f>$D103</f>
        <v/>
      </c>
      <c r="E126" s="553">
        <f>E103</f>
        <v/>
      </c>
      <c r="F126" s="554">
        <f>F103*(1+Dashboard!$P$12)</f>
        <v/>
      </c>
      <c r="G126" s="555">
        <f>G103*(1+Dashboard!$P$11)</f>
        <v/>
      </c>
      <c r="H126" s="549">
        <f>+G126-F126</f>
        <v/>
      </c>
      <c r="I126" s="556">
        <f>I103*(1+Dashboard!$P$11)</f>
        <v/>
      </c>
      <c r="J126" s="557">
        <f>I126-F126</f>
        <v/>
      </c>
      <c r="K126" s="558">
        <f>K103*(1+Dashboard!$P$11)</f>
        <v/>
      </c>
      <c r="L126" s="559">
        <f>M126+F126</f>
        <v/>
      </c>
      <c r="M126" s="559">
        <f>M103*(1+Dashboard!$P$11)</f>
        <v/>
      </c>
      <c r="N126" s="548">
        <f>((M126*D126)*12)</f>
        <v/>
      </c>
      <c r="P126" s="545">
        <f>B126</f>
        <v/>
      </c>
      <c r="Q126" s="550">
        <f>C126</f>
        <v/>
      </c>
      <c r="R126" s="545">
        <f>D126</f>
        <v/>
      </c>
      <c r="S126" s="546">
        <f>E126</f>
        <v/>
      </c>
      <c r="T126" s="547">
        <f>F126</f>
        <v/>
      </c>
      <c r="U126" s="548">
        <f>((M126*R126)*12)</f>
        <v/>
      </c>
      <c r="W126" s="545">
        <f>B126</f>
        <v/>
      </c>
      <c r="X126" s="550">
        <f>C126</f>
        <v/>
      </c>
      <c r="Y126" s="545">
        <f>D126</f>
        <v/>
      </c>
      <c r="Z126" s="546">
        <f>E126</f>
        <v/>
      </c>
      <c r="AA126" s="547">
        <f>F126</f>
        <v/>
      </c>
      <c r="AB126" s="549">
        <f>((H126*Y126)*12)</f>
        <v/>
      </c>
      <c r="AD126" s="545">
        <f>B126</f>
        <v/>
      </c>
      <c r="AE126" s="550">
        <f>C126</f>
        <v/>
      </c>
      <c r="AF126" s="545">
        <f>D126</f>
        <v/>
      </c>
      <c r="AG126" s="546">
        <f>E126</f>
        <v/>
      </c>
      <c r="AH126" s="547">
        <f>F126</f>
        <v/>
      </c>
      <c r="AI126" s="548">
        <f>+MAX(U126,AB126)</f>
        <v/>
      </c>
      <c r="AK126" s="545">
        <f>B126</f>
        <v/>
      </c>
      <c r="AL126" s="550">
        <f>C126</f>
        <v/>
      </c>
      <c r="AM126" s="545">
        <f>D126</f>
        <v/>
      </c>
      <c r="AN126" s="546">
        <f>E126</f>
        <v/>
      </c>
      <c r="AO126" s="547">
        <f>F126</f>
        <v/>
      </c>
      <c r="AP126" s="548">
        <f>IF(G126&gt;0,MAX(U126,AB126),N126)</f>
        <v/>
      </c>
    </row>
    <row r="127" ht="15.75" customFormat="1" customHeight="1" s="120">
      <c r="B127" s="551">
        <f>B104</f>
        <v/>
      </c>
      <c r="C127" s="552">
        <f>C104</f>
        <v/>
      </c>
      <c r="D127" s="551">
        <f>$D104</f>
        <v/>
      </c>
      <c r="E127" s="553">
        <f>E104</f>
        <v/>
      </c>
      <c r="F127" s="554">
        <f>F104*(1+Dashboard!$P$12)</f>
        <v/>
      </c>
      <c r="G127" s="555">
        <f>G104*(1+Dashboard!$P$11)</f>
        <v/>
      </c>
      <c r="H127" s="549">
        <f>+G127-F127</f>
        <v/>
      </c>
      <c r="I127" s="556">
        <f>I104*(1+Dashboard!$P$11)</f>
        <v/>
      </c>
      <c r="J127" s="557">
        <f>I127-F127</f>
        <v/>
      </c>
      <c r="K127" s="558">
        <f>K104*(1+Dashboard!$P$11)</f>
        <v/>
      </c>
      <c r="L127" s="559">
        <f>M127+F127</f>
        <v/>
      </c>
      <c r="M127" s="559">
        <f>M104*(1+Dashboard!$P$11)</f>
        <v/>
      </c>
      <c r="N127" s="548">
        <f>((M127*D127)*12)</f>
        <v/>
      </c>
      <c r="P127" s="545">
        <f>B127</f>
        <v/>
      </c>
      <c r="Q127" s="550">
        <f>C127</f>
        <v/>
      </c>
      <c r="R127" s="545">
        <f>D127</f>
        <v/>
      </c>
      <c r="S127" s="546">
        <f>E127</f>
        <v/>
      </c>
      <c r="T127" s="547">
        <f>F127</f>
        <v/>
      </c>
      <c r="U127" s="548">
        <f>((M127*R127)*12)</f>
        <v/>
      </c>
      <c r="W127" s="545">
        <f>B127</f>
        <v/>
      </c>
      <c r="X127" s="550">
        <f>C127</f>
        <v/>
      </c>
      <c r="Y127" s="545">
        <f>D127</f>
        <v/>
      </c>
      <c r="Z127" s="546">
        <f>E127</f>
        <v/>
      </c>
      <c r="AA127" s="547">
        <f>F127</f>
        <v/>
      </c>
      <c r="AB127" s="549">
        <f>((H127*Y127)*12)</f>
        <v/>
      </c>
      <c r="AD127" s="545">
        <f>B127</f>
        <v/>
      </c>
      <c r="AE127" s="550">
        <f>C127</f>
        <v/>
      </c>
      <c r="AF127" s="545">
        <f>D127</f>
        <v/>
      </c>
      <c r="AG127" s="546">
        <f>E127</f>
        <v/>
      </c>
      <c r="AH127" s="547">
        <f>F127</f>
        <v/>
      </c>
      <c r="AI127" s="548">
        <f>+MAX(U127,AB127)</f>
        <v/>
      </c>
      <c r="AK127" s="545">
        <f>B127</f>
        <v/>
      </c>
      <c r="AL127" s="550">
        <f>C127</f>
        <v/>
      </c>
      <c r="AM127" s="545">
        <f>D127</f>
        <v/>
      </c>
      <c r="AN127" s="546">
        <f>E127</f>
        <v/>
      </c>
      <c r="AO127" s="547">
        <f>F127</f>
        <v/>
      </c>
      <c r="AP127" s="548">
        <f>IF(G127&gt;0,MAX(U127,AB127),N127)</f>
        <v/>
      </c>
    </row>
    <row r="128" ht="15.75" customFormat="1" customHeight="1" s="120">
      <c r="B128" s="551">
        <f>B105</f>
        <v/>
      </c>
      <c r="C128" s="552">
        <f>C105</f>
        <v/>
      </c>
      <c r="D128" s="551">
        <f>$D105</f>
        <v/>
      </c>
      <c r="E128" s="553">
        <f>E105</f>
        <v/>
      </c>
      <c r="F128" s="554">
        <f>F105*(1+Dashboard!$P$12)</f>
        <v/>
      </c>
      <c r="G128" s="555">
        <f>G105*(1+Dashboard!$P$11)</f>
        <v/>
      </c>
      <c r="H128" s="549">
        <f>+G128-F128</f>
        <v/>
      </c>
      <c r="I128" s="556">
        <f>I105*(1+Dashboard!$P$11)</f>
        <v/>
      </c>
      <c r="J128" s="557">
        <f>I128-F128</f>
        <v/>
      </c>
      <c r="K128" s="558">
        <f>K105*(1+Dashboard!$P$11)</f>
        <v/>
      </c>
      <c r="L128" s="559">
        <f>M128+F128</f>
        <v/>
      </c>
      <c r="M128" s="559">
        <f>M105*(1+Dashboard!$P$11)</f>
        <v/>
      </c>
      <c r="N128" s="548">
        <f>((M128*D128)*12)</f>
        <v/>
      </c>
      <c r="P128" s="545">
        <f>B128</f>
        <v/>
      </c>
      <c r="Q128" s="550">
        <f>C128</f>
        <v/>
      </c>
      <c r="R128" s="545">
        <f>D128</f>
        <v/>
      </c>
      <c r="S128" s="546">
        <f>E128</f>
        <v/>
      </c>
      <c r="T128" s="547">
        <f>F128</f>
        <v/>
      </c>
      <c r="U128" s="548">
        <f>((M128*R128)*12)</f>
        <v/>
      </c>
      <c r="W128" s="545">
        <f>B128</f>
        <v/>
      </c>
      <c r="X128" s="550">
        <f>C128</f>
        <v/>
      </c>
      <c r="Y128" s="545">
        <f>D128</f>
        <v/>
      </c>
      <c r="Z128" s="546">
        <f>E128</f>
        <v/>
      </c>
      <c r="AA128" s="547">
        <f>F128</f>
        <v/>
      </c>
      <c r="AB128" s="549">
        <f>((H128*Y128)*12)</f>
        <v/>
      </c>
      <c r="AD128" s="545">
        <f>B128</f>
        <v/>
      </c>
      <c r="AE128" s="550">
        <f>C128</f>
        <v/>
      </c>
      <c r="AF128" s="545">
        <f>D128</f>
        <v/>
      </c>
      <c r="AG128" s="546">
        <f>E128</f>
        <v/>
      </c>
      <c r="AH128" s="547">
        <f>F128</f>
        <v/>
      </c>
      <c r="AI128" s="548">
        <f>+MAX(U128,AB128)</f>
        <v/>
      </c>
      <c r="AK128" s="545">
        <f>B128</f>
        <v/>
      </c>
      <c r="AL128" s="550">
        <f>C128</f>
        <v/>
      </c>
      <c r="AM128" s="545">
        <f>D128</f>
        <v/>
      </c>
      <c r="AN128" s="546">
        <f>E128</f>
        <v/>
      </c>
      <c r="AO128" s="547">
        <f>F128</f>
        <v/>
      </c>
      <c r="AP128" s="548">
        <f>IF(G128&gt;0,MAX(U128,AB128),N128)</f>
        <v/>
      </c>
    </row>
    <row r="129" ht="15.75" customFormat="1" customHeight="1" s="120">
      <c r="B129" s="551">
        <f>B106</f>
        <v/>
      </c>
      <c r="C129" s="552">
        <f>C106</f>
        <v/>
      </c>
      <c r="D129" s="551">
        <f>$D106</f>
        <v/>
      </c>
      <c r="E129" s="553">
        <f>E106</f>
        <v/>
      </c>
      <c r="F129" s="554">
        <f>F106*(1+Dashboard!$P$12)</f>
        <v/>
      </c>
      <c r="G129" s="555">
        <f>G106*(1+Dashboard!$P$11)</f>
        <v/>
      </c>
      <c r="H129" s="549">
        <f>+G129-F129</f>
        <v/>
      </c>
      <c r="I129" s="556">
        <f>I106*(1+Dashboard!$P$11)</f>
        <v/>
      </c>
      <c r="J129" s="557">
        <f>I129-F129</f>
        <v/>
      </c>
      <c r="K129" s="558">
        <f>K106*(1+Dashboard!$P$11)</f>
        <v/>
      </c>
      <c r="L129" s="559">
        <f>M129+F129</f>
        <v/>
      </c>
      <c r="M129" s="559">
        <f>M106*(1+Dashboard!$P$11)</f>
        <v/>
      </c>
      <c r="N129" s="548">
        <f>((M129*D129)*12)</f>
        <v/>
      </c>
      <c r="P129" s="545">
        <f>B129</f>
        <v/>
      </c>
      <c r="Q129" s="550">
        <f>C129</f>
        <v/>
      </c>
      <c r="R129" s="545">
        <f>D129</f>
        <v/>
      </c>
      <c r="S129" s="546">
        <f>E129</f>
        <v/>
      </c>
      <c r="T129" s="547">
        <f>F129</f>
        <v/>
      </c>
      <c r="U129" s="548">
        <f>((M129*R129)*12)</f>
        <v/>
      </c>
      <c r="W129" s="545">
        <f>B129</f>
        <v/>
      </c>
      <c r="X129" s="550">
        <f>C129</f>
        <v/>
      </c>
      <c r="Y129" s="545">
        <f>D129</f>
        <v/>
      </c>
      <c r="Z129" s="546">
        <f>E129</f>
        <v/>
      </c>
      <c r="AA129" s="547">
        <f>F129</f>
        <v/>
      </c>
      <c r="AB129" s="549">
        <f>((H129*Y129)*12)</f>
        <v/>
      </c>
      <c r="AD129" s="545">
        <f>B129</f>
        <v/>
      </c>
      <c r="AE129" s="550">
        <f>C129</f>
        <v/>
      </c>
      <c r="AF129" s="545">
        <f>D129</f>
        <v/>
      </c>
      <c r="AG129" s="546">
        <f>E129</f>
        <v/>
      </c>
      <c r="AH129" s="547">
        <f>F129</f>
        <v/>
      </c>
      <c r="AI129" s="548">
        <f>+MAX(U129,AB129)</f>
        <v/>
      </c>
      <c r="AK129" s="545">
        <f>B129</f>
        <v/>
      </c>
      <c r="AL129" s="550">
        <f>C129</f>
        <v/>
      </c>
      <c r="AM129" s="545">
        <f>D129</f>
        <v/>
      </c>
      <c r="AN129" s="546">
        <f>E129</f>
        <v/>
      </c>
      <c r="AO129" s="547">
        <f>F129</f>
        <v/>
      </c>
      <c r="AP129" s="548">
        <f>IF(G129&gt;0,MAX(U129,AB129),N129)</f>
        <v/>
      </c>
    </row>
    <row r="130" ht="15.75" customFormat="1" customHeight="1" s="120">
      <c r="B130" s="551">
        <f>B107</f>
        <v/>
      </c>
      <c r="C130" s="552">
        <f>C107</f>
        <v/>
      </c>
      <c r="D130" s="551">
        <f>$D107</f>
        <v/>
      </c>
      <c r="E130" s="553">
        <f>E107</f>
        <v/>
      </c>
      <c r="F130" s="554">
        <f>F107*(1+Dashboard!$P$12)</f>
        <v/>
      </c>
      <c r="G130" s="555">
        <f>G107*(1+Dashboard!$P$11)</f>
        <v/>
      </c>
      <c r="H130" s="549">
        <f>+G130-F130</f>
        <v/>
      </c>
      <c r="I130" s="556">
        <f>I107*(1+Dashboard!$P$11)</f>
        <v/>
      </c>
      <c r="J130" s="557">
        <f>I130-F130</f>
        <v/>
      </c>
      <c r="K130" s="558">
        <f>K107*(1+Dashboard!$P$11)</f>
        <v/>
      </c>
      <c r="L130" s="559">
        <f>M130+F130</f>
        <v/>
      </c>
      <c r="M130" s="559">
        <f>M107*(1+Dashboard!$P$11)</f>
        <v/>
      </c>
      <c r="N130" s="548">
        <f>((M130*D130)*12)</f>
        <v/>
      </c>
      <c r="P130" s="545">
        <f>B130</f>
        <v/>
      </c>
      <c r="Q130" s="550">
        <f>C130</f>
        <v/>
      </c>
      <c r="R130" s="545">
        <f>D130</f>
        <v/>
      </c>
      <c r="S130" s="546">
        <f>E130</f>
        <v/>
      </c>
      <c r="T130" s="547">
        <f>F130</f>
        <v/>
      </c>
      <c r="U130" s="548">
        <f>((M130*R130)*12)</f>
        <v/>
      </c>
      <c r="W130" s="545">
        <f>B130</f>
        <v/>
      </c>
      <c r="X130" s="550">
        <f>C130</f>
        <v/>
      </c>
      <c r="Y130" s="545">
        <f>D130</f>
        <v/>
      </c>
      <c r="Z130" s="546">
        <f>E130</f>
        <v/>
      </c>
      <c r="AA130" s="547">
        <f>F130</f>
        <v/>
      </c>
      <c r="AB130" s="549">
        <f>((H130*Y130)*12)</f>
        <v/>
      </c>
      <c r="AD130" s="545">
        <f>B130</f>
        <v/>
      </c>
      <c r="AE130" s="550">
        <f>C130</f>
        <v/>
      </c>
      <c r="AF130" s="545">
        <f>D130</f>
        <v/>
      </c>
      <c r="AG130" s="546">
        <f>E130</f>
        <v/>
      </c>
      <c r="AH130" s="547">
        <f>F130</f>
        <v/>
      </c>
      <c r="AI130" s="548">
        <f>+MAX(U130,AB130)</f>
        <v/>
      </c>
      <c r="AK130" s="545">
        <f>B130</f>
        <v/>
      </c>
      <c r="AL130" s="550">
        <f>C130</f>
        <v/>
      </c>
      <c r="AM130" s="545">
        <f>D130</f>
        <v/>
      </c>
      <c r="AN130" s="546">
        <f>E130</f>
        <v/>
      </c>
      <c r="AO130" s="547">
        <f>F130</f>
        <v/>
      </c>
      <c r="AP130" s="548">
        <f>IF(G130&gt;0,MAX(U130,AB130),N130)</f>
        <v/>
      </c>
    </row>
    <row r="131" ht="15.75" customFormat="1" customHeight="1" s="120">
      <c r="B131" s="551">
        <f>B108</f>
        <v/>
      </c>
      <c r="C131" s="552">
        <f>C108</f>
        <v/>
      </c>
      <c r="D131" s="551">
        <f>$D108</f>
        <v/>
      </c>
      <c r="E131" s="553">
        <f>E108</f>
        <v/>
      </c>
      <c r="F131" s="554">
        <f>F108*(1+Dashboard!$P$12)</f>
        <v/>
      </c>
      <c r="G131" s="555">
        <f>G108*(1+Dashboard!$P$11)</f>
        <v/>
      </c>
      <c r="H131" s="549">
        <f>+G131-F131</f>
        <v/>
      </c>
      <c r="I131" s="556">
        <f>I108*(1+Dashboard!$P$11)</f>
        <v/>
      </c>
      <c r="J131" s="557">
        <f>I131-F131</f>
        <v/>
      </c>
      <c r="K131" s="558">
        <f>K108*(1+Dashboard!$P$11)</f>
        <v/>
      </c>
      <c r="L131" s="559">
        <f>M131+F131</f>
        <v/>
      </c>
      <c r="M131" s="559">
        <f>M108*(1+Dashboard!$P$11)</f>
        <v/>
      </c>
      <c r="N131" s="548">
        <f>((M131*D131)*12)</f>
        <v/>
      </c>
      <c r="P131" s="545">
        <f>B131</f>
        <v/>
      </c>
      <c r="Q131" s="550">
        <f>C131</f>
        <v/>
      </c>
      <c r="R131" s="545">
        <f>D131</f>
        <v/>
      </c>
      <c r="S131" s="546">
        <f>E131</f>
        <v/>
      </c>
      <c r="T131" s="547">
        <f>F131</f>
        <v/>
      </c>
      <c r="U131" s="548">
        <f>((M131*R131)*12)</f>
        <v/>
      </c>
      <c r="W131" s="545">
        <f>B131</f>
        <v/>
      </c>
      <c r="X131" s="550">
        <f>C131</f>
        <v/>
      </c>
      <c r="Y131" s="545">
        <f>D131</f>
        <v/>
      </c>
      <c r="Z131" s="546">
        <f>E131</f>
        <v/>
      </c>
      <c r="AA131" s="547">
        <f>F131</f>
        <v/>
      </c>
      <c r="AB131" s="549">
        <f>((H131*Y131)*12)</f>
        <v/>
      </c>
      <c r="AD131" s="545">
        <f>B131</f>
        <v/>
      </c>
      <c r="AE131" s="550">
        <f>C131</f>
        <v/>
      </c>
      <c r="AF131" s="545">
        <f>D131</f>
        <v/>
      </c>
      <c r="AG131" s="546">
        <f>E131</f>
        <v/>
      </c>
      <c r="AH131" s="547">
        <f>F131</f>
        <v/>
      </c>
      <c r="AI131" s="548">
        <f>+MAX(U131,AB131)</f>
        <v/>
      </c>
      <c r="AK131" s="545">
        <f>B131</f>
        <v/>
      </c>
      <c r="AL131" s="550">
        <f>C131</f>
        <v/>
      </c>
      <c r="AM131" s="545">
        <f>D131</f>
        <v/>
      </c>
      <c r="AN131" s="546">
        <f>E131</f>
        <v/>
      </c>
      <c r="AO131" s="547">
        <f>F131</f>
        <v/>
      </c>
      <c r="AP131" s="548">
        <f>IF(G131&gt;0,MAX(U131,AB131),N131)</f>
        <v/>
      </c>
    </row>
    <row r="132" ht="15.75" customFormat="1" customHeight="1" s="120">
      <c r="B132" s="551">
        <f>B109</f>
        <v/>
      </c>
      <c r="C132" s="552">
        <f>C109</f>
        <v/>
      </c>
      <c r="D132" s="551">
        <f>$D109</f>
        <v/>
      </c>
      <c r="E132" s="553">
        <f>E109</f>
        <v/>
      </c>
      <c r="F132" s="554">
        <f>F109*(1+Dashboard!$P$12)</f>
        <v/>
      </c>
      <c r="G132" s="555">
        <f>G109*(1+Dashboard!$P$11)</f>
        <v/>
      </c>
      <c r="H132" s="549">
        <f>+G132-F132</f>
        <v/>
      </c>
      <c r="I132" s="556">
        <f>I109*(1+Dashboard!$P$11)</f>
        <v/>
      </c>
      <c r="J132" s="557">
        <f>I132-F132</f>
        <v/>
      </c>
      <c r="K132" s="558">
        <f>K109*(1+Dashboard!$P$11)</f>
        <v/>
      </c>
      <c r="L132" s="559">
        <f>M132+F132</f>
        <v/>
      </c>
      <c r="M132" s="559">
        <f>M109*(1+Dashboard!$P$11)</f>
        <v/>
      </c>
      <c r="N132" s="548">
        <f>((M132*D132)*12)</f>
        <v/>
      </c>
      <c r="P132" s="545">
        <f>B132</f>
        <v/>
      </c>
      <c r="Q132" s="550">
        <f>C132</f>
        <v/>
      </c>
      <c r="R132" s="545">
        <f>D132</f>
        <v/>
      </c>
      <c r="S132" s="546">
        <f>E132</f>
        <v/>
      </c>
      <c r="T132" s="547">
        <f>F132</f>
        <v/>
      </c>
      <c r="U132" s="548">
        <f>((M132*R132)*12)</f>
        <v/>
      </c>
      <c r="W132" s="545">
        <f>B132</f>
        <v/>
      </c>
      <c r="X132" s="550">
        <f>C132</f>
        <v/>
      </c>
      <c r="Y132" s="545">
        <f>D132</f>
        <v/>
      </c>
      <c r="Z132" s="546">
        <f>E132</f>
        <v/>
      </c>
      <c r="AA132" s="547">
        <f>F132</f>
        <v/>
      </c>
      <c r="AB132" s="549">
        <f>((H132*Y132)*12)</f>
        <v/>
      </c>
      <c r="AD132" s="545">
        <f>B132</f>
        <v/>
      </c>
      <c r="AE132" s="550">
        <f>C132</f>
        <v/>
      </c>
      <c r="AF132" s="545">
        <f>D132</f>
        <v/>
      </c>
      <c r="AG132" s="546">
        <f>E132</f>
        <v/>
      </c>
      <c r="AH132" s="547">
        <f>F132</f>
        <v/>
      </c>
      <c r="AI132" s="548">
        <f>+MAX(U132,AB132)</f>
        <v/>
      </c>
      <c r="AK132" s="545">
        <f>B132</f>
        <v/>
      </c>
      <c r="AL132" s="550">
        <f>C132</f>
        <v/>
      </c>
      <c r="AM132" s="545">
        <f>D132</f>
        <v/>
      </c>
      <c r="AN132" s="546">
        <f>E132</f>
        <v/>
      </c>
      <c r="AO132" s="547">
        <f>F132</f>
        <v/>
      </c>
      <c r="AP132" s="548">
        <f>IF(G132&gt;0,MAX(U132,AB132),N132)</f>
        <v/>
      </c>
    </row>
    <row r="133" ht="15.75" customFormat="1" customHeight="1" s="120">
      <c r="B133" s="551">
        <f>B110</f>
        <v/>
      </c>
      <c r="C133" s="552">
        <f>C110</f>
        <v/>
      </c>
      <c r="D133" s="551">
        <f>$D110</f>
        <v/>
      </c>
      <c r="E133" s="553">
        <f>E110</f>
        <v/>
      </c>
      <c r="F133" s="554">
        <f>F110*(1+Dashboard!$P$12)</f>
        <v/>
      </c>
      <c r="G133" s="555">
        <f>G110*(1+Dashboard!$P$11)</f>
        <v/>
      </c>
      <c r="H133" s="549">
        <f>+G133-F133</f>
        <v/>
      </c>
      <c r="I133" s="556">
        <f>I110*(1+Dashboard!$P$11)</f>
        <v/>
      </c>
      <c r="J133" s="557">
        <f>I133-F133</f>
        <v/>
      </c>
      <c r="K133" s="558">
        <f>K110*(1+Dashboard!$P$11)</f>
        <v/>
      </c>
      <c r="L133" s="559">
        <f>M133+F133</f>
        <v/>
      </c>
      <c r="M133" s="559">
        <f>M110*(1+Dashboard!$P$11)</f>
        <v/>
      </c>
      <c r="N133" s="548">
        <f>((M133*D133)*12)</f>
        <v/>
      </c>
      <c r="P133" s="545">
        <f>B133</f>
        <v/>
      </c>
      <c r="Q133" s="550">
        <f>C133</f>
        <v/>
      </c>
      <c r="R133" s="545">
        <f>D133</f>
        <v/>
      </c>
      <c r="S133" s="546">
        <f>E133</f>
        <v/>
      </c>
      <c r="T133" s="547">
        <f>F133</f>
        <v/>
      </c>
      <c r="U133" s="548">
        <f>((M133*R133)*12)</f>
        <v/>
      </c>
      <c r="W133" s="545">
        <f>B133</f>
        <v/>
      </c>
      <c r="X133" s="550">
        <f>C133</f>
        <v/>
      </c>
      <c r="Y133" s="545">
        <f>D133</f>
        <v/>
      </c>
      <c r="Z133" s="546">
        <f>E133</f>
        <v/>
      </c>
      <c r="AA133" s="547">
        <f>F133</f>
        <v/>
      </c>
      <c r="AB133" s="549">
        <f>((H133*Y133)*12)</f>
        <v/>
      </c>
      <c r="AD133" s="545">
        <f>B133</f>
        <v/>
      </c>
      <c r="AE133" s="550">
        <f>C133</f>
        <v/>
      </c>
      <c r="AF133" s="545">
        <f>D133</f>
        <v/>
      </c>
      <c r="AG133" s="546">
        <f>E133</f>
        <v/>
      </c>
      <c r="AH133" s="547">
        <f>F133</f>
        <v/>
      </c>
      <c r="AI133" s="548">
        <f>+MAX(U133,AB133)</f>
        <v/>
      </c>
      <c r="AK133" s="545">
        <f>B133</f>
        <v/>
      </c>
      <c r="AL133" s="550">
        <f>C133</f>
        <v/>
      </c>
      <c r="AM133" s="545">
        <f>D133</f>
        <v/>
      </c>
      <c r="AN133" s="546">
        <f>E133</f>
        <v/>
      </c>
      <c r="AO133" s="547">
        <f>F133</f>
        <v/>
      </c>
      <c r="AP133" s="548">
        <f>IF(G133&gt;0,MAX(U133,AB133),N133)</f>
        <v/>
      </c>
    </row>
    <row r="134" ht="15.75" customFormat="1" customHeight="1" s="120">
      <c r="B134" s="551">
        <f>B111</f>
        <v/>
      </c>
      <c r="C134" s="552">
        <f>C111</f>
        <v/>
      </c>
      <c r="D134" s="551">
        <f>$D111</f>
        <v/>
      </c>
      <c r="E134" s="553">
        <f>E111</f>
        <v/>
      </c>
      <c r="F134" s="554">
        <f>F111*(1+Dashboard!$P$12)</f>
        <v/>
      </c>
      <c r="G134" s="555">
        <f>G111*(1+Dashboard!$P$11)</f>
        <v/>
      </c>
      <c r="H134" s="549">
        <f>+G134-F134</f>
        <v/>
      </c>
      <c r="I134" s="556">
        <f>I111*(1+Dashboard!$P$11)</f>
        <v/>
      </c>
      <c r="J134" s="557">
        <f>I134-F134</f>
        <v/>
      </c>
      <c r="K134" s="558">
        <f>K111*(1+Dashboard!$P$11)</f>
        <v/>
      </c>
      <c r="L134" s="559">
        <f>M134+F134</f>
        <v/>
      </c>
      <c r="M134" s="559">
        <f>M111*(1+Dashboard!$P$11)</f>
        <v/>
      </c>
      <c r="N134" s="548">
        <f>((M134*D134)*12)</f>
        <v/>
      </c>
      <c r="P134" s="545">
        <f>B134</f>
        <v/>
      </c>
      <c r="Q134" s="550">
        <f>C134</f>
        <v/>
      </c>
      <c r="R134" s="545">
        <f>D134</f>
        <v/>
      </c>
      <c r="S134" s="546">
        <f>E134</f>
        <v/>
      </c>
      <c r="T134" s="547">
        <f>F134</f>
        <v/>
      </c>
      <c r="U134" s="548">
        <f>((M134*R134)*12)</f>
        <v/>
      </c>
      <c r="W134" s="545">
        <f>B134</f>
        <v/>
      </c>
      <c r="X134" s="550">
        <f>C134</f>
        <v/>
      </c>
      <c r="Y134" s="545">
        <f>D134</f>
        <v/>
      </c>
      <c r="Z134" s="546">
        <f>E134</f>
        <v/>
      </c>
      <c r="AA134" s="547">
        <f>F134</f>
        <v/>
      </c>
      <c r="AB134" s="549">
        <f>((H134*Y134)*12)</f>
        <v/>
      </c>
      <c r="AD134" s="545">
        <f>B134</f>
        <v/>
      </c>
      <c r="AE134" s="550">
        <f>C134</f>
        <v/>
      </c>
      <c r="AF134" s="545">
        <f>D134</f>
        <v/>
      </c>
      <c r="AG134" s="546">
        <f>E134</f>
        <v/>
      </c>
      <c r="AH134" s="547">
        <f>F134</f>
        <v/>
      </c>
      <c r="AI134" s="548">
        <f>+MAX(U134,AB134)</f>
        <v/>
      </c>
      <c r="AK134" s="545">
        <f>B134</f>
        <v/>
      </c>
      <c r="AL134" s="550">
        <f>C134</f>
        <v/>
      </c>
      <c r="AM134" s="545">
        <f>D134</f>
        <v/>
      </c>
      <c r="AN134" s="546">
        <f>E134</f>
        <v/>
      </c>
      <c r="AO134" s="547">
        <f>F134</f>
        <v/>
      </c>
      <c r="AP134" s="548">
        <f>IF(G134&gt;0,MAX(U134,AB134),N134)</f>
        <v/>
      </c>
    </row>
    <row r="135" ht="15.75" customFormat="1" customHeight="1" s="120">
      <c r="B135" s="551">
        <f>B112</f>
        <v/>
      </c>
      <c r="C135" s="552">
        <f>C112</f>
        <v/>
      </c>
      <c r="D135" s="551">
        <f>$D112</f>
        <v/>
      </c>
      <c r="E135" s="553">
        <f>E112</f>
        <v/>
      </c>
      <c r="F135" s="554">
        <f>F112*(1+Dashboard!$P$12)</f>
        <v/>
      </c>
      <c r="G135" s="555">
        <f>G112*(1+Dashboard!$P$11)</f>
        <v/>
      </c>
      <c r="H135" s="549">
        <f>+G135-F135</f>
        <v/>
      </c>
      <c r="I135" s="556">
        <f>I112*(1+Dashboard!$P$11)</f>
        <v/>
      </c>
      <c r="J135" s="557">
        <f>I135-F135</f>
        <v/>
      </c>
      <c r="K135" s="558">
        <f>K112*(1+Dashboard!$P$11)</f>
        <v/>
      </c>
      <c r="L135" s="559">
        <f>M135+F135</f>
        <v/>
      </c>
      <c r="M135" s="559">
        <f>M112*(1+Dashboard!$P$11)</f>
        <v/>
      </c>
      <c r="N135" s="548">
        <f>((M135*D135)*12)</f>
        <v/>
      </c>
      <c r="P135" s="545">
        <f>B135</f>
        <v/>
      </c>
      <c r="Q135" s="550">
        <f>C135</f>
        <v/>
      </c>
      <c r="R135" s="545">
        <f>D135</f>
        <v/>
      </c>
      <c r="S135" s="546">
        <f>E135</f>
        <v/>
      </c>
      <c r="T135" s="547">
        <f>F135</f>
        <v/>
      </c>
      <c r="U135" s="548">
        <f>((M135*R135)*12)</f>
        <v/>
      </c>
      <c r="W135" s="545">
        <f>B135</f>
        <v/>
      </c>
      <c r="X135" s="550">
        <f>C135</f>
        <v/>
      </c>
      <c r="Y135" s="545">
        <f>D135</f>
        <v/>
      </c>
      <c r="Z135" s="546">
        <f>E135</f>
        <v/>
      </c>
      <c r="AA135" s="547">
        <f>F135</f>
        <v/>
      </c>
      <c r="AB135" s="549">
        <f>((H135*Y135)*12)</f>
        <v/>
      </c>
      <c r="AD135" s="545">
        <f>B135</f>
        <v/>
      </c>
      <c r="AE135" s="550">
        <f>C135</f>
        <v/>
      </c>
      <c r="AF135" s="545">
        <f>D135</f>
        <v/>
      </c>
      <c r="AG135" s="546">
        <f>E135</f>
        <v/>
      </c>
      <c r="AH135" s="547">
        <f>F135</f>
        <v/>
      </c>
      <c r="AI135" s="548">
        <f>+MAX(U135,AB135)</f>
        <v/>
      </c>
      <c r="AK135" s="545">
        <f>B135</f>
        <v/>
      </c>
      <c r="AL135" s="550">
        <f>C135</f>
        <v/>
      </c>
      <c r="AM135" s="545">
        <f>D135</f>
        <v/>
      </c>
      <c r="AN135" s="546">
        <f>E135</f>
        <v/>
      </c>
      <c r="AO135" s="547">
        <f>F135</f>
        <v/>
      </c>
      <c r="AP135" s="548">
        <f>IF(G135&gt;0,MAX(U135,AB135),N135)</f>
        <v/>
      </c>
    </row>
    <row r="136" ht="15.75" customFormat="1" customHeight="1" s="120">
      <c r="B136" s="551">
        <f>B113</f>
        <v/>
      </c>
      <c r="C136" s="552">
        <f>C113</f>
        <v/>
      </c>
      <c r="D136" s="551">
        <f>$D113</f>
        <v/>
      </c>
      <c r="E136" s="553">
        <f>E113</f>
        <v/>
      </c>
      <c r="F136" s="554">
        <f>F113*(1+Dashboard!$P$12)</f>
        <v/>
      </c>
      <c r="G136" s="555">
        <f>G113*(1+Dashboard!$P$11)</f>
        <v/>
      </c>
      <c r="H136" s="549">
        <f>+G136-F136</f>
        <v/>
      </c>
      <c r="I136" s="556">
        <f>I113*(1+Dashboard!$P$11)</f>
        <v/>
      </c>
      <c r="J136" s="557">
        <f>I136-F136</f>
        <v/>
      </c>
      <c r="K136" s="558">
        <f>K113*(1+Dashboard!$P$11)</f>
        <v/>
      </c>
      <c r="L136" s="559">
        <f>M136+F136</f>
        <v/>
      </c>
      <c r="M136" s="559">
        <f>M113*(1+Dashboard!$P$11)</f>
        <v/>
      </c>
      <c r="N136" s="548">
        <f>((M136*D136)*12)</f>
        <v/>
      </c>
      <c r="P136" s="545">
        <f>B136</f>
        <v/>
      </c>
      <c r="Q136" s="550">
        <f>C136</f>
        <v/>
      </c>
      <c r="R136" s="545">
        <f>D136</f>
        <v/>
      </c>
      <c r="S136" s="546">
        <f>E136</f>
        <v/>
      </c>
      <c r="T136" s="547">
        <f>F136</f>
        <v/>
      </c>
      <c r="U136" s="548">
        <f>((M136*R136)*12)</f>
        <v/>
      </c>
      <c r="W136" s="545">
        <f>B136</f>
        <v/>
      </c>
      <c r="X136" s="550">
        <f>C136</f>
        <v/>
      </c>
      <c r="Y136" s="545">
        <f>D136</f>
        <v/>
      </c>
      <c r="Z136" s="546">
        <f>E136</f>
        <v/>
      </c>
      <c r="AA136" s="547">
        <f>F136</f>
        <v/>
      </c>
      <c r="AB136" s="549">
        <f>((H136*Y136)*12)</f>
        <v/>
      </c>
      <c r="AD136" s="545">
        <f>B136</f>
        <v/>
      </c>
      <c r="AE136" s="550">
        <f>C136</f>
        <v/>
      </c>
      <c r="AF136" s="545">
        <f>D136</f>
        <v/>
      </c>
      <c r="AG136" s="546">
        <f>E136</f>
        <v/>
      </c>
      <c r="AH136" s="547">
        <f>F136</f>
        <v/>
      </c>
      <c r="AI136" s="548">
        <f>+MAX(U136,AB136)</f>
        <v/>
      </c>
      <c r="AK136" s="545">
        <f>B136</f>
        <v/>
      </c>
      <c r="AL136" s="550">
        <f>C136</f>
        <v/>
      </c>
      <c r="AM136" s="545">
        <f>D136</f>
        <v/>
      </c>
      <c r="AN136" s="546">
        <f>E136</f>
        <v/>
      </c>
      <c r="AO136" s="547">
        <f>F136</f>
        <v/>
      </c>
      <c r="AP136" s="548">
        <f>IF(G136&gt;0,MAX(U136,AB136),N136)</f>
        <v/>
      </c>
    </row>
    <row r="137" ht="15.75" customFormat="1" customHeight="1" s="120">
      <c r="B137" s="551">
        <f>B114</f>
        <v/>
      </c>
      <c r="C137" s="552">
        <f>C114</f>
        <v/>
      </c>
      <c r="D137" s="551">
        <f>$D114</f>
        <v/>
      </c>
      <c r="E137" s="553">
        <f>E114</f>
        <v/>
      </c>
      <c r="F137" s="554">
        <f>F114*(1+Dashboard!$P$12)</f>
        <v/>
      </c>
      <c r="G137" s="555">
        <f>G114*(1+Dashboard!$P$11)</f>
        <v/>
      </c>
      <c r="H137" s="549">
        <f>+G137-F137</f>
        <v/>
      </c>
      <c r="I137" s="556">
        <f>I114*(1+Dashboard!$P$11)</f>
        <v/>
      </c>
      <c r="J137" s="557">
        <f>I137-F137</f>
        <v/>
      </c>
      <c r="K137" s="558">
        <f>K114*(1+Dashboard!$P$11)</f>
        <v/>
      </c>
      <c r="L137" s="559">
        <f>M137+F137</f>
        <v/>
      </c>
      <c r="M137" s="559">
        <f>M114*(1+Dashboard!$P$11)</f>
        <v/>
      </c>
      <c r="N137" s="548">
        <f>((M137*D137)*12)</f>
        <v/>
      </c>
      <c r="P137" s="545">
        <f>B137</f>
        <v/>
      </c>
      <c r="Q137" s="550">
        <f>C137</f>
        <v/>
      </c>
      <c r="R137" s="545">
        <f>D137</f>
        <v/>
      </c>
      <c r="S137" s="546">
        <f>E137</f>
        <v/>
      </c>
      <c r="T137" s="547">
        <f>F137</f>
        <v/>
      </c>
      <c r="U137" s="548">
        <f>((M137*R137)*12)</f>
        <v/>
      </c>
      <c r="W137" s="545">
        <f>B137</f>
        <v/>
      </c>
      <c r="X137" s="550">
        <f>C137</f>
        <v/>
      </c>
      <c r="Y137" s="545">
        <f>D137</f>
        <v/>
      </c>
      <c r="Z137" s="546">
        <f>E137</f>
        <v/>
      </c>
      <c r="AA137" s="547">
        <f>F137</f>
        <v/>
      </c>
      <c r="AB137" s="549">
        <f>((H137*Y137)*12)</f>
        <v/>
      </c>
      <c r="AD137" s="545">
        <f>B137</f>
        <v/>
      </c>
      <c r="AE137" s="550">
        <f>C137</f>
        <v/>
      </c>
      <c r="AF137" s="545">
        <f>D137</f>
        <v/>
      </c>
      <c r="AG137" s="546">
        <f>E137</f>
        <v/>
      </c>
      <c r="AH137" s="547">
        <f>F137</f>
        <v/>
      </c>
      <c r="AI137" s="548">
        <f>+MAX(U137,AB137)</f>
        <v/>
      </c>
      <c r="AK137" s="545">
        <f>B137</f>
        <v/>
      </c>
      <c r="AL137" s="550">
        <f>C137</f>
        <v/>
      </c>
      <c r="AM137" s="545">
        <f>D137</f>
        <v/>
      </c>
      <c r="AN137" s="546">
        <f>E137</f>
        <v/>
      </c>
      <c r="AO137" s="547">
        <f>F137</f>
        <v/>
      </c>
      <c r="AP137" s="548">
        <f>IF(G137&gt;0,MAX(U137,AB137),N137)</f>
        <v/>
      </c>
    </row>
    <row r="138" ht="15.75" customFormat="1" customHeight="1" s="120">
      <c r="B138" s="551">
        <f>B115</f>
        <v/>
      </c>
      <c r="C138" s="552">
        <f>C115</f>
        <v/>
      </c>
      <c r="D138" s="551">
        <f>$D115</f>
        <v/>
      </c>
      <c r="E138" s="553">
        <f>E115</f>
        <v/>
      </c>
      <c r="F138" s="554">
        <f>F115*(1+Dashboard!$P$12)</f>
        <v/>
      </c>
      <c r="G138" s="555">
        <f>G115*(1+Dashboard!$P$11)</f>
        <v/>
      </c>
      <c r="H138" s="549">
        <f>+G138-F138</f>
        <v/>
      </c>
      <c r="I138" s="556">
        <f>I115*(1+Dashboard!$P$11)</f>
        <v/>
      </c>
      <c r="J138" s="557">
        <f>I138-F138</f>
        <v/>
      </c>
      <c r="K138" s="558">
        <f>K115*(1+Dashboard!$P$11)</f>
        <v/>
      </c>
      <c r="L138" s="559">
        <f>M138+F138</f>
        <v/>
      </c>
      <c r="M138" s="559">
        <f>M115*(1+Dashboard!$P$11)</f>
        <v/>
      </c>
      <c r="N138" s="548">
        <f>((M138*D138)*12)</f>
        <v/>
      </c>
      <c r="P138" s="545">
        <f>B138</f>
        <v/>
      </c>
      <c r="Q138" s="550">
        <f>C138</f>
        <v/>
      </c>
      <c r="R138" s="545">
        <f>D138</f>
        <v/>
      </c>
      <c r="S138" s="546">
        <f>E138</f>
        <v/>
      </c>
      <c r="T138" s="547">
        <f>F138</f>
        <v/>
      </c>
      <c r="U138" s="548">
        <f>((M138*R138)*12)</f>
        <v/>
      </c>
      <c r="W138" s="545">
        <f>B138</f>
        <v/>
      </c>
      <c r="X138" s="550">
        <f>C138</f>
        <v/>
      </c>
      <c r="Y138" s="545">
        <f>D138</f>
        <v/>
      </c>
      <c r="Z138" s="546">
        <f>E138</f>
        <v/>
      </c>
      <c r="AA138" s="547">
        <f>F138</f>
        <v/>
      </c>
      <c r="AB138" s="549">
        <f>((H138*Y138)*12)</f>
        <v/>
      </c>
      <c r="AD138" s="545">
        <f>B138</f>
        <v/>
      </c>
      <c r="AE138" s="550">
        <f>C138</f>
        <v/>
      </c>
      <c r="AF138" s="545">
        <f>D138</f>
        <v/>
      </c>
      <c r="AG138" s="546">
        <f>E138</f>
        <v/>
      </c>
      <c r="AH138" s="547">
        <f>F138</f>
        <v/>
      </c>
      <c r="AI138" s="548">
        <f>+MAX(U138,AB138)</f>
        <v/>
      </c>
      <c r="AK138" s="545">
        <f>B138</f>
        <v/>
      </c>
      <c r="AL138" s="550">
        <f>C138</f>
        <v/>
      </c>
      <c r="AM138" s="545">
        <f>D138</f>
        <v/>
      </c>
      <c r="AN138" s="546">
        <f>E138</f>
        <v/>
      </c>
      <c r="AO138" s="547">
        <f>F138</f>
        <v/>
      </c>
      <c r="AP138" s="548">
        <f>IF(G138&gt;0,MAX(U138,AB138),N138)</f>
        <v/>
      </c>
    </row>
    <row r="139" ht="15.75" customFormat="1" customHeight="1" s="120">
      <c r="B139" s="551">
        <f>B116</f>
        <v/>
      </c>
      <c r="C139" s="552">
        <f>C116</f>
        <v/>
      </c>
      <c r="D139" s="551">
        <f>$D116</f>
        <v/>
      </c>
      <c r="E139" s="553">
        <f>E116</f>
        <v/>
      </c>
      <c r="F139" s="554">
        <f>F116*(1+Dashboard!$P$12)</f>
        <v/>
      </c>
      <c r="G139" s="555">
        <f>G116*(1+Dashboard!$P$11)</f>
        <v/>
      </c>
      <c r="H139" s="549">
        <f>+G139-F139</f>
        <v/>
      </c>
      <c r="I139" s="556">
        <f>I116*(1+Dashboard!$P$11)</f>
        <v/>
      </c>
      <c r="J139" s="557">
        <f>I139-F139</f>
        <v/>
      </c>
      <c r="K139" s="558">
        <f>K116*(1+Dashboard!$P$11)</f>
        <v/>
      </c>
      <c r="L139" s="559">
        <f>M139+F139</f>
        <v/>
      </c>
      <c r="M139" s="559">
        <f>M116*(1+Dashboard!$P$11)</f>
        <v/>
      </c>
      <c r="N139" s="548">
        <f>((M139*D139)*12)</f>
        <v/>
      </c>
      <c r="P139" s="545">
        <f>B139</f>
        <v/>
      </c>
      <c r="Q139" s="550">
        <f>C139</f>
        <v/>
      </c>
      <c r="R139" s="545">
        <f>D139</f>
        <v/>
      </c>
      <c r="S139" s="546">
        <f>E139</f>
        <v/>
      </c>
      <c r="T139" s="547">
        <f>F139</f>
        <v/>
      </c>
      <c r="U139" s="548">
        <f>((M139*R139)*12)</f>
        <v/>
      </c>
      <c r="W139" s="545">
        <f>B139</f>
        <v/>
      </c>
      <c r="X139" s="550">
        <f>C139</f>
        <v/>
      </c>
      <c r="Y139" s="545">
        <f>D139</f>
        <v/>
      </c>
      <c r="Z139" s="546">
        <f>E139</f>
        <v/>
      </c>
      <c r="AA139" s="547">
        <f>F139</f>
        <v/>
      </c>
      <c r="AB139" s="549">
        <f>((H139*Y139)*12)</f>
        <v/>
      </c>
      <c r="AD139" s="545">
        <f>B139</f>
        <v/>
      </c>
      <c r="AE139" s="550">
        <f>C139</f>
        <v/>
      </c>
      <c r="AF139" s="545">
        <f>D139</f>
        <v/>
      </c>
      <c r="AG139" s="546">
        <f>E139</f>
        <v/>
      </c>
      <c r="AH139" s="547">
        <f>F139</f>
        <v/>
      </c>
      <c r="AI139" s="548">
        <f>+MAX(U139,AB139)</f>
        <v/>
      </c>
      <c r="AK139" s="545">
        <f>B139</f>
        <v/>
      </c>
      <c r="AL139" s="550">
        <f>C139</f>
        <v/>
      </c>
      <c r="AM139" s="545">
        <f>D139</f>
        <v/>
      </c>
      <c r="AN139" s="546">
        <f>E139</f>
        <v/>
      </c>
      <c r="AO139" s="547">
        <f>F139</f>
        <v/>
      </c>
      <c r="AP139" s="548">
        <f>IF(G139&gt;0,MAX(U139,AB139),N139)</f>
        <v/>
      </c>
    </row>
    <row r="140" ht="15.75" customFormat="1" customHeight="1" s="120">
      <c r="B140" s="551">
        <f>B117</f>
        <v/>
      </c>
      <c r="C140" s="552">
        <f>C117</f>
        <v/>
      </c>
      <c r="D140" s="551">
        <f>$D117</f>
        <v/>
      </c>
      <c r="E140" s="553">
        <f>E117</f>
        <v/>
      </c>
      <c r="F140" s="554">
        <f>F117*(1+Dashboard!$P$12)</f>
        <v/>
      </c>
      <c r="G140" s="555">
        <f>G117*(1+Dashboard!$P$11)</f>
        <v/>
      </c>
      <c r="H140" s="549">
        <f>+G140-F140</f>
        <v/>
      </c>
      <c r="I140" s="556">
        <f>I117*(1+Dashboard!$P$11)</f>
        <v/>
      </c>
      <c r="J140" s="557">
        <f>I140-F140</f>
        <v/>
      </c>
      <c r="K140" s="558">
        <f>K117*(1+Dashboard!$P$11)</f>
        <v/>
      </c>
      <c r="L140" s="559">
        <f>M140+F140</f>
        <v/>
      </c>
      <c r="M140" s="559">
        <f>M117*(1+Dashboard!$P$11)</f>
        <v/>
      </c>
      <c r="N140" s="548">
        <f>((M140*D140)*12)</f>
        <v/>
      </c>
      <c r="P140" s="545">
        <f>B140</f>
        <v/>
      </c>
      <c r="Q140" s="550">
        <f>C140</f>
        <v/>
      </c>
      <c r="R140" s="545">
        <f>D140</f>
        <v/>
      </c>
      <c r="S140" s="546">
        <f>E140</f>
        <v/>
      </c>
      <c r="T140" s="547">
        <f>F140</f>
        <v/>
      </c>
      <c r="U140" s="548">
        <f>((M140*R140)*12)</f>
        <v/>
      </c>
      <c r="W140" s="545">
        <f>B140</f>
        <v/>
      </c>
      <c r="X140" s="550">
        <f>C140</f>
        <v/>
      </c>
      <c r="Y140" s="545">
        <f>D140</f>
        <v/>
      </c>
      <c r="Z140" s="546">
        <f>E140</f>
        <v/>
      </c>
      <c r="AA140" s="547">
        <f>F140</f>
        <v/>
      </c>
      <c r="AB140" s="549">
        <f>((H140*Y140)*12)</f>
        <v/>
      </c>
      <c r="AD140" s="545">
        <f>B140</f>
        <v/>
      </c>
      <c r="AE140" s="550">
        <f>C140</f>
        <v/>
      </c>
      <c r="AF140" s="545">
        <f>D140</f>
        <v/>
      </c>
      <c r="AG140" s="546">
        <f>E140</f>
        <v/>
      </c>
      <c r="AH140" s="547">
        <f>F140</f>
        <v/>
      </c>
      <c r="AI140" s="548">
        <f>+MAX(U140,AB140)</f>
        <v/>
      </c>
      <c r="AK140" s="545">
        <f>B140</f>
        <v/>
      </c>
      <c r="AL140" s="550">
        <f>C140</f>
        <v/>
      </c>
      <c r="AM140" s="545">
        <f>D140</f>
        <v/>
      </c>
      <c r="AN140" s="546">
        <f>E140</f>
        <v/>
      </c>
      <c r="AO140" s="547">
        <f>F140</f>
        <v/>
      </c>
      <c r="AP140" s="548">
        <f>IF(G140&gt;0,MAX(U140,AB140),N140)</f>
        <v/>
      </c>
    </row>
    <row r="141" ht="15.75" customFormat="1" customHeight="1" s="120">
      <c r="B141" s="198" t="inlineStr">
        <is>
          <t>Total (Pre-Vacancy)</t>
        </is>
      </c>
      <c r="C141" s="122" t="n"/>
      <c r="D141" s="166">
        <f>SUM(D122:D140)</f>
        <v/>
      </c>
      <c r="E141" s="166">
        <f>+SUMPRODUCT(E122:E140,$D122:$D140)</f>
        <v/>
      </c>
      <c r="F141" s="165">
        <f>+SUMPRODUCT(F122:F140,$D122:$D140)</f>
        <v/>
      </c>
      <c r="G141" s="165">
        <f>+SUMPRODUCT(G122:G140,$D122:$D140)</f>
        <v/>
      </c>
      <c r="H141" s="165">
        <f>+SUMPRODUCT(H122:H140,$D122:$D140)</f>
        <v/>
      </c>
      <c r="I141" s="165">
        <f>+SUMPRODUCT(I122:I140,$D122:$D140)</f>
        <v/>
      </c>
      <c r="J141" s="165">
        <f>+SUMPRODUCT(J122:J140,$D122:$D140)</f>
        <v/>
      </c>
      <c r="K141" s="165">
        <f>+SUMPRODUCT(K122:K140,$D122:$D140)</f>
        <v/>
      </c>
      <c r="L141" s="165">
        <f>+SUMPRODUCT(L122:L140,$D122:$D140)</f>
        <v/>
      </c>
      <c r="M141" s="165">
        <f>+SUMPRODUCT(M122:M140,$D122:$D140)</f>
        <v/>
      </c>
      <c r="N141" s="165">
        <f>SUM(N122:N140)</f>
        <v/>
      </c>
      <c r="P141" s="198" t="inlineStr">
        <is>
          <t>Total (Pre-Vacancy)</t>
        </is>
      </c>
      <c r="Q141" s="122" t="n"/>
      <c r="R141" s="560">
        <f>SUM(R122:R140)</f>
        <v/>
      </c>
      <c r="S141" s="560">
        <f>+SUMPRODUCT(S122:S140,$R122:$R140)</f>
        <v/>
      </c>
      <c r="T141" s="165">
        <f>+SUMPRODUCT(T122:T140,$R122:$R140)</f>
        <v/>
      </c>
      <c r="U141" s="165">
        <f>SUM(U122:U140)</f>
        <v/>
      </c>
      <c r="W141" s="198" t="inlineStr">
        <is>
          <t>Total (Pre-Vacancy)</t>
        </is>
      </c>
      <c r="X141" s="122" t="n"/>
      <c r="Y141" s="560">
        <f>SUM(Y122:Y140)</f>
        <v/>
      </c>
      <c r="Z141" s="560">
        <f>+SUMPRODUCT(Z122:Z140,$Y122:$Y140)</f>
        <v/>
      </c>
      <c r="AA141" s="165">
        <f>+SUMPRODUCT(AA122:AA140,$Y122:$Y140)</f>
        <v/>
      </c>
      <c r="AB141" s="165">
        <f>SUM(AB122:AB140)</f>
        <v/>
      </c>
      <c r="AC141" s="122" t="n"/>
      <c r="AD141" s="198" t="inlineStr">
        <is>
          <t>Total (Pre-Vacancy)</t>
        </is>
      </c>
      <c r="AE141" s="122" t="n"/>
      <c r="AF141" s="560">
        <f>SUM(AF122:AF140)</f>
        <v/>
      </c>
      <c r="AG141" s="560">
        <f>+SUMPRODUCT(AG122:AG140,$AF122:$AF140)</f>
        <v/>
      </c>
      <c r="AH141" s="165">
        <f>+SUMPRODUCT(AH122:AH140,$AF122:$AF140)</f>
        <v/>
      </c>
      <c r="AI141" s="165">
        <f>SUM(AI122:AI140)</f>
        <v/>
      </c>
      <c r="AK141" s="198" t="inlineStr">
        <is>
          <t>Total (Pre-Vacancy)</t>
        </is>
      </c>
      <c r="AL141" s="122" t="n"/>
      <c r="AM141" s="560">
        <f>SUM(AF122:AF140)</f>
        <v/>
      </c>
      <c r="AN141" s="560">
        <f>+SUMPRODUCT(AG122:AG140,$AF122:$AF140)</f>
        <v/>
      </c>
      <c r="AO141" s="165">
        <f>+SUMPRODUCT(AH122:AH140,$AF122:$AF140)</f>
        <v/>
      </c>
      <c r="AP141" s="165">
        <f>SUM(AP122:AP140)</f>
        <v/>
      </c>
    </row>
    <row r="142">
      <c r="AK142" s="607" t="n"/>
      <c r="AL142" s="607" t="n"/>
      <c r="AM142" s="607" t="n"/>
      <c r="AN142" s="607" t="n"/>
      <c r="AO142" s="607" t="n"/>
      <c r="AP142" s="607" t="n"/>
    </row>
    <row r="143" ht="15.75" customFormat="1" customHeight="1" s="167">
      <c r="B143" s="170" t="inlineStr">
        <is>
          <t>Year 7</t>
        </is>
      </c>
      <c r="C143" s="170" t="n"/>
      <c r="D143" s="170" t="n"/>
      <c r="E143" s="170" t="n"/>
      <c r="F143" s="170" t="n"/>
      <c r="G143" s="170" t="n"/>
      <c r="H143" s="170" t="n"/>
      <c r="I143" s="170" t="n"/>
      <c r="J143" s="170" t="n"/>
      <c r="K143" s="170" t="n"/>
      <c r="L143" s="170" t="n"/>
      <c r="M143" s="170" t="n"/>
      <c r="N143" s="170" t="n"/>
      <c r="P143" s="170">
        <f>+$B143</f>
        <v/>
      </c>
      <c r="Q143" s="170" t="n"/>
      <c r="R143" s="170" t="n"/>
      <c r="S143" s="170" t="n"/>
      <c r="T143" s="170" t="n"/>
      <c r="U143" s="170" t="n"/>
      <c r="W143" s="170">
        <f>+$B143</f>
        <v/>
      </c>
      <c r="X143" s="170" t="n"/>
      <c r="Y143" s="170" t="n"/>
      <c r="Z143" s="170" t="n"/>
      <c r="AA143" s="170" t="n"/>
      <c r="AB143" s="170" t="n"/>
      <c r="AD143" s="170">
        <f>+$B143</f>
        <v/>
      </c>
      <c r="AE143" s="170" t="n"/>
      <c r="AF143" s="170" t="n"/>
      <c r="AG143" s="170" t="n"/>
      <c r="AH143" s="170" t="n"/>
      <c r="AI143" s="170" t="n"/>
      <c r="AK143" s="170">
        <f>+$B143</f>
        <v/>
      </c>
      <c r="AL143" s="170" t="n"/>
      <c r="AM143" s="170" t="n"/>
      <c r="AN143" s="170" t="n"/>
      <c r="AO143" s="170" t="n"/>
      <c r="AP143" s="170" t="n"/>
    </row>
    <row r="144" ht="38.25" customFormat="1" customHeight="1" s="164">
      <c r="B144" s="543" t="inlineStr">
        <is>
          <t>Unit Type</t>
        </is>
      </c>
      <c r="C144" s="543" t="inlineStr">
        <is>
          <t>AMI / S8</t>
        </is>
      </c>
      <c r="D144" s="543" t="inlineStr">
        <is>
          <t># of Units</t>
        </is>
      </c>
      <c r="E144" s="543" t="inlineStr">
        <is>
          <t>Avg. SF</t>
        </is>
      </c>
      <c r="F144" s="543" t="inlineStr">
        <is>
          <t>Avg. Utilities</t>
        </is>
      </c>
      <c r="G144" s="544" t="inlineStr">
        <is>
          <t>Avg. Max LITHC</t>
        </is>
      </c>
      <c r="H144" s="543" t="inlineStr">
        <is>
          <t>Net LIHTC</t>
        </is>
      </c>
      <c r="I144" s="543" t="inlineStr">
        <is>
          <t>Avg. Max FMR</t>
        </is>
      </c>
      <c r="J144" s="543" t="inlineStr">
        <is>
          <t>Net FMR</t>
        </is>
      </c>
      <c r="K144" s="543">
        <f>+K121</f>
        <v/>
      </c>
      <c r="L144" s="543" t="inlineStr">
        <is>
          <t>Gross Rent</t>
        </is>
      </c>
      <c r="M144" s="543" t="inlineStr">
        <is>
          <t>Avg. Current Rent</t>
        </is>
      </c>
      <c r="N144" s="543" t="inlineStr">
        <is>
          <t>Yrly. Gross Income (Net Rent)</t>
        </is>
      </c>
      <c r="P144" s="543" t="inlineStr">
        <is>
          <t>Unit Type</t>
        </is>
      </c>
      <c r="Q144" s="543" t="inlineStr">
        <is>
          <t>AMI / S8</t>
        </is>
      </c>
      <c r="R144" s="543" t="inlineStr">
        <is>
          <t># of Units</t>
        </is>
      </c>
      <c r="S144" s="543" t="inlineStr">
        <is>
          <t>Avg. SF</t>
        </is>
      </c>
      <c r="T144" s="543" t="inlineStr">
        <is>
          <t>Avg. Utilities</t>
        </is>
      </c>
      <c r="U144" s="543" t="inlineStr">
        <is>
          <t>Max Current Vouchers</t>
        </is>
      </c>
      <c r="W144" s="543" t="inlineStr">
        <is>
          <t>Unit Type</t>
        </is>
      </c>
      <c r="X144" s="543" t="inlineStr">
        <is>
          <t>AMI / S8</t>
        </is>
      </c>
      <c r="Y144" s="543" t="inlineStr">
        <is>
          <t># of Units</t>
        </is>
      </c>
      <c r="Z144" s="543" t="inlineStr">
        <is>
          <t>Avg. SF</t>
        </is>
      </c>
      <c r="AA144" s="543" t="inlineStr">
        <is>
          <t>Avg. Utilities</t>
        </is>
      </c>
      <c r="AB144" s="543" t="inlineStr">
        <is>
          <t>Max NET LIHTC</t>
        </is>
      </c>
      <c r="AD144" s="543" t="inlineStr">
        <is>
          <t>Unit Type</t>
        </is>
      </c>
      <c r="AE144" s="543" t="inlineStr">
        <is>
          <t>AMI / S8</t>
        </is>
      </c>
      <c r="AF144" s="543" t="inlineStr">
        <is>
          <t># of Units</t>
        </is>
      </c>
      <c r="AG144" s="543" t="inlineStr">
        <is>
          <t>Avg. SF</t>
        </is>
      </c>
      <c r="AH144" s="543" t="inlineStr">
        <is>
          <t>Avg. Utilities</t>
        </is>
      </c>
      <c r="AI144" s="543" t="inlineStr">
        <is>
          <t xml:space="preserve">Max Current Vouchers + NET LIHTC </t>
        </is>
      </c>
      <c r="AK144" s="543" t="inlineStr">
        <is>
          <t>Unit Type</t>
        </is>
      </c>
      <c r="AL144" s="543" t="inlineStr">
        <is>
          <t>AMI / S8</t>
        </is>
      </c>
      <c r="AM144" s="543" t="inlineStr">
        <is>
          <t># of Units</t>
        </is>
      </c>
      <c r="AN144" s="543" t="inlineStr">
        <is>
          <t>Avg. SF</t>
        </is>
      </c>
      <c r="AO144" s="543" t="inlineStr">
        <is>
          <t>Avg. Utilities</t>
        </is>
      </c>
      <c r="AP144" s="543" t="inlineStr">
        <is>
          <t xml:space="preserve">Max Current Vouchers + NET LIHTC </t>
        </is>
      </c>
    </row>
    <row r="145" ht="15.75" customFormat="1" customHeight="1" s="120">
      <c r="B145" s="551">
        <f>B122</f>
        <v/>
      </c>
      <c r="C145" s="552">
        <f>C122</f>
        <v/>
      </c>
      <c r="D145" s="551">
        <f>$D122</f>
        <v/>
      </c>
      <c r="E145" s="553">
        <f>E122</f>
        <v/>
      </c>
      <c r="F145" s="554">
        <f>F122*(1+Dashboard!$P$12)</f>
        <v/>
      </c>
      <c r="G145" s="555">
        <f>G122*(1+Dashboard!$P$11)</f>
        <v/>
      </c>
      <c r="H145" s="549">
        <f>+G145-F145</f>
        <v/>
      </c>
      <c r="I145" s="556">
        <f>I122*(1+Dashboard!$P$11)</f>
        <v/>
      </c>
      <c r="J145" s="557">
        <f>I145-F145</f>
        <v/>
      </c>
      <c r="K145" s="558">
        <f>K122*(1+Dashboard!$P$11)</f>
        <v/>
      </c>
      <c r="L145" s="559">
        <f>M145+F145</f>
        <v/>
      </c>
      <c r="M145" s="559">
        <f>M122*(1+Dashboard!$P$11)</f>
        <v/>
      </c>
      <c r="N145" s="548">
        <f>((M145*D145)*12)</f>
        <v/>
      </c>
      <c r="P145" s="545">
        <f>B145</f>
        <v/>
      </c>
      <c r="Q145" s="545">
        <f>C145</f>
        <v/>
      </c>
      <c r="R145" s="545">
        <f>D145</f>
        <v/>
      </c>
      <c r="S145" s="546">
        <f>E145</f>
        <v/>
      </c>
      <c r="T145" s="547">
        <f>F145</f>
        <v/>
      </c>
      <c r="U145" s="548">
        <f>((M145*R145)*12)</f>
        <v/>
      </c>
      <c r="W145" s="545">
        <f>B145</f>
        <v/>
      </c>
      <c r="X145" s="545">
        <f>C145</f>
        <v/>
      </c>
      <c r="Y145" s="545">
        <f>D145</f>
        <v/>
      </c>
      <c r="Z145" s="546">
        <f>E145</f>
        <v/>
      </c>
      <c r="AA145" s="547">
        <f>F145</f>
        <v/>
      </c>
      <c r="AB145" s="549">
        <f>((H145*Y145)*12)</f>
        <v/>
      </c>
      <c r="AD145" s="545">
        <f>B145</f>
        <v/>
      </c>
      <c r="AE145" s="545">
        <f>C145</f>
        <v/>
      </c>
      <c r="AF145" s="545">
        <f>D145</f>
        <v/>
      </c>
      <c r="AG145" s="546">
        <f>E145</f>
        <v/>
      </c>
      <c r="AH145" s="547">
        <f>F145</f>
        <v/>
      </c>
      <c r="AI145" s="548">
        <f>+MAX(U145,AB145)</f>
        <v/>
      </c>
      <c r="AK145" s="545">
        <f>B145</f>
        <v/>
      </c>
      <c r="AL145" s="545">
        <f>C145</f>
        <v/>
      </c>
      <c r="AM145" s="545">
        <f>D145</f>
        <v/>
      </c>
      <c r="AN145" s="546">
        <f>E145</f>
        <v/>
      </c>
      <c r="AO145" s="547">
        <f>F145</f>
        <v/>
      </c>
      <c r="AP145" s="548">
        <f>IF(G145&gt;0,MAX(U145,AB145),N145)</f>
        <v/>
      </c>
    </row>
    <row r="146" ht="15.75" customFormat="1" customHeight="1" s="120">
      <c r="B146" s="551">
        <f>B123</f>
        <v/>
      </c>
      <c r="C146" s="552">
        <f>C123</f>
        <v/>
      </c>
      <c r="D146" s="551">
        <f>$D123</f>
        <v/>
      </c>
      <c r="E146" s="553">
        <f>E123</f>
        <v/>
      </c>
      <c r="F146" s="554">
        <f>F123*(1+Dashboard!$P$12)</f>
        <v/>
      </c>
      <c r="G146" s="555">
        <f>G123*(1+Dashboard!$P$11)</f>
        <v/>
      </c>
      <c r="H146" s="549">
        <f>+G146-F146</f>
        <v/>
      </c>
      <c r="I146" s="556">
        <f>I123*(1+Dashboard!$P$11)</f>
        <v/>
      </c>
      <c r="J146" s="557">
        <f>I146-F146</f>
        <v/>
      </c>
      <c r="K146" s="558">
        <f>K123*(1+Dashboard!$P$11)</f>
        <v/>
      </c>
      <c r="L146" s="559">
        <f>M146+F146</f>
        <v/>
      </c>
      <c r="M146" s="559">
        <f>M123*(1+Dashboard!$P$11)</f>
        <v/>
      </c>
      <c r="N146" s="548">
        <f>((M146*D146)*12)</f>
        <v/>
      </c>
      <c r="P146" s="545">
        <f>B146</f>
        <v/>
      </c>
      <c r="Q146" s="550">
        <f>C146</f>
        <v/>
      </c>
      <c r="R146" s="545">
        <f>D146</f>
        <v/>
      </c>
      <c r="S146" s="546">
        <f>E146</f>
        <v/>
      </c>
      <c r="T146" s="547">
        <f>F146</f>
        <v/>
      </c>
      <c r="U146" s="548">
        <f>((M146*R146)*12)</f>
        <v/>
      </c>
      <c r="W146" s="545">
        <f>B146</f>
        <v/>
      </c>
      <c r="X146" s="550">
        <f>C146</f>
        <v/>
      </c>
      <c r="Y146" s="545">
        <f>D146</f>
        <v/>
      </c>
      <c r="Z146" s="546">
        <f>E146</f>
        <v/>
      </c>
      <c r="AA146" s="547">
        <f>F146</f>
        <v/>
      </c>
      <c r="AB146" s="549">
        <f>((H146*Y146)*12)</f>
        <v/>
      </c>
      <c r="AD146" s="545">
        <f>B146</f>
        <v/>
      </c>
      <c r="AE146" s="550">
        <f>C146</f>
        <v/>
      </c>
      <c r="AF146" s="545">
        <f>D146</f>
        <v/>
      </c>
      <c r="AG146" s="546">
        <f>E146</f>
        <v/>
      </c>
      <c r="AH146" s="547">
        <f>F146</f>
        <v/>
      </c>
      <c r="AI146" s="548">
        <f>+MAX(U146,AB146)</f>
        <v/>
      </c>
      <c r="AK146" s="545">
        <f>B146</f>
        <v/>
      </c>
      <c r="AL146" s="550">
        <f>C146</f>
        <v/>
      </c>
      <c r="AM146" s="545">
        <f>D146</f>
        <v/>
      </c>
      <c r="AN146" s="546">
        <f>E146</f>
        <v/>
      </c>
      <c r="AO146" s="547">
        <f>F146</f>
        <v/>
      </c>
      <c r="AP146" s="548">
        <f>IF(G146&gt;0,MAX(U146,AB146),N146)</f>
        <v/>
      </c>
    </row>
    <row r="147" ht="15.75" customFormat="1" customHeight="1" s="120">
      <c r="B147" s="551">
        <f>B124</f>
        <v/>
      </c>
      <c r="C147" s="552">
        <f>C124</f>
        <v/>
      </c>
      <c r="D147" s="551">
        <f>$D124</f>
        <v/>
      </c>
      <c r="E147" s="553">
        <f>E124</f>
        <v/>
      </c>
      <c r="F147" s="554">
        <f>F124*(1+Dashboard!$P$12)</f>
        <v/>
      </c>
      <c r="G147" s="555">
        <f>G124*(1+Dashboard!$P$11)</f>
        <v/>
      </c>
      <c r="H147" s="549">
        <f>+G147-F147</f>
        <v/>
      </c>
      <c r="I147" s="556">
        <f>I124*(1+Dashboard!$P$11)</f>
        <v/>
      </c>
      <c r="J147" s="557">
        <f>I147-F147</f>
        <v/>
      </c>
      <c r="K147" s="558">
        <f>K124*(1+Dashboard!$P$11)</f>
        <v/>
      </c>
      <c r="L147" s="559">
        <f>M147+F147</f>
        <v/>
      </c>
      <c r="M147" s="559">
        <f>M124*(1+Dashboard!$P$11)</f>
        <v/>
      </c>
      <c r="N147" s="548">
        <f>((M147*D147)*12)</f>
        <v/>
      </c>
      <c r="P147" s="545">
        <f>B147</f>
        <v/>
      </c>
      <c r="Q147" s="550">
        <f>C147</f>
        <v/>
      </c>
      <c r="R147" s="545">
        <f>D147</f>
        <v/>
      </c>
      <c r="S147" s="546">
        <f>E147</f>
        <v/>
      </c>
      <c r="T147" s="547">
        <f>F147</f>
        <v/>
      </c>
      <c r="U147" s="548">
        <f>((M147*R147)*12)</f>
        <v/>
      </c>
      <c r="W147" s="545">
        <f>B147</f>
        <v/>
      </c>
      <c r="X147" s="550">
        <f>C147</f>
        <v/>
      </c>
      <c r="Y147" s="545">
        <f>D147</f>
        <v/>
      </c>
      <c r="Z147" s="546">
        <f>E147</f>
        <v/>
      </c>
      <c r="AA147" s="547">
        <f>F147</f>
        <v/>
      </c>
      <c r="AB147" s="549">
        <f>((H147*Y147)*12)</f>
        <v/>
      </c>
      <c r="AD147" s="545">
        <f>B147</f>
        <v/>
      </c>
      <c r="AE147" s="550">
        <f>C147</f>
        <v/>
      </c>
      <c r="AF147" s="545">
        <f>D147</f>
        <v/>
      </c>
      <c r="AG147" s="546">
        <f>E147</f>
        <v/>
      </c>
      <c r="AH147" s="547">
        <f>F147</f>
        <v/>
      </c>
      <c r="AI147" s="548">
        <f>+MAX(U147,AB147)</f>
        <v/>
      </c>
      <c r="AK147" s="545">
        <f>B147</f>
        <v/>
      </c>
      <c r="AL147" s="550">
        <f>C147</f>
        <v/>
      </c>
      <c r="AM147" s="545">
        <f>D147</f>
        <v/>
      </c>
      <c r="AN147" s="546">
        <f>E147</f>
        <v/>
      </c>
      <c r="AO147" s="547">
        <f>F147</f>
        <v/>
      </c>
      <c r="AP147" s="548">
        <f>IF(G147&gt;0,MAX(U147,AB147),N147)</f>
        <v/>
      </c>
    </row>
    <row r="148" ht="15.75" customFormat="1" customHeight="1" s="120">
      <c r="B148" s="551">
        <f>B125</f>
        <v/>
      </c>
      <c r="C148" s="552">
        <f>C125</f>
        <v/>
      </c>
      <c r="D148" s="551">
        <f>$D125</f>
        <v/>
      </c>
      <c r="E148" s="553">
        <f>E125</f>
        <v/>
      </c>
      <c r="F148" s="554">
        <f>F125*(1+Dashboard!$P$12)</f>
        <v/>
      </c>
      <c r="G148" s="555">
        <f>G125*(1+Dashboard!$P$11)</f>
        <v/>
      </c>
      <c r="H148" s="549">
        <f>+G148-F148</f>
        <v/>
      </c>
      <c r="I148" s="556">
        <f>I125*(1+Dashboard!$P$11)</f>
        <v/>
      </c>
      <c r="J148" s="557">
        <f>I148-F148</f>
        <v/>
      </c>
      <c r="K148" s="558">
        <f>K125*(1+Dashboard!$P$11)</f>
        <v/>
      </c>
      <c r="L148" s="559">
        <f>M148+F148</f>
        <v/>
      </c>
      <c r="M148" s="559">
        <f>M125*(1+Dashboard!$P$11)</f>
        <v/>
      </c>
      <c r="N148" s="548">
        <f>((M148*D148)*12)</f>
        <v/>
      </c>
      <c r="P148" s="545">
        <f>B148</f>
        <v/>
      </c>
      <c r="Q148" s="550">
        <f>C148</f>
        <v/>
      </c>
      <c r="R148" s="545">
        <f>D148</f>
        <v/>
      </c>
      <c r="S148" s="546">
        <f>E148</f>
        <v/>
      </c>
      <c r="T148" s="547">
        <f>F148</f>
        <v/>
      </c>
      <c r="U148" s="548">
        <f>((M148*R148)*12)</f>
        <v/>
      </c>
      <c r="W148" s="545">
        <f>B148</f>
        <v/>
      </c>
      <c r="X148" s="550">
        <f>C148</f>
        <v/>
      </c>
      <c r="Y148" s="545">
        <f>D148</f>
        <v/>
      </c>
      <c r="Z148" s="546">
        <f>E148</f>
        <v/>
      </c>
      <c r="AA148" s="547">
        <f>F148</f>
        <v/>
      </c>
      <c r="AB148" s="549">
        <f>((H148*Y148)*12)</f>
        <v/>
      </c>
      <c r="AD148" s="545">
        <f>B148</f>
        <v/>
      </c>
      <c r="AE148" s="550">
        <f>C148</f>
        <v/>
      </c>
      <c r="AF148" s="545">
        <f>D148</f>
        <v/>
      </c>
      <c r="AG148" s="546">
        <f>E148</f>
        <v/>
      </c>
      <c r="AH148" s="547">
        <f>F148</f>
        <v/>
      </c>
      <c r="AI148" s="548">
        <f>+MAX(U148,AB148)</f>
        <v/>
      </c>
      <c r="AK148" s="545">
        <f>B148</f>
        <v/>
      </c>
      <c r="AL148" s="550">
        <f>C148</f>
        <v/>
      </c>
      <c r="AM148" s="545">
        <f>D148</f>
        <v/>
      </c>
      <c r="AN148" s="546">
        <f>E148</f>
        <v/>
      </c>
      <c r="AO148" s="547">
        <f>F148</f>
        <v/>
      </c>
      <c r="AP148" s="548">
        <f>IF(G148&gt;0,MAX(U148,AB148),N148)</f>
        <v/>
      </c>
    </row>
    <row r="149" ht="15.75" customFormat="1" customHeight="1" s="120">
      <c r="B149" s="551">
        <f>B126</f>
        <v/>
      </c>
      <c r="C149" s="552">
        <f>C126</f>
        <v/>
      </c>
      <c r="D149" s="551">
        <f>$D126</f>
        <v/>
      </c>
      <c r="E149" s="553">
        <f>E126</f>
        <v/>
      </c>
      <c r="F149" s="554">
        <f>F126*(1+Dashboard!$P$12)</f>
        <v/>
      </c>
      <c r="G149" s="555">
        <f>G126*(1+Dashboard!$P$11)</f>
        <v/>
      </c>
      <c r="H149" s="549">
        <f>+G149-F149</f>
        <v/>
      </c>
      <c r="I149" s="556">
        <f>I126*(1+Dashboard!$P$11)</f>
        <v/>
      </c>
      <c r="J149" s="557">
        <f>I149-F149</f>
        <v/>
      </c>
      <c r="K149" s="558">
        <f>K126*(1+Dashboard!$P$11)</f>
        <v/>
      </c>
      <c r="L149" s="559">
        <f>M149+F149</f>
        <v/>
      </c>
      <c r="M149" s="559">
        <f>M126*(1+Dashboard!$P$11)</f>
        <v/>
      </c>
      <c r="N149" s="548">
        <f>((M149*D149)*12)</f>
        <v/>
      </c>
      <c r="P149" s="545">
        <f>B149</f>
        <v/>
      </c>
      <c r="Q149" s="550">
        <f>C149</f>
        <v/>
      </c>
      <c r="R149" s="545">
        <f>D149</f>
        <v/>
      </c>
      <c r="S149" s="546">
        <f>E149</f>
        <v/>
      </c>
      <c r="T149" s="547">
        <f>F149</f>
        <v/>
      </c>
      <c r="U149" s="548">
        <f>((M149*R149)*12)</f>
        <v/>
      </c>
      <c r="W149" s="545">
        <f>B149</f>
        <v/>
      </c>
      <c r="X149" s="550">
        <f>C149</f>
        <v/>
      </c>
      <c r="Y149" s="545">
        <f>D149</f>
        <v/>
      </c>
      <c r="Z149" s="546">
        <f>E149</f>
        <v/>
      </c>
      <c r="AA149" s="547">
        <f>F149</f>
        <v/>
      </c>
      <c r="AB149" s="549">
        <f>((H149*Y149)*12)</f>
        <v/>
      </c>
      <c r="AD149" s="545">
        <f>B149</f>
        <v/>
      </c>
      <c r="AE149" s="550">
        <f>C149</f>
        <v/>
      </c>
      <c r="AF149" s="545">
        <f>D149</f>
        <v/>
      </c>
      <c r="AG149" s="546">
        <f>E149</f>
        <v/>
      </c>
      <c r="AH149" s="547">
        <f>F149</f>
        <v/>
      </c>
      <c r="AI149" s="548">
        <f>+MAX(U149,AB149)</f>
        <v/>
      </c>
      <c r="AK149" s="545">
        <f>B149</f>
        <v/>
      </c>
      <c r="AL149" s="550">
        <f>C149</f>
        <v/>
      </c>
      <c r="AM149" s="545">
        <f>D149</f>
        <v/>
      </c>
      <c r="AN149" s="546">
        <f>E149</f>
        <v/>
      </c>
      <c r="AO149" s="547">
        <f>F149</f>
        <v/>
      </c>
      <c r="AP149" s="548">
        <f>IF(G149&gt;0,MAX(U149,AB149),N149)</f>
        <v/>
      </c>
    </row>
    <row r="150" ht="15.75" customFormat="1" customHeight="1" s="120">
      <c r="B150" s="551">
        <f>B127</f>
        <v/>
      </c>
      <c r="C150" s="552">
        <f>C127</f>
        <v/>
      </c>
      <c r="D150" s="551">
        <f>$D127</f>
        <v/>
      </c>
      <c r="E150" s="553">
        <f>E127</f>
        <v/>
      </c>
      <c r="F150" s="554">
        <f>F127*(1+Dashboard!$P$12)</f>
        <v/>
      </c>
      <c r="G150" s="555">
        <f>G127*(1+Dashboard!$P$11)</f>
        <v/>
      </c>
      <c r="H150" s="549">
        <f>+G150-F150</f>
        <v/>
      </c>
      <c r="I150" s="556">
        <f>I127*(1+Dashboard!$P$11)</f>
        <v/>
      </c>
      <c r="J150" s="557">
        <f>I150-F150</f>
        <v/>
      </c>
      <c r="K150" s="558">
        <f>K127*(1+Dashboard!$P$11)</f>
        <v/>
      </c>
      <c r="L150" s="559">
        <f>M150+F150</f>
        <v/>
      </c>
      <c r="M150" s="559">
        <f>M127*(1+Dashboard!$P$11)</f>
        <v/>
      </c>
      <c r="N150" s="548">
        <f>((M150*D150)*12)</f>
        <v/>
      </c>
      <c r="P150" s="545">
        <f>B150</f>
        <v/>
      </c>
      <c r="Q150" s="550">
        <f>C150</f>
        <v/>
      </c>
      <c r="R150" s="545">
        <f>D150</f>
        <v/>
      </c>
      <c r="S150" s="546">
        <f>E150</f>
        <v/>
      </c>
      <c r="T150" s="547">
        <f>F150</f>
        <v/>
      </c>
      <c r="U150" s="548">
        <f>((M150*R150)*12)</f>
        <v/>
      </c>
      <c r="W150" s="545">
        <f>B150</f>
        <v/>
      </c>
      <c r="X150" s="550">
        <f>C150</f>
        <v/>
      </c>
      <c r="Y150" s="545">
        <f>D150</f>
        <v/>
      </c>
      <c r="Z150" s="546">
        <f>E150</f>
        <v/>
      </c>
      <c r="AA150" s="547">
        <f>F150</f>
        <v/>
      </c>
      <c r="AB150" s="549">
        <f>((H150*Y150)*12)</f>
        <v/>
      </c>
      <c r="AD150" s="545">
        <f>B150</f>
        <v/>
      </c>
      <c r="AE150" s="550">
        <f>C150</f>
        <v/>
      </c>
      <c r="AF150" s="545">
        <f>D150</f>
        <v/>
      </c>
      <c r="AG150" s="546">
        <f>E150</f>
        <v/>
      </c>
      <c r="AH150" s="547">
        <f>F150</f>
        <v/>
      </c>
      <c r="AI150" s="548">
        <f>+MAX(U150,AB150)</f>
        <v/>
      </c>
      <c r="AK150" s="545">
        <f>B150</f>
        <v/>
      </c>
      <c r="AL150" s="550">
        <f>C150</f>
        <v/>
      </c>
      <c r="AM150" s="545">
        <f>D150</f>
        <v/>
      </c>
      <c r="AN150" s="546">
        <f>E150</f>
        <v/>
      </c>
      <c r="AO150" s="547">
        <f>F150</f>
        <v/>
      </c>
      <c r="AP150" s="548">
        <f>IF(G150&gt;0,MAX(U150,AB150),N150)</f>
        <v/>
      </c>
    </row>
    <row r="151" ht="15.75" customFormat="1" customHeight="1" s="120">
      <c r="B151" s="551">
        <f>B128</f>
        <v/>
      </c>
      <c r="C151" s="552">
        <f>C128</f>
        <v/>
      </c>
      <c r="D151" s="551">
        <f>$D128</f>
        <v/>
      </c>
      <c r="E151" s="553">
        <f>E128</f>
        <v/>
      </c>
      <c r="F151" s="554">
        <f>F128*(1+Dashboard!$P$12)</f>
        <v/>
      </c>
      <c r="G151" s="555">
        <f>G128*(1+Dashboard!$P$11)</f>
        <v/>
      </c>
      <c r="H151" s="549">
        <f>+G151-F151</f>
        <v/>
      </c>
      <c r="I151" s="556">
        <f>I128*(1+Dashboard!$P$11)</f>
        <v/>
      </c>
      <c r="J151" s="557">
        <f>I151-F151</f>
        <v/>
      </c>
      <c r="K151" s="558">
        <f>K128*(1+Dashboard!$P$11)</f>
        <v/>
      </c>
      <c r="L151" s="559">
        <f>M151+F151</f>
        <v/>
      </c>
      <c r="M151" s="559">
        <f>M128*(1+Dashboard!$P$11)</f>
        <v/>
      </c>
      <c r="N151" s="548">
        <f>((M151*D151)*12)</f>
        <v/>
      </c>
      <c r="P151" s="545">
        <f>B151</f>
        <v/>
      </c>
      <c r="Q151" s="550">
        <f>C151</f>
        <v/>
      </c>
      <c r="R151" s="545">
        <f>D151</f>
        <v/>
      </c>
      <c r="S151" s="546">
        <f>E151</f>
        <v/>
      </c>
      <c r="T151" s="547">
        <f>F151</f>
        <v/>
      </c>
      <c r="U151" s="548">
        <f>((M151*R151)*12)</f>
        <v/>
      </c>
      <c r="W151" s="545">
        <f>B151</f>
        <v/>
      </c>
      <c r="X151" s="550">
        <f>C151</f>
        <v/>
      </c>
      <c r="Y151" s="545">
        <f>D151</f>
        <v/>
      </c>
      <c r="Z151" s="546">
        <f>E151</f>
        <v/>
      </c>
      <c r="AA151" s="547">
        <f>F151</f>
        <v/>
      </c>
      <c r="AB151" s="549">
        <f>((H151*Y151)*12)</f>
        <v/>
      </c>
      <c r="AD151" s="545">
        <f>B151</f>
        <v/>
      </c>
      <c r="AE151" s="550">
        <f>C151</f>
        <v/>
      </c>
      <c r="AF151" s="545">
        <f>D151</f>
        <v/>
      </c>
      <c r="AG151" s="546">
        <f>E151</f>
        <v/>
      </c>
      <c r="AH151" s="547">
        <f>F151</f>
        <v/>
      </c>
      <c r="AI151" s="548">
        <f>+MAX(U151,AB151)</f>
        <v/>
      </c>
      <c r="AK151" s="545">
        <f>B151</f>
        <v/>
      </c>
      <c r="AL151" s="550">
        <f>C151</f>
        <v/>
      </c>
      <c r="AM151" s="545">
        <f>D151</f>
        <v/>
      </c>
      <c r="AN151" s="546">
        <f>E151</f>
        <v/>
      </c>
      <c r="AO151" s="547">
        <f>F151</f>
        <v/>
      </c>
      <c r="AP151" s="548">
        <f>IF(G151&gt;0,MAX(U151,AB151),N151)</f>
        <v/>
      </c>
    </row>
    <row r="152" ht="15.75" customFormat="1" customHeight="1" s="120">
      <c r="B152" s="551">
        <f>B129</f>
        <v/>
      </c>
      <c r="C152" s="552">
        <f>C129</f>
        <v/>
      </c>
      <c r="D152" s="551">
        <f>$D129</f>
        <v/>
      </c>
      <c r="E152" s="553">
        <f>E129</f>
        <v/>
      </c>
      <c r="F152" s="554">
        <f>F129*(1+Dashboard!$P$12)</f>
        <v/>
      </c>
      <c r="G152" s="555">
        <f>G129*(1+Dashboard!$P$11)</f>
        <v/>
      </c>
      <c r="H152" s="549">
        <f>+G152-F152</f>
        <v/>
      </c>
      <c r="I152" s="556">
        <f>I129*(1+Dashboard!$P$11)</f>
        <v/>
      </c>
      <c r="J152" s="557">
        <f>I152-F152</f>
        <v/>
      </c>
      <c r="K152" s="558">
        <f>K129*(1+Dashboard!$P$11)</f>
        <v/>
      </c>
      <c r="L152" s="559">
        <f>M152+F152</f>
        <v/>
      </c>
      <c r="M152" s="559">
        <f>M129*(1+Dashboard!$P$11)</f>
        <v/>
      </c>
      <c r="N152" s="548">
        <f>((M152*D152)*12)</f>
        <v/>
      </c>
      <c r="P152" s="545">
        <f>B152</f>
        <v/>
      </c>
      <c r="Q152" s="550">
        <f>C152</f>
        <v/>
      </c>
      <c r="R152" s="545">
        <f>D152</f>
        <v/>
      </c>
      <c r="S152" s="546">
        <f>E152</f>
        <v/>
      </c>
      <c r="T152" s="547">
        <f>F152</f>
        <v/>
      </c>
      <c r="U152" s="548">
        <f>((M152*R152)*12)</f>
        <v/>
      </c>
      <c r="W152" s="545">
        <f>B152</f>
        <v/>
      </c>
      <c r="X152" s="550">
        <f>C152</f>
        <v/>
      </c>
      <c r="Y152" s="545">
        <f>D152</f>
        <v/>
      </c>
      <c r="Z152" s="546">
        <f>E152</f>
        <v/>
      </c>
      <c r="AA152" s="547">
        <f>F152</f>
        <v/>
      </c>
      <c r="AB152" s="549">
        <f>((H152*Y152)*12)</f>
        <v/>
      </c>
      <c r="AD152" s="545">
        <f>B152</f>
        <v/>
      </c>
      <c r="AE152" s="550">
        <f>C152</f>
        <v/>
      </c>
      <c r="AF152" s="545">
        <f>D152</f>
        <v/>
      </c>
      <c r="AG152" s="546">
        <f>E152</f>
        <v/>
      </c>
      <c r="AH152" s="547">
        <f>F152</f>
        <v/>
      </c>
      <c r="AI152" s="548">
        <f>+MAX(U152,AB152)</f>
        <v/>
      </c>
      <c r="AK152" s="545">
        <f>B152</f>
        <v/>
      </c>
      <c r="AL152" s="550">
        <f>C152</f>
        <v/>
      </c>
      <c r="AM152" s="545">
        <f>D152</f>
        <v/>
      </c>
      <c r="AN152" s="546">
        <f>E152</f>
        <v/>
      </c>
      <c r="AO152" s="547">
        <f>F152</f>
        <v/>
      </c>
      <c r="AP152" s="548">
        <f>IF(G152&gt;0,MAX(U152,AB152),N152)</f>
        <v/>
      </c>
    </row>
    <row r="153" ht="15.75" customFormat="1" customHeight="1" s="120">
      <c r="B153" s="551">
        <f>B130</f>
        <v/>
      </c>
      <c r="C153" s="552">
        <f>C130</f>
        <v/>
      </c>
      <c r="D153" s="551">
        <f>$D130</f>
        <v/>
      </c>
      <c r="E153" s="553">
        <f>E130</f>
        <v/>
      </c>
      <c r="F153" s="554">
        <f>F130*(1+Dashboard!$P$12)</f>
        <v/>
      </c>
      <c r="G153" s="555">
        <f>G130*(1+Dashboard!$P$11)</f>
        <v/>
      </c>
      <c r="H153" s="549">
        <f>+G153-F153</f>
        <v/>
      </c>
      <c r="I153" s="556">
        <f>I130*(1+Dashboard!$P$11)</f>
        <v/>
      </c>
      <c r="J153" s="557">
        <f>I153-F153</f>
        <v/>
      </c>
      <c r="K153" s="558">
        <f>K130*(1+Dashboard!$P$11)</f>
        <v/>
      </c>
      <c r="L153" s="559">
        <f>M153+F153</f>
        <v/>
      </c>
      <c r="M153" s="559">
        <f>M130*(1+Dashboard!$P$11)</f>
        <v/>
      </c>
      <c r="N153" s="548">
        <f>((M153*D153)*12)</f>
        <v/>
      </c>
      <c r="P153" s="545">
        <f>B153</f>
        <v/>
      </c>
      <c r="Q153" s="550">
        <f>C153</f>
        <v/>
      </c>
      <c r="R153" s="545">
        <f>D153</f>
        <v/>
      </c>
      <c r="S153" s="546">
        <f>E153</f>
        <v/>
      </c>
      <c r="T153" s="547">
        <f>F153</f>
        <v/>
      </c>
      <c r="U153" s="548">
        <f>((M153*R153)*12)</f>
        <v/>
      </c>
      <c r="W153" s="545">
        <f>B153</f>
        <v/>
      </c>
      <c r="X153" s="550">
        <f>C153</f>
        <v/>
      </c>
      <c r="Y153" s="545">
        <f>D153</f>
        <v/>
      </c>
      <c r="Z153" s="546">
        <f>E153</f>
        <v/>
      </c>
      <c r="AA153" s="547">
        <f>F153</f>
        <v/>
      </c>
      <c r="AB153" s="549">
        <f>((H153*Y153)*12)</f>
        <v/>
      </c>
      <c r="AD153" s="545">
        <f>B153</f>
        <v/>
      </c>
      <c r="AE153" s="550">
        <f>C153</f>
        <v/>
      </c>
      <c r="AF153" s="545">
        <f>D153</f>
        <v/>
      </c>
      <c r="AG153" s="546">
        <f>E153</f>
        <v/>
      </c>
      <c r="AH153" s="547">
        <f>F153</f>
        <v/>
      </c>
      <c r="AI153" s="548">
        <f>+MAX(U153,AB153)</f>
        <v/>
      </c>
      <c r="AK153" s="545">
        <f>B153</f>
        <v/>
      </c>
      <c r="AL153" s="550">
        <f>C153</f>
        <v/>
      </c>
      <c r="AM153" s="545">
        <f>D153</f>
        <v/>
      </c>
      <c r="AN153" s="546">
        <f>E153</f>
        <v/>
      </c>
      <c r="AO153" s="547">
        <f>F153</f>
        <v/>
      </c>
      <c r="AP153" s="548">
        <f>IF(G153&gt;0,MAX(U153,AB153),N153)</f>
        <v/>
      </c>
    </row>
    <row r="154" ht="15.75" customFormat="1" customHeight="1" s="120">
      <c r="B154" s="551">
        <f>B131</f>
        <v/>
      </c>
      <c r="C154" s="552">
        <f>C131</f>
        <v/>
      </c>
      <c r="D154" s="551">
        <f>$D131</f>
        <v/>
      </c>
      <c r="E154" s="553">
        <f>E131</f>
        <v/>
      </c>
      <c r="F154" s="554">
        <f>F131*(1+Dashboard!$P$12)</f>
        <v/>
      </c>
      <c r="G154" s="555">
        <f>G131*(1+Dashboard!$P$11)</f>
        <v/>
      </c>
      <c r="H154" s="549">
        <f>+G154-F154</f>
        <v/>
      </c>
      <c r="I154" s="556">
        <f>I131*(1+Dashboard!$P$11)</f>
        <v/>
      </c>
      <c r="J154" s="557">
        <f>I154-F154</f>
        <v/>
      </c>
      <c r="K154" s="558">
        <f>K131*(1+Dashboard!$P$11)</f>
        <v/>
      </c>
      <c r="L154" s="559">
        <f>M154+F154</f>
        <v/>
      </c>
      <c r="M154" s="559">
        <f>M131*(1+Dashboard!$P$11)</f>
        <v/>
      </c>
      <c r="N154" s="548">
        <f>((M154*D154)*12)</f>
        <v/>
      </c>
      <c r="P154" s="545">
        <f>B154</f>
        <v/>
      </c>
      <c r="Q154" s="550">
        <f>C154</f>
        <v/>
      </c>
      <c r="R154" s="545">
        <f>D154</f>
        <v/>
      </c>
      <c r="S154" s="546">
        <f>E154</f>
        <v/>
      </c>
      <c r="T154" s="547">
        <f>F154</f>
        <v/>
      </c>
      <c r="U154" s="548">
        <f>((M154*R154)*12)</f>
        <v/>
      </c>
      <c r="W154" s="545">
        <f>B154</f>
        <v/>
      </c>
      <c r="X154" s="550">
        <f>C154</f>
        <v/>
      </c>
      <c r="Y154" s="545">
        <f>D154</f>
        <v/>
      </c>
      <c r="Z154" s="546">
        <f>E154</f>
        <v/>
      </c>
      <c r="AA154" s="547">
        <f>F154</f>
        <v/>
      </c>
      <c r="AB154" s="549">
        <f>((H154*Y154)*12)</f>
        <v/>
      </c>
      <c r="AD154" s="545">
        <f>B154</f>
        <v/>
      </c>
      <c r="AE154" s="550">
        <f>C154</f>
        <v/>
      </c>
      <c r="AF154" s="545">
        <f>D154</f>
        <v/>
      </c>
      <c r="AG154" s="546">
        <f>E154</f>
        <v/>
      </c>
      <c r="AH154" s="547">
        <f>F154</f>
        <v/>
      </c>
      <c r="AI154" s="548">
        <f>+MAX(U154,AB154)</f>
        <v/>
      </c>
      <c r="AK154" s="545">
        <f>B154</f>
        <v/>
      </c>
      <c r="AL154" s="550">
        <f>C154</f>
        <v/>
      </c>
      <c r="AM154" s="545">
        <f>D154</f>
        <v/>
      </c>
      <c r="AN154" s="546">
        <f>E154</f>
        <v/>
      </c>
      <c r="AO154" s="547">
        <f>F154</f>
        <v/>
      </c>
      <c r="AP154" s="548">
        <f>IF(G154&gt;0,MAX(U154,AB154),N154)</f>
        <v/>
      </c>
    </row>
    <row r="155" ht="15.75" customFormat="1" customHeight="1" s="120">
      <c r="B155" s="551">
        <f>B132</f>
        <v/>
      </c>
      <c r="C155" s="552">
        <f>C132</f>
        <v/>
      </c>
      <c r="D155" s="551">
        <f>$D132</f>
        <v/>
      </c>
      <c r="E155" s="553">
        <f>E132</f>
        <v/>
      </c>
      <c r="F155" s="554">
        <f>F132*(1+Dashboard!$P$12)</f>
        <v/>
      </c>
      <c r="G155" s="555">
        <f>G132*(1+Dashboard!$P$11)</f>
        <v/>
      </c>
      <c r="H155" s="549">
        <f>+G155-F155</f>
        <v/>
      </c>
      <c r="I155" s="556">
        <f>I132*(1+Dashboard!$P$11)</f>
        <v/>
      </c>
      <c r="J155" s="557">
        <f>I155-F155</f>
        <v/>
      </c>
      <c r="K155" s="558">
        <f>K132*(1+Dashboard!$P$11)</f>
        <v/>
      </c>
      <c r="L155" s="559">
        <f>M155+F155</f>
        <v/>
      </c>
      <c r="M155" s="559">
        <f>M132*(1+Dashboard!$P$11)</f>
        <v/>
      </c>
      <c r="N155" s="548">
        <f>((M155*D155)*12)</f>
        <v/>
      </c>
      <c r="P155" s="545">
        <f>B155</f>
        <v/>
      </c>
      <c r="Q155" s="550">
        <f>C155</f>
        <v/>
      </c>
      <c r="R155" s="545">
        <f>D155</f>
        <v/>
      </c>
      <c r="S155" s="546">
        <f>E155</f>
        <v/>
      </c>
      <c r="T155" s="547">
        <f>F155</f>
        <v/>
      </c>
      <c r="U155" s="548">
        <f>((M155*R155)*12)</f>
        <v/>
      </c>
      <c r="W155" s="545">
        <f>B155</f>
        <v/>
      </c>
      <c r="X155" s="550">
        <f>C155</f>
        <v/>
      </c>
      <c r="Y155" s="545">
        <f>D155</f>
        <v/>
      </c>
      <c r="Z155" s="546">
        <f>E155</f>
        <v/>
      </c>
      <c r="AA155" s="547">
        <f>F155</f>
        <v/>
      </c>
      <c r="AB155" s="549">
        <f>((H155*Y155)*12)</f>
        <v/>
      </c>
      <c r="AD155" s="545">
        <f>B155</f>
        <v/>
      </c>
      <c r="AE155" s="550">
        <f>C155</f>
        <v/>
      </c>
      <c r="AF155" s="545">
        <f>D155</f>
        <v/>
      </c>
      <c r="AG155" s="546">
        <f>E155</f>
        <v/>
      </c>
      <c r="AH155" s="547">
        <f>F155</f>
        <v/>
      </c>
      <c r="AI155" s="548">
        <f>+MAX(U155,AB155)</f>
        <v/>
      </c>
      <c r="AK155" s="545">
        <f>B155</f>
        <v/>
      </c>
      <c r="AL155" s="550">
        <f>C155</f>
        <v/>
      </c>
      <c r="AM155" s="545">
        <f>D155</f>
        <v/>
      </c>
      <c r="AN155" s="546">
        <f>E155</f>
        <v/>
      </c>
      <c r="AO155" s="547">
        <f>F155</f>
        <v/>
      </c>
      <c r="AP155" s="548">
        <f>IF(G155&gt;0,MAX(U155,AB155),N155)</f>
        <v/>
      </c>
    </row>
    <row r="156" ht="15.75" customFormat="1" customHeight="1" s="120">
      <c r="B156" s="551">
        <f>B133</f>
        <v/>
      </c>
      <c r="C156" s="552">
        <f>C133</f>
        <v/>
      </c>
      <c r="D156" s="551">
        <f>$D133</f>
        <v/>
      </c>
      <c r="E156" s="553">
        <f>E133</f>
        <v/>
      </c>
      <c r="F156" s="554">
        <f>F133*(1+Dashboard!$P$12)</f>
        <v/>
      </c>
      <c r="G156" s="555">
        <f>G133*(1+Dashboard!$P$11)</f>
        <v/>
      </c>
      <c r="H156" s="549">
        <f>+G156-F156</f>
        <v/>
      </c>
      <c r="I156" s="556">
        <f>I133*(1+Dashboard!$P$11)</f>
        <v/>
      </c>
      <c r="J156" s="557">
        <f>I156-F156</f>
        <v/>
      </c>
      <c r="K156" s="558">
        <f>K133*(1+Dashboard!$P$11)</f>
        <v/>
      </c>
      <c r="L156" s="559">
        <f>M156+F156</f>
        <v/>
      </c>
      <c r="M156" s="559">
        <f>M133*(1+Dashboard!$P$11)</f>
        <v/>
      </c>
      <c r="N156" s="548">
        <f>((M156*D156)*12)</f>
        <v/>
      </c>
      <c r="P156" s="545">
        <f>B156</f>
        <v/>
      </c>
      <c r="Q156" s="550">
        <f>C156</f>
        <v/>
      </c>
      <c r="R156" s="545">
        <f>D156</f>
        <v/>
      </c>
      <c r="S156" s="546">
        <f>E156</f>
        <v/>
      </c>
      <c r="T156" s="547">
        <f>F156</f>
        <v/>
      </c>
      <c r="U156" s="548">
        <f>((M156*R156)*12)</f>
        <v/>
      </c>
      <c r="W156" s="545">
        <f>B156</f>
        <v/>
      </c>
      <c r="X156" s="550">
        <f>C156</f>
        <v/>
      </c>
      <c r="Y156" s="545">
        <f>D156</f>
        <v/>
      </c>
      <c r="Z156" s="546">
        <f>E156</f>
        <v/>
      </c>
      <c r="AA156" s="547">
        <f>F156</f>
        <v/>
      </c>
      <c r="AB156" s="549">
        <f>((H156*Y156)*12)</f>
        <v/>
      </c>
      <c r="AD156" s="545">
        <f>B156</f>
        <v/>
      </c>
      <c r="AE156" s="550">
        <f>C156</f>
        <v/>
      </c>
      <c r="AF156" s="545">
        <f>D156</f>
        <v/>
      </c>
      <c r="AG156" s="546">
        <f>E156</f>
        <v/>
      </c>
      <c r="AH156" s="547">
        <f>F156</f>
        <v/>
      </c>
      <c r="AI156" s="548">
        <f>+MAX(U156,AB156)</f>
        <v/>
      </c>
      <c r="AK156" s="545">
        <f>B156</f>
        <v/>
      </c>
      <c r="AL156" s="550">
        <f>C156</f>
        <v/>
      </c>
      <c r="AM156" s="545">
        <f>D156</f>
        <v/>
      </c>
      <c r="AN156" s="546">
        <f>E156</f>
        <v/>
      </c>
      <c r="AO156" s="547">
        <f>F156</f>
        <v/>
      </c>
      <c r="AP156" s="548">
        <f>IF(G156&gt;0,MAX(U156,AB156),N156)</f>
        <v/>
      </c>
    </row>
    <row r="157" ht="15.75" customFormat="1" customHeight="1" s="120">
      <c r="B157" s="551">
        <f>B134</f>
        <v/>
      </c>
      <c r="C157" s="552">
        <f>C134</f>
        <v/>
      </c>
      <c r="D157" s="551">
        <f>$D134</f>
        <v/>
      </c>
      <c r="E157" s="553">
        <f>E134</f>
        <v/>
      </c>
      <c r="F157" s="554">
        <f>F134*(1+Dashboard!$P$12)</f>
        <v/>
      </c>
      <c r="G157" s="555">
        <f>G134*(1+Dashboard!$P$11)</f>
        <v/>
      </c>
      <c r="H157" s="549">
        <f>+G157-F157</f>
        <v/>
      </c>
      <c r="I157" s="556">
        <f>I134*(1+Dashboard!$P$11)</f>
        <v/>
      </c>
      <c r="J157" s="557">
        <f>I157-F157</f>
        <v/>
      </c>
      <c r="K157" s="558">
        <f>K134*(1+Dashboard!$P$11)</f>
        <v/>
      </c>
      <c r="L157" s="559">
        <f>M157+F157</f>
        <v/>
      </c>
      <c r="M157" s="559">
        <f>M134*(1+Dashboard!$P$11)</f>
        <v/>
      </c>
      <c r="N157" s="548">
        <f>((M157*D157)*12)</f>
        <v/>
      </c>
      <c r="P157" s="545">
        <f>B157</f>
        <v/>
      </c>
      <c r="Q157" s="550">
        <f>C157</f>
        <v/>
      </c>
      <c r="R157" s="545">
        <f>D157</f>
        <v/>
      </c>
      <c r="S157" s="546">
        <f>E157</f>
        <v/>
      </c>
      <c r="T157" s="547">
        <f>F157</f>
        <v/>
      </c>
      <c r="U157" s="548">
        <f>((M157*R157)*12)</f>
        <v/>
      </c>
      <c r="W157" s="545">
        <f>B157</f>
        <v/>
      </c>
      <c r="X157" s="550">
        <f>C157</f>
        <v/>
      </c>
      <c r="Y157" s="545">
        <f>D157</f>
        <v/>
      </c>
      <c r="Z157" s="546">
        <f>E157</f>
        <v/>
      </c>
      <c r="AA157" s="547">
        <f>F157</f>
        <v/>
      </c>
      <c r="AB157" s="549">
        <f>((H157*Y157)*12)</f>
        <v/>
      </c>
      <c r="AD157" s="545">
        <f>B157</f>
        <v/>
      </c>
      <c r="AE157" s="550">
        <f>C157</f>
        <v/>
      </c>
      <c r="AF157" s="545">
        <f>D157</f>
        <v/>
      </c>
      <c r="AG157" s="546">
        <f>E157</f>
        <v/>
      </c>
      <c r="AH157" s="547">
        <f>F157</f>
        <v/>
      </c>
      <c r="AI157" s="548">
        <f>+MAX(U157,AB157)</f>
        <v/>
      </c>
      <c r="AK157" s="545">
        <f>B157</f>
        <v/>
      </c>
      <c r="AL157" s="550">
        <f>C157</f>
        <v/>
      </c>
      <c r="AM157" s="545">
        <f>D157</f>
        <v/>
      </c>
      <c r="AN157" s="546">
        <f>E157</f>
        <v/>
      </c>
      <c r="AO157" s="547">
        <f>F157</f>
        <v/>
      </c>
      <c r="AP157" s="548">
        <f>IF(G157&gt;0,MAX(U157,AB157),N157)</f>
        <v/>
      </c>
    </row>
    <row r="158" ht="15.75" customFormat="1" customHeight="1" s="120">
      <c r="B158" s="551">
        <f>B135</f>
        <v/>
      </c>
      <c r="C158" s="552">
        <f>C135</f>
        <v/>
      </c>
      <c r="D158" s="551">
        <f>$D135</f>
        <v/>
      </c>
      <c r="E158" s="553">
        <f>E135</f>
        <v/>
      </c>
      <c r="F158" s="554">
        <f>F135*(1+Dashboard!$P$12)</f>
        <v/>
      </c>
      <c r="G158" s="555">
        <f>G135*(1+Dashboard!$P$11)</f>
        <v/>
      </c>
      <c r="H158" s="549">
        <f>+G158-F158</f>
        <v/>
      </c>
      <c r="I158" s="556">
        <f>I135*(1+Dashboard!$P$11)</f>
        <v/>
      </c>
      <c r="J158" s="557">
        <f>I158-F158</f>
        <v/>
      </c>
      <c r="K158" s="558">
        <f>K135*(1+Dashboard!$P$11)</f>
        <v/>
      </c>
      <c r="L158" s="559">
        <f>M158+F158</f>
        <v/>
      </c>
      <c r="M158" s="559">
        <f>M135*(1+Dashboard!$P$11)</f>
        <v/>
      </c>
      <c r="N158" s="548">
        <f>((M158*D158)*12)</f>
        <v/>
      </c>
      <c r="P158" s="545">
        <f>B158</f>
        <v/>
      </c>
      <c r="Q158" s="550">
        <f>C158</f>
        <v/>
      </c>
      <c r="R158" s="545">
        <f>D158</f>
        <v/>
      </c>
      <c r="S158" s="546">
        <f>E158</f>
        <v/>
      </c>
      <c r="T158" s="547">
        <f>F158</f>
        <v/>
      </c>
      <c r="U158" s="548">
        <f>((M158*R158)*12)</f>
        <v/>
      </c>
      <c r="W158" s="545">
        <f>B158</f>
        <v/>
      </c>
      <c r="X158" s="550">
        <f>C158</f>
        <v/>
      </c>
      <c r="Y158" s="545">
        <f>D158</f>
        <v/>
      </c>
      <c r="Z158" s="546">
        <f>E158</f>
        <v/>
      </c>
      <c r="AA158" s="547">
        <f>F158</f>
        <v/>
      </c>
      <c r="AB158" s="549">
        <f>((H158*Y158)*12)</f>
        <v/>
      </c>
      <c r="AD158" s="545">
        <f>B158</f>
        <v/>
      </c>
      <c r="AE158" s="550">
        <f>C158</f>
        <v/>
      </c>
      <c r="AF158" s="545">
        <f>D158</f>
        <v/>
      </c>
      <c r="AG158" s="546">
        <f>E158</f>
        <v/>
      </c>
      <c r="AH158" s="547">
        <f>F158</f>
        <v/>
      </c>
      <c r="AI158" s="548">
        <f>+MAX(U158,AB158)</f>
        <v/>
      </c>
      <c r="AK158" s="545">
        <f>B158</f>
        <v/>
      </c>
      <c r="AL158" s="550">
        <f>C158</f>
        <v/>
      </c>
      <c r="AM158" s="545">
        <f>D158</f>
        <v/>
      </c>
      <c r="AN158" s="546">
        <f>E158</f>
        <v/>
      </c>
      <c r="AO158" s="547">
        <f>F158</f>
        <v/>
      </c>
      <c r="AP158" s="548">
        <f>IF(G158&gt;0,MAX(U158,AB158),N158)</f>
        <v/>
      </c>
    </row>
    <row r="159" ht="15.75" customFormat="1" customHeight="1" s="120">
      <c r="B159" s="551">
        <f>B136</f>
        <v/>
      </c>
      <c r="C159" s="552">
        <f>C136</f>
        <v/>
      </c>
      <c r="D159" s="551">
        <f>$D136</f>
        <v/>
      </c>
      <c r="E159" s="553">
        <f>E136</f>
        <v/>
      </c>
      <c r="F159" s="554">
        <f>F136*(1+Dashboard!$P$12)</f>
        <v/>
      </c>
      <c r="G159" s="555">
        <f>G136*(1+Dashboard!$P$11)</f>
        <v/>
      </c>
      <c r="H159" s="549">
        <f>+G159-F159</f>
        <v/>
      </c>
      <c r="I159" s="556">
        <f>I136*(1+Dashboard!$P$11)</f>
        <v/>
      </c>
      <c r="J159" s="557">
        <f>I159-F159</f>
        <v/>
      </c>
      <c r="K159" s="558">
        <f>K136*(1+Dashboard!$P$11)</f>
        <v/>
      </c>
      <c r="L159" s="559">
        <f>M159+F159</f>
        <v/>
      </c>
      <c r="M159" s="559">
        <f>M136*(1+Dashboard!$P$11)</f>
        <v/>
      </c>
      <c r="N159" s="548">
        <f>((M159*D159)*12)</f>
        <v/>
      </c>
      <c r="P159" s="545">
        <f>B159</f>
        <v/>
      </c>
      <c r="Q159" s="550">
        <f>C159</f>
        <v/>
      </c>
      <c r="R159" s="545">
        <f>D159</f>
        <v/>
      </c>
      <c r="S159" s="546">
        <f>E159</f>
        <v/>
      </c>
      <c r="T159" s="547">
        <f>F159</f>
        <v/>
      </c>
      <c r="U159" s="548">
        <f>((M159*R159)*12)</f>
        <v/>
      </c>
      <c r="W159" s="545">
        <f>B159</f>
        <v/>
      </c>
      <c r="X159" s="550">
        <f>C159</f>
        <v/>
      </c>
      <c r="Y159" s="545">
        <f>D159</f>
        <v/>
      </c>
      <c r="Z159" s="546">
        <f>E159</f>
        <v/>
      </c>
      <c r="AA159" s="547">
        <f>F159</f>
        <v/>
      </c>
      <c r="AB159" s="549">
        <f>((H159*Y159)*12)</f>
        <v/>
      </c>
      <c r="AD159" s="545">
        <f>B159</f>
        <v/>
      </c>
      <c r="AE159" s="550">
        <f>C159</f>
        <v/>
      </c>
      <c r="AF159" s="545">
        <f>D159</f>
        <v/>
      </c>
      <c r="AG159" s="546">
        <f>E159</f>
        <v/>
      </c>
      <c r="AH159" s="547">
        <f>F159</f>
        <v/>
      </c>
      <c r="AI159" s="548">
        <f>+MAX(U159,AB159)</f>
        <v/>
      </c>
      <c r="AK159" s="545">
        <f>B159</f>
        <v/>
      </c>
      <c r="AL159" s="550">
        <f>C159</f>
        <v/>
      </c>
      <c r="AM159" s="545">
        <f>D159</f>
        <v/>
      </c>
      <c r="AN159" s="546">
        <f>E159</f>
        <v/>
      </c>
      <c r="AO159" s="547">
        <f>F159</f>
        <v/>
      </c>
      <c r="AP159" s="548">
        <f>IF(G159&gt;0,MAX(U159,AB159),N159)</f>
        <v/>
      </c>
    </row>
    <row r="160" ht="15.75" customFormat="1" customHeight="1" s="120">
      <c r="B160" s="551">
        <f>B137</f>
        <v/>
      </c>
      <c r="C160" s="552">
        <f>C137</f>
        <v/>
      </c>
      <c r="D160" s="551">
        <f>$D137</f>
        <v/>
      </c>
      <c r="E160" s="553">
        <f>E137</f>
        <v/>
      </c>
      <c r="F160" s="554">
        <f>F137*(1+Dashboard!$P$12)</f>
        <v/>
      </c>
      <c r="G160" s="555">
        <f>G137*(1+Dashboard!$P$11)</f>
        <v/>
      </c>
      <c r="H160" s="549">
        <f>+G160-F160</f>
        <v/>
      </c>
      <c r="I160" s="556">
        <f>I137*(1+Dashboard!$P$11)</f>
        <v/>
      </c>
      <c r="J160" s="557">
        <f>I160-F160</f>
        <v/>
      </c>
      <c r="K160" s="558">
        <f>K137*(1+Dashboard!$P$11)</f>
        <v/>
      </c>
      <c r="L160" s="559">
        <f>M160+F160</f>
        <v/>
      </c>
      <c r="M160" s="559">
        <f>M137*(1+Dashboard!$P$11)</f>
        <v/>
      </c>
      <c r="N160" s="548">
        <f>((M160*D160)*12)</f>
        <v/>
      </c>
      <c r="P160" s="545">
        <f>B160</f>
        <v/>
      </c>
      <c r="Q160" s="550">
        <f>C160</f>
        <v/>
      </c>
      <c r="R160" s="545">
        <f>D160</f>
        <v/>
      </c>
      <c r="S160" s="546">
        <f>E160</f>
        <v/>
      </c>
      <c r="T160" s="547">
        <f>F160</f>
        <v/>
      </c>
      <c r="U160" s="548">
        <f>((M160*R160)*12)</f>
        <v/>
      </c>
      <c r="W160" s="545">
        <f>B160</f>
        <v/>
      </c>
      <c r="X160" s="550">
        <f>C160</f>
        <v/>
      </c>
      <c r="Y160" s="545">
        <f>D160</f>
        <v/>
      </c>
      <c r="Z160" s="546">
        <f>E160</f>
        <v/>
      </c>
      <c r="AA160" s="547">
        <f>F160</f>
        <v/>
      </c>
      <c r="AB160" s="549">
        <f>((H160*Y160)*12)</f>
        <v/>
      </c>
      <c r="AD160" s="545">
        <f>B160</f>
        <v/>
      </c>
      <c r="AE160" s="550">
        <f>C160</f>
        <v/>
      </c>
      <c r="AF160" s="545">
        <f>D160</f>
        <v/>
      </c>
      <c r="AG160" s="546">
        <f>E160</f>
        <v/>
      </c>
      <c r="AH160" s="547">
        <f>F160</f>
        <v/>
      </c>
      <c r="AI160" s="548">
        <f>+MAX(U160,AB160)</f>
        <v/>
      </c>
      <c r="AK160" s="545">
        <f>B160</f>
        <v/>
      </c>
      <c r="AL160" s="550">
        <f>C160</f>
        <v/>
      </c>
      <c r="AM160" s="545">
        <f>D160</f>
        <v/>
      </c>
      <c r="AN160" s="546">
        <f>E160</f>
        <v/>
      </c>
      <c r="AO160" s="547">
        <f>F160</f>
        <v/>
      </c>
      <c r="AP160" s="548">
        <f>IF(G160&gt;0,MAX(U160,AB160),N160)</f>
        <v/>
      </c>
    </row>
    <row r="161" ht="15.75" customFormat="1" customHeight="1" s="120">
      <c r="B161" s="551">
        <f>B138</f>
        <v/>
      </c>
      <c r="C161" s="552">
        <f>C138</f>
        <v/>
      </c>
      <c r="D161" s="551">
        <f>$D138</f>
        <v/>
      </c>
      <c r="E161" s="553">
        <f>E138</f>
        <v/>
      </c>
      <c r="F161" s="554">
        <f>F138*(1+Dashboard!$P$12)</f>
        <v/>
      </c>
      <c r="G161" s="555">
        <f>G138*(1+Dashboard!$P$11)</f>
        <v/>
      </c>
      <c r="H161" s="549">
        <f>+G161-F161</f>
        <v/>
      </c>
      <c r="I161" s="556">
        <f>I138*(1+Dashboard!$P$11)</f>
        <v/>
      </c>
      <c r="J161" s="557">
        <f>I161-F161</f>
        <v/>
      </c>
      <c r="K161" s="558">
        <f>K138*(1+Dashboard!$P$11)</f>
        <v/>
      </c>
      <c r="L161" s="559">
        <f>M161+F161</f>
        <v/>
      </c>
      <c r="M161" s="559">
        <f>M138*(1+Dashboard!$P$11)</f>
        <v/>
      </c>
      <c r="N161" s="548">
        <f>((M161*D161)*12)</f>
        <v/>
      </c>
      <c r="P161" s="545">
        <f>B161</f>
        <v/>
      </c>
      <c r="Q161" s="550">
        <f>C161</f>
        <v/>
      </c>
      <c r="R161" s="545">
        <f>D161</f>
        <v/>
      </c>
      <c r="S161" s="546">
        <f>E161</f>
        <v/>
      </c>
      <c r="T161" s="547">
        <f>F161</f>
        <v/>
      </c>
      <c r="U161" s="548">
        <f>((M161*R161)*12)</f>
        <v/>
      </c>
      <c r="W161" s="545">
        <f>B161</f>
        <v/>
      </c>
      <c r="X161" s="550">
        <f>C161</f>
        <v/>
      </c>
      <c r="Y161" s="545">
        <f>D161</f>
        <v/>
      </c>
      <c r="Z161" s="546">
        <f>E161</f>
        <v/>
      </c>
      <c r="AA161" s="547">
        <f>F161</f>
        <v/>
      </c>
      <c r="AB161" s="549">
        <f>((H161*Y161)*12)</f>
        <v/>
      </c>
      <c r="AD161" s="545">
        <f>B161</f>
        <v/>
      </c>
      <c r="AE161" s="550">
        <f>C161</f>
        <v/>
      </c>
      <c r="AF161" s="545">
        <f>D161</f>
        <v/>
      </c>
      <c r="AG161" s="546">
        <f>E161</f>
        <v/>
      </c>
      <c r="AH161" s="547">
        <f>F161</f>
        <v/>
      </c>
      <c r="AI161" s="548">
        <f>+MAX(U161,AB161)</f>
        <v/>
      </c>
      <c r="AK161" s="545">
        <f>B161</f>
        <v/>
      </c>
      <c r="AL161" s="550">
        <f>C161</f>
        <v/>
      </c>
      <c r="AM161" s="545">
        <f>D161</f>
        <v/>
      </c>
      <c r="AN161" s="546">
        <f>E161</f>
        <v/>
      </c>
      <c r="AO161" s="547">
        <f>F161</f>
        <v/>
      </c>
      <c r="AP161" s="548">
        <f>IF(G161&gt;0,MAX(U161,AB161),N161)</f>
        <v/>
      </c>
    </row>
    <row r="162" ht="15.75" customFormat="1" customHeight="1" s="120">
      <c r="B162" s="551">
        <f>B139</f>
        <v/>
      </c>
      <c r="C162" s="552">
        <f>C139</f>
        <v/>
      </c>
      <c r="D162" s="551">
        <f>$D139</f>
        <v/>
      </c>
      <c r="E162" s="553">
        <f>E139</f>
        <v/>
      </c>
      <c r="F162" s="554">
        <f>F139*(1+Dashboard!$P$12)</f>
        <v/>
      </c>
      <c r="G162" s="555">
        <f>G139*(1+Dashboard!$P$11)</f>
        <v/>
      </c>
      <c r="H162" s="549">
        <f>+G162-F162</f>
        <v/>
      </c>
      <c r="I162" s="556">
        <f>I139*(1+Dashboard!$P$11)</f>
        <v/>
      </c>
      <c r="J162" s="557">
        <f>I162-F162</f>
        <v/>
      </c>
      <c r="K162" s="558">
        <f>K139*(1+Dashboard!$P$11)</f>
        <v/>
      </c>
      <c r="L162" s="559">
        <f>M162+F162</f>
        <v/>
      </c>
      <c r="M162" s="559">
        <f>M139*(1+Dashboard!$P$11)</f>
        <v/>
      </c>
      <c r="N162" s="548">
        <f>((M162*D162)*12)</f>
        <v/>
      </c>
      <c r="P162" s="545">
        <f>B162</f>
        <v/>
      </c>
      <c r="Q162" s="550">
        <f>C162</f>
        <v/>
      </c>
      <c r="R162" s="545">
        <f>D162</f>
        <v/>
      </c>
      <c r="S162" s="546">
        <f>E162</f>
        <v/>
      </c>
      <c r="T162" s="547">
        <f>F162</f>
        <v/>
      </c>
      <c r="U162" s="548">
        <f>((M162*R162)*12)</f>
        <v/>
      </c>
      <c r="W162" s="545">
        <f>B162</f>
        <v/>
      </c>
      <c r="X162" s="550">
        <f>C162</f>
        <v/>
      </c>
      <c r="Y162" s="545">
        <f>D162</f>
        <v/>
      </c>
      <c r="Z162" s="546">
        <f>E162</f>
        <v/>
      </c>
      <c r="AA162" s="547">
        <f>F162</f>
        <v/>
      </c>
      <c r="AB162" s="549">
        <f>((H162*Y162)*12)</f>
        <v/>
      </c>
      <c r="AD162" s="545">
        <f>B162</f>
        <v/>
      </c>
      <c r="AE162" s="550">
        <f>C162</f>
        <v/>
      </c>
      <c r="AF162" s="545">
        <f>D162</f>
        <v/>
      </c>
      <c r="AG162" s="546">
        <f>E162</f>
        <v/>
      </c>
      <c r="AH162" s="547">
        <f>F162</f>
        <v/>
      </c>
      <c r="AI162" s="548">
        <f>+MAX(U162,AB162)</f>
        <v/>
      </c>
      <c r="AK162" s="545">
        <f>B162</f>
        <v/>
      </c>
      <c r="AL162" s="550">
        <f>C162</f>
        <v/>
      </c>
      <c r="AM162" s="545">
        <f>D162</f>
        <v/>
      </c>
      <c r="AN162" s="546">
        <f>E162</f>
        <v/>
      </c>
      <c r="AO162" s="547">
        <f>F162</f>
        <v/>
      </c>
      <c r="AP162" s="548">
        <f>IF(G162&gt;0,MAX(U162,AB162),N162)</f>
        <v/>
      </c>
    </row>
    <row r="163" ht="15.75" customFormat="1" customHeight="1" s="120">
      <c r="B163" s="551">
        <f>B140</f>
        <v/>
      </c>
      <c r="C163" s="552">
        <f>C140</f>
        <v/>
      </c>
      <c r="D163" s="551">
        <f>$D140</f>
        <v/>
      </c>
      <c r="E163" s="553">
        <f>E140</f>
        <v/>
      </c>
      <c r="F163" s="554">
        <f>F140*(1+Dashboard!$P$12)</f>
        <v/>
      </c>
      <c r="G163" s="555">
        <f>G140*(1+Dashboard!$P$11)</f>
        <v/>
      </c>
      <c r="H163" s="549">
        <f>+G163-F163</f>
        <v/>
      </c>
      <c r="I163" s="556">
        <f>I140*(1+Dashboard!$P$11)</f>
        <v/>
      </c>
      <c r="J163" s="557">
        <f>I163-F163</f>
        <v/>
      </c>
      <c r="K163" s="558">
        <f>K140*(1+Dashboard!$P$11)</f>
        <v/>
      </c>
      <c r="L163" s="559">
        <f>M163+F163</f>
        <v/>
      </c>
      <c r="M163" s="559">
        <f>M140*(1+Dashboard!$P$11)</f>
        <v/>
      </c>
      <c r="N163" s="548">
        <f>((M163*D163)*12)</f>
        <v/>
      </c>
      <c r="P163" s="545">
        <f>B163</f>
        <v/>
      </c>
      <c r="Q163" s="550">
        <f>C163</f>
        <v/>
      </c>
      <c r="R163" s="545">
        <f>D163</f>
        <v/>
      </c>
      <c r="S163" s="546">
        <f>E163</f>
        <v/>
      </c>
      <c r="T163" s="547">
        <f>F163</f>
        <v/>
      </c>
      <c r="U163" s="548">
        <f>((M163*R163)*12)</f>
        <v/>
      </c>
      <c r="W163" s="545">
        <f>B163</f>
        <v/>
      </c>
      <c r="X163" s="550">
        <f>C163</f>
        <v/>
      </c>
      <c r="Y163" s="545">
        <f>D163</f>
        <v/>
      </c>
      <c r="Z163" s="546">
        <f>E163</f>
        <v/>
      </c>
      <c r="AA163" s="547">
        <f>F163</f>
        <v/>
      </c>
      <c r="AB163" s="549">
        <f>((H163*Y163)*12)</f>
        <v/>
      </c>
      <c r="AD163" s="545">
        <f>B163</f>
        <v/>
      </c>
      <c r="AE163" s="550">
        <f>C163</f>
        <v/>
      </c>
      <c r="AF163" s="545">
        <f>D163</f>
        <v/>
      </c>
      <c r="AG163" s="546">
        <f>E163</f>
        <v/>
      </c>
      <c r="AH163" s="547">
        <f>F163</f>
        <v/>
      </c>
      <c r="AI163" s="548">
        <f>+MAX(U163,AB163)</f>
        <v/>
      </c>
      <c r="AK163" s="545">
        <f>B163</f>
        <v/>
      </c>
      <c r="AL163" s="550">
        <f>C163</f>
        <v/>
      </c>
      <c r="AM163" s="545">
        <f>D163</f>
        <v/>
      </c>
      <c r="AN163" s="546">
        <f>E163</f>
        <v/>
      </c>
      <c r="AO163" s="547">
        <f>F163</f>
        <v/>
      </c>
      <c r="AP163" s="548">
        <f>IF(G163&gt;0,MAX(U163,AB163),N163)</f>
        <v/>
      </c>
    </row>
    <row r="164" ht="15.75" customFormat="1" customHeight="1" s="120">
      <c r="B164" s="198" t="inlineStr">
        <is>
          <t>Total (Pre-Vacancy)</t>
        </is>
      </c>
      <c r="C164" s="122" t="n"/>
      <c r="D164" s="166">
        <f>SUM(D145:D163)</f>
        <v/>
      </c>
      <c r="E164" s="166">
        <f>+SUMPRODUCT(E145:E163,$D145:$D163)</f>
        <v/>
      </c>
      <c r="F164" s="165">
        <f>+SUMPRODUCT(F145:F163,$D145:$D163)</f>
        <v/>
      </c>
      <c r="G164" s="165">
        <f>+SUMPRODUCT(G145:G163,$D145:$D163)</f>
        <v/>
      </c>
      <c r="H164" s="165">
        <f>+SUMPRODUCT(H145:H163,$D145:$D163)</f>
        <v/>
      </c>
      <c r="I164" s="165">
        <f>+SUMPRODUCT(I145:I163,$D145:$D163)</f>
        <v/>
      </c>
      <c r="J164" s="165">
        <f>+SUMPRODUCT(J145:J163,$D145:$D163)</f>
        <v/>
      </c>
      <c r="K164" s="165">
        <f>+SUMPRODUCT(K145:K163,$D145:$D163)</f>
        <v/>
      </c>
      <c r="L164" s="165">
        <f>+SUMPRODUCT(L145:L163,$D145:$D163)</f>
        <v/>
      </c>
      <c r="M164" s="165">
        <f>+SUMPRODUCT(M145:M163,$D145:$D163)</f>
        <v/>
      </c>
      <c r="N164" s="165">
        <f>SUM(N145:N163)</f>
        <v/>
      </c>
      <c r="P164" s="198" t="inlineStr">
        <is>
          <t>Total (Pre-Vacancy)</t>
        </is>
      </c>
      <c r="Q164" s="122" t="n"/>
      <c r="R164" s="560">
        <f>SUM(R145:R163)</f>
        <v/>
      </c>
      <c r="S164" s="560">
        <f>+SUMPRODUCT(S145:S163,$R145:$R163)</f>
        <v/>
      </c>
      <c r="T164" s="165">
        <f>+SUMPRODUCT(T145:T163,$R145:$R163)</f>
        <v/>
      </c>
      <c r="U164" s="165">
        <f>SUM(U145:U163)</f>
        <v/>
      </c>
      <c r="W164" s="198" t="inlineStr">
        <is>
          <t>Total (Pre-Vacancy)</t>
        </is>
      </c>
      <c r="X164" s="122" t="n"/>
      <c r="Y164" s="560">
        <f>SUM(Y145:Y163)</f>
        <v/>
      </c>
      <c r="Z164" s="560">
        <f>+SUMPRODUCT(Z145:Z163,$Y145:$Y163)</f>
        <v/>
      </c>
      <c r="AA164" s="165">
        <f>+SUMPRODUCT(AA145:AA163,$Y145:$Y163)</f>
        <v/>
      </c>
      <c r="AB164" s="165">
        <f>SUM(AB145:AB163)</f>
        <v/>
      </c>
      <c r="AC164" s="122" t="n"/>
      <c r="AD164" s="198" t="inlineStr">
        <is>
          <t>Total (Pre-Vacancy)</t>
        </is>
      </c>
      <c r="AE164" s="122" t="n"/>
      <c r="AF164" s="560">
        <f>SUM(AF145:AF163)</f>
        <v/>
      </c>
      <c r="AG164" s="560">
        <f>+SUMPRODUCT(AG145:AG163,$AF145:$AF163)</f>
        <v/>
      </c>
      <c r="AH164" s="165">
        <f>+SUMPRODUCT(AH145:AH163,$AF145:$AF163)</f>
        <v/>
      </c>
      <c r="AI164" s="165">
        <f>SUM(AI145:AI163)</f>
        <v/>
      </c>
      <c r="AK164" s="198" t="inlineStr">
        <is>
          <t>Total (Pre-Vacancy)</t>
        </is>
      </c>
      <c r="AL164" s="122" t="n"/>
      <c r="AM164" s="560">
        <f>SUM(AF145:AF163)</f>
        <v/>
      </c>
      <c r="AN164" s="560">
        <f>+SUMPRODUCT(AG145:AG163,$AF145:$AF163)</f>
        <v/>
      </c>
      <c r="AO164" s="165">
        <f>+SUMPRODUCT(AH145:AH163,$AF145:$AF163)</f>
        <v/>
      </c>
      <c r="AP164" s="165">
        <f>SUM(AP145:AP163)</f>
        <v/>
      </c>
    </row>
    <row r="165">
      <c r="AK165" s="607" t="n"/>
      <c r="AL165" s="607" t="n"/>
      <c r="AM165" s="607" t="n"/>
      <c r="AN165" s="607" t="n"/>
      <c r="AO165" s="607" t="n"/>
      <c r="AP165" s="607" t="n"/>
    </row>
    <row r="166" ht="15.75" customHeight="1">
      <c r="B166" s="170" t="inlineStr">
        <is>
          <t>Year 8</t>
        </is>
      </c>
      <c r="C166" s="170" t="n"/>
      <c r="D166" s="170" t="n"/>
      <c r="E166" s="170" t="n"/>
      <c r="F166" s="170" t="n"/>
      <c r="G166" s="170" t="n"/>
      <c r="H166" s="170" t="n"/>
      <c r="I166" s="170" t="n"/>
      <c r="J166" s="170" t="n"/>
      <c r="K166" s="170" t="n"/>
      <c r="L166" s="170" t="n"/>
      <c r="M166" s="170" t="n"/>
      <c r="N166" s="170" t="n"/>
      <c r="O166" s="167" t="n"/>
      <c r="P166" s="170">
        <f>+$B166</f>
        <v/>
      </c>
      <c r="Q166" s="170" t="n"/>
      <c r="R166" s="170" t="n"/>
      <c r="S166" s="170" t="n"/>
      <c r="T166" s="170" t="n"/>
      <c r="U166" s="170" t="n"/>
      <c r="V166" s="167" t="n"/>
      <c r="W166" s="170">
        <f>+$B166</f>
        <v/>
      </c>
      <c r="X166" s="170" t="n"/>
      <c r="Y166" s="170" t="n"/>
      <c r="Z166" s="170" t="n"/>
      <c r="AA166" s="170" t="n"/>
      <c r="AB166" s="170" t="n"/>
      <c r="AD166" s="170">
        <f>+$B166</f>
        <v/>
      </c>
      <c r="AE166" s="170" t="n"/>
      <c r="AF166" s="170" t="n"/>
      <c r="AG166" s="170" t="n"/>
      <c r="AH166" s="170" t="n"/>
      <c r="AI166" s="170" t="n"/>
      <c r="AJ166" s="167" t="n"/>
      <c r="AK166" s="170">
        <f>+$B166</f>
        <v/>
      </c>
      <c r="AL166" s="170" t="n"/>
      <c r="AM166" s="170" t="n"/>
      <c r="AN166" s="170" t="n"/>
      <c r="AO166" s="170" t="n"/>
      <c r="AP166" s="170" t="n"/>
    </row>
    <row r="167" ht="38.25" customFormat="1" customHeight="1" s="164">
      <c r="B167" s="543" t="inlineStr">
        <is>
          <t>Unit Type</t>
        </is>
      </c>
      <c r="C167" s="543" t="inlineStr">
        <is>
          <t>AMI / S8</t>
        </is>
      </c>
      <c r="D167" s="543" t="inlineStr">
        <is>
          <t># of Units</t>
        </is>
      </c>
      <c r="E167" s="543" t="inlineStr">
        <is>
          <t>Avg. SF</t>
        </is>
      </c>
      <c r="F167" s="543" t="inlineStr">
        <is>
          <t>Avg. Utilities</t>
        </is>
      </c>
      <c r="G167" s="544" t="inlineStr">
        <is>
          <t>Avg. Max LITHC</t>
        </is>
      </c>
      <c r="H167" s="543" t="inlineStr">
        <is>
          <t>Net LIHTC</t>
        </is>
      </c>
      <c r="I167" s="543" t="inlineStr">
        <is>
          <t>Avg. Max FMR</t>
        </is>
      </c>
      <c r="J167" s="543" t="inlineStr">
        <is>
          <t>Net FMR</t>
        </is>
      </c>
      <c r="K167" s="543">
        <f>+K144</f>
        <v/>
      </c>
      <c r="L167" s="543" t="inlineStr">
        <is>
          <t>Gross Rent</t>
        </is>
      </c>
      <c r="M167" s="543" t="inlineStr">
        <is>
          <t>Avg. Current Rent</t>
        </is>
      </c>
      <c r="N167" s="543" t="inlineStr">
        <is>
          <t>Yrly. Gross Income (Net Rent)</t>
        </is>
      </c>
      <c r="P167" s="543" t="inlineStr">
        <is>
          <t>Unit Type</t>
        </is>
      </c>
      <c r="Q167" s="543" t="inlineStr">
        <is>
          <t>AMI / S8</t>
        </is>
      </c>
      <c r="R167" s="543" t="inlineStr">
        <is>
          <t># of Units</t>
        </is>
      </c>
      <c r="S167" s="543" t="inlineStr">
        <is>
          <t>Avg. SF</t>
        </is>
      </c>
      <c r="T167" s="543" t="inlineStr">
        <is>
          <t>Avg. Utilities</t>
        </is>
      </c>
      <c r="U167" s="543" t="inlineStr">
        <is>
          <t>Max Current Vouchers</t>
        </is>
      </c>
      <c r="W167" s="543" t="inlineStr">
        <is>
          <t>Unit Type</t>
        </is>
      </c>
      <c r="X167" s="543" t="inlineStr">
        <is>
          <t>AMI / S8</t>
        </is>
      </c>
      <c r="Y167" s="543" t="inlineStr">
        <is>
          <t># of Units</t>
        </is>
      </c>
      <c r="Z167" s="543" t="inlineStr">
        <is>
          <t>Avg. SF</t>
        </is>
      </c>
      <c r="AA167" s="543" t="inlineStr">
        <is>
          <t>Avg. Utilities</t>
        </is>
      </c>
      <c r="AB167" s="543" t="inlineStr">
        <is>
          <t>Max NET LIHTC</t>
        </is>
      </c>
      <c r="AD167" s="543" t="inlineStr">
        <is>
          <t>Unit Type</t>
        </is>
      </c>
      <c r="AE167" s="543" t="inlineStr">
        <is>
          <t>AMI / S8</t>
        </is>
      </c>
      <c r="AF167" s="543" t="inlineStr">
        <is>
          <t># of Units</t>
        </is>
      </c>
      <c r="AG167" s="543" t="inlineStr">
        <is>
          <t>Avg. SF</t>
        </is>
      </c>
      <c r="AH167" s="543" t="inlineStr">
        <is>
          <t>Avg. Utilities</t>
        </is>
      </c>
      <c r="AI167" s="543" t="inlineStr">
        <is>
          <t xml:space="preserve">Max Current Vouchers + NET LIHTC </t>
        </is>
      </c>
      <c r="AK167" s="543" t="inlineStr">
        <is>
          <t>Unit Type</t>
        </is>
      </c>
      <c r="AL167" s="543" t="inlineStr">
        <is>
          <t>AMI / S8</t>
        </is>
      </c>
      <c r="AM167" s="543" t="inlineStr">
        <is>
          <t># of Units</t>
        </is>
      </c>
      <c r="AN167" s="543" t="inlineStr">
        <is>
          <t>Avg. SF</t>
        </is>
      </c>
      <c r="AO167" s="543" t="inlineStr">
        <is>
          <t>Avg. Utilities</t>
        </is>
      </c>
      <c r="AP167" s="543" t="inlineStr">
        <is>
          <t xml:space="preserve">Max Current Vouchers + NET LIHTC </t>
        </is>
      </c>
    </row>
    <row r="168" ht="15.75" customFormat="1" customHeight="1" s="120">
      <c r="B168" s="551">
        <f>B145</f>
        <v/>
      </c>
      <c r="C168" s="552">
        <f>C145</f>
        <v/>
      </c>
      <c r="D168" s="551">
        <f>$D145</f>
        <v/>
      </c>
      <c r="E168" s="553">
        <f>E145</f>
        <v/>
      </c>
      <c r="F168" s="554">
        <f>F145*(1+Dashboard!$P$12)</f>
        <v/>
      </c>
      <c r="G168" s="555">
        <f>G145*(1+Dashboard!$P$11)</f>
        <v/>
      </c>
      <c r="H168" s="549">
        <f>+G168-F168</f>
        <v/>
      </c>
      <c r="I168" s="556">
        <f>I145*(1+Dashboard!$P$11)</f>
        <v/>
      </c>
      <c r="J168" s="557">
        <f>I168-F168</f>
        <v/>
      </c>
      <c r="K168" s="558">
        <f>K145*(1+Dashboard!$P$11)</f>
        <v/>
      </c>
      <c r="L168" s="559">
        <f>M168+F168</f>
        <v/>
      </c>
      <c r="M168" s="559">
        <f>M145*(1+Dashboard!$P$11)</f>
        <v/>
      </c>
      <c r="N168" s="548">
        <f>((M168*D168)*12)</f>
        <v/>
      </c>
      <c r="P168" s="545">
        <f>B168</f>
        <v/>
      </c>
      <c r="Q168" s="545">
        <f>C168</f>
        <v/>
      </c>
      <c r="R168" s="545">
        <f>D168</f>
        <v/>
      </c>
      <c r="S168" s="546">
        <f>E168</f>
        <v/>
      </c>
      <c r="T168" s="547">
        <f>F168</f>
        <v/>
      </c>
      <c r="U168" s="548">
        <f>((M168*R168)*12)</f>
        <v/>
      </c>
      <c r="W168" s="545">
        <f>B168</f>
        <v/>
      </c>
      <c r="X168" s="545">
        <f>C168</f>
        <v/>
      </c>
      <c r="Y168" s="545">
        <f>D168</f>
        <v/>
      </c>
      <c r="Z168" s="546">
        <f>E168</f>
        <v/>
      </c>
      <c r="AA168" s="547">
        <f>F168</f>
        <v/>
      </c>
      <c r="AB168" s="549">
        <f>((H168*Y168)*12)</f>
        <v/>
      </c>
      <c r="AD168" s="545">
        <f>B168</f>
        <v/>
      </c>
      <c r="AE168" s="545">
        <f>C168</f>
        <v/>
      </c>
      <c r="AF168" s="545">
        <f>D168</f>
        <v/>
      </c>
      <c r="AG168" s="546">
        <f>E168</f>
        <v/>
      </c>
      <c r="AH168" s="547">
        <f>F168</f>
        <v/>
      </c>
      <c r="AI168" s="548">
        <f>+MAX(U168,AB168)</f>
        <v/>
      </c>
      <c r="AK168" s="545">
        <f>B168</f>
        <v/>
      </c>
      <c r="AL168" s="545">
        <f>C168</f>
        <v/>
      </c>
      <c r="AM168" s="545">
        <f>D168</f>
        <v/>
      </c>
      <c r="AN168" s="546">
        <f>E168</f>
        <v/>
      </c>
      <c r="AO168" s="547">
        <f>F168</f>
        <v/>
      </c>
      <c r="AP168" s="548">
        <f>IF(G168&gt;0,MAX(U168,AB168),N168)</f>
        <v/>
      </c>
    </row>
    <row r="169" ht="15.75" customFormat="1" customHeight="1" s="120">
      <c r="B169" s="551">
        <f>B146</f>
        <v/>
      </c>
      <c r="C169" s="552">
        <f>C146</f>
        <v/>
      </c>
      <c r="D169" s="551">
        <f>$D146</f>
        <v/>
      </c>
      <c r="E169" s="553">
        <f>E146</f>
        <v/>
      </c>
      <c r="F169" s="554">
        <f>F146*(1+Dashboard!$P$12)</f>
        <v/>
      </c>
      <c r="G169" s="555">
        <f>G146*(1+Dashboard!$P$11)</f>
        <v/>
      </c>
      <c r="H169" s="549">
        <f>+G169-F169</f>
        <v/>
      </c>
      <c r="I169" s="556">
        <f>I146*(1+Dashboard!$P$11)</f>
        <v/>
      </c>
      <c r="J169" s="557">
        <f>I169-F169</f>
        <v/>
      </c>
      <c r="K169" s="558">
        <f>K146*(1+Dashboard!$P$11)</f>
        <v/>
      </c>
      <c r="L169" s="559">
        <f>M169+F169</f>
        <v/>
      </c>
      <c r="M169" s="559">
        <f>M146*(1+Dashboard!$P$11)</f>
        <v/>
      </c>
      <c r="N169" s="548">
        <f>((M169*D169)*12)</f>
        <v/>
      </c>
      <c r="P169" s="545">
        <f>B169</f>
        <v/>
      </c>
      <c r="Q169" s="550">
        <f>C169</f>
        <v/>
      </c>
      <c r="R169" s="545">
        <f>D169</f>
        <v/>
      </c>
      <c r="S169" s="546">
        <f>E169</f>
        <v/>
      </c>
      <c r="T169" s="547">
        <f>F169</f>
        <v/>
      </c>
      <c r="U169" s="548">
        <f>((M169*R169)*12)</f>
        <v/>
      </c>
      <c r="W169" s="545">
        <f>B169</f>
        <v/>
      </c>
      <c r="X169" s="550">
        <f>C169</f>
        <v/>
      </c>
      <c r="Y169" s="545">
        <f>D169</f>
        <v/>
      </c>
      <c r="Z169" s="546">
        <f>E169</f>
        <v/>
      </c>
      <c r="AA169" s="547">
        <f>F169</f>
        <v/>
      </c>
      <c r="AB169" s="549">
        <f>((H169*Y169)*12)</f>
        <v/>
      </c>
      <c r="AD169" s="545">
        <f>B169</f>
        <v/>
      </c>
      <c r="AE169" s="550">
        <f>C169</f>
        <v/>
      </c>
      <c r="AF169" s="545">
        <f>D169</f>
        <v/>
      </c>
      <c r="AG169" s="546">
        <f>E169</f>
        <v/>
      </c>
      <c r="AH169" s="547">
        <f>F169</f>
        <v/>
      </c>
      <c r="AI169" s="548">
        <f>+MAX(U169,AB169)</f>
        <v/>
      </c>
      <c r="AK169" s="545">
        <f>B169</f>
        <v/>
      </c>
      <c r="AL169" s="550">
        <f>C169</f>
        <v/>
      </c>
      <c r="AM169" s="545">
        <f>D169</f>
        <v/>
      </c>
      <c r="AN169" s="546">
        <f>E169</f>
        <v/>
      </c>
      <c r="AO169" s="547">
        <f>F169</f>
        <v/>
      </c>
      <c r="AP169" s="548">
        <f>IF(G169&gt;0,MAX(U169,AB169),N169)</f>
        <v/>
      </c>
    </row>
    <row r="170" ht="15.75" customFormat="1" customHeight="1" s="120">
      <c r="B170" s="551">
        <f>B147</f>
        <v/>
      </c>
      <c r="C170" s="552">
        <f>C147</f>
        <v/>
      </c>
      <c r="D170" s="551">
        <f>$D147</f>
        <v/>
      </c>
      <c r="E170" s="553">
        <f>E147</f>
        <v/>
      </c>
      <c r="F170" s="554">
        <f>F147*(1+Dashboard!$P$12)</f>
        <v/>
      </c>
      <c r="G170" s="555">
        <f>G147*(1+Dashboard!$P$11)</f>
        <v/>
      </c>
      <c r="H170" s="549">
        <f>+G170-F170</f>
        <v/>
      </c>
      <c r="I170" s="556">
        <f>I147*(1+Dashboard!$P$11)</f>
        <v/>
      </c>
      <c r="J170" s="557">
        <f>I170-F170</f>
        <v/>
      </c>
      <c r="K170" s="558">
        <f>K147*(1+Dashboard!$P$11)</f>
        <v/>
      </c>
      <c r="L170" s="559">
        <f>M170+F170</f>
        <v/>
      </c>
      <c r="M170" s="559">
        <f>M147*(1+Dashboard!$P$11)</f>
        <v/>
      </c>
      <c r="N170" s="548">
        <f>((M170*D170)*12)</f>
        <v/>
      </c>
      <c r="P170" s="545">
        <f>B170</f>
        <v/>
      </c>
      <c r="Q170" s="550">
        <f>C170</f>
        <v/>
      </c>
      <c r="R170" s="545">
        <f>D170</f>
        <v/>
      </c>
      <c r="S170" s="546">
        <f>E170</f>
        <v/>
      </c>
      <c r="T170" s="547">
        <f>F170</f>
        <v/>
      </c>
      <c r="U170" s="548">
        <f>((M170*R170)*12)</f>
        <v/>
      </c>
      <c r="W170" s="545">
        <f>B170</f>
        <v/>
      </c>
      <c r="X170" s="550">
        <f>C170</f>
        <v/>
      </c>
      <c r="Y170" s="545">
        <f>D170</f>
        <v/>
      </c>
      <c r="Z170" s="546">
        <f>E170</f>
        <v/>
      </c>
      <c r="AA170" s="547">
        <f>F170</f>
        <v/>
      </c>
      <c r="AB170" s="549">
        <f>((H170*Y170)*12)</f>
        <v/>
      </c>
      <c r="AD170" s="545">
        <f>B170</f>
        <v/>
      </c>
      <c r="AE170" s="550">
        <f>C170</f>
        <v/>
      </c>
      <c r="AF170" s="545">
        <f>D170</f>
        <v/>
      </c>
      <c r="AG170" s="546">
        <f>E170</f>
        <v/>
      </c>
      <c r="AH170" s="547">
        <f>F170</f>
        <v/>
      </c>
      <c r="AI170" s="548">
        <f>+MAX(U170,AB170)</f>
        <v/>
      </c>
      <c r="AK170" s="545">
        <f>B170</f>
        <v/>
      </c>
      <c r="AL170" s="550">
        <f>C170</f>
        <v/>
      </c>
      <c r="AM170" s="545">
        <f>D170</f>
        <v/>
      </c>
      <c r="AN170" s="546">
        <f>E170</f>
        <v/>
      </c>
      <c r="AO170" s="547">
        <f>F170</f>
        <v/>
      </c>
      <c r="AP170" s="548">
        <f>IF(G170&gt;0,MAX(U170,AB170),N170)</f>
        <v/>
      </c>
    </row>
    <row r="171" ht="15.75" customFormat="1" customHeight="1" s="120">
      <c r="B171" s="551">
        <f>B148</f>
        <v/>
      </c>
      <c r="C171" s="552">
        <f>C148</f>
        <v/>
      </c>
      <c r="D171" s="551">
        <f>$D148</f>
        <v/>
      </c>
      <c r="E171" s="553">
        <f>E148</f>
        <v/>
      </c>
      <c r="F171" s="554">
        <f>F148*(1+Dashboard!$P$12)</f>
        <v/>
      </c>
      <c r="G171" s="555">
        <f>G148*(1+Dashboard!$P$11)</f>
        <v/>
      </c>
      <c r="H171" s="549">
        <f>+G171-F171</f>
        <v/>
      </c>
      <c r="I171" s="556">
        <f>I148*(1+Dashboard!$P$11)</f>
        <v/>
      </c>
      <c r="J171" s="557">
        <f>I171-F171</f>
        <v/>
      </c>
      <c r="K171" s="558">
        <f>K148*(1+Dashboard!$P$11)</f>
        <v/>
      </c>
      <c r="L171" s="559">
        <f>M171+F171</f>
        <v/>
      </c>
      <c r="M171" s="559">
        <f>M148*(1+Dashboard!$P$11)</f>
        <v/>
      </c>
      <c r="N171" s="548">
        <f>((M171*D171)*12)</f>
        <v/>
      </c>
      <c r="P171" s="545">
        <f>B171</f>
        <v/>
      </c>
      <c r="Q171" s="550">
        <f>C171</f>
        <v/>
      </c>
      <c r="R171" s="545">
        <f>D171</f>
        <v/>
      </c>
      <c r="S171" s="546">
        <f>E171</f>
        <v/>
      </c>
      <c r="T171" s="547">
        <f>F171</f>
        <v/>
      </c>
      <c r="U171" s="548">
        <f>((M171*R171)*12)</f>
        <v/>
      </c>
      <c r="W171" s="545">
        <f>B171</f>
        <v/>
      </c>
      <c r="X171" s="550">
        <f>C171</f>
        <v/>
      </c>
      <c r="Y171" s="545">
        <f>D171</f>
        <v/>
      </c>
      <c r="Z171" s="546">
        <f>E171</f>
        <v/>
      </c>
      <c r="AA171" s="547">
        <f>F171</f>
        <v/>
      </c>
      <c r="AB171" s="549">
        <f>((H171*Y171)*12)</f>
        <v/>
      </c>
      <c r="AD171" s="545">
        <f>B171</f>
        <v/>
      </c>
      <c r="AE171" s="550">
        <f>C171</f>
        <v/>
      </c>
      <c r="AF171" s="545">
        <f>D171</f>
        <v/>
      </c>
      <c r="AG171" s="546">
        <f>E171</f>
        <v/>
      </c>
      <c r="AH171" s="547">
        <f>F171</f>
        <v/>
      </c>
      <c r="AI171" s="548">
        <f>+MAX(U171,AB171)</f>
        <v/>
      </c>
      <c r="AK171" s="545">
        <f>B171</f>
        <v/>
      </c>
      <c r="AL171" s="550">
        <f>C171</f>
        <v/>
      </c>
      <c r="AM171" s="545">
        <f>D171</f>
        <v/>
      </c>
      <c r="AN171" s="546">
        <f>E171</f>
        <v/>
      </c>
      <c r="AO171" s="547">
        <f>F171</f>
        <v/>
      </c>
      <c r="AP171" s="548">
        <f>IF(G171&gt;0,MAX(U171,AB171),N171)</f>
        <v/>
      </c>
    </row>
    <row r="172" ht="15.75" customFormat="1" customHeight="1" s="120">
      <c r="B172" s="551">
        <f>B149</f>
        <v/>
      </c>
      <c r="C172" s="552">
        <f>C149</f>
        <v/>
      </c>
      <c r="D172" s="551">
        <f>$D149</f>
        <v/>
      </c>
      <c r="E172" s="553">
        <f>E149</f>
        <v/>
      </c>
      <c r="F172" s="554">
        <f>F149*(1+Dashboard!$P$12)</f>
        <v/>
      </c>
      <c r="G172" s="555">
        <f>G149*(1+Dashboard!$P$11)</f>
        <v/>
      </c>
      <c r="H172" s="549">
        <f>+G172-F172</f>
        <v/>
      </c>
      <c r="I172" s="556">
        <f>I149*(1+Dashboard!$P$11)</f>
        <v/>
      </c>
      <c r="J172" s="557">
        <f>I172-F172</f>
        <v/>
      </c>
      <c r="K172" s="558">
        <f>K149*(1+Dashboard!$P$11)</f>
        <v/>
      </c>
      <c r="L172" s="559">
        <f>M172+F172</f>
        <v/>
      </c>
      <c r="M172" s="559">
        <f>M149*(1+Dashboard!$P$11)</f>
        <v/>
      </c>
      <c r="N172" s="548">
        <f>((M172*D172)*12)</f>
        <v/>
      </c>
      <c r="P172" s="545">
        <f>B172</f>
        <v/>
      </c>
      <c r="Q172" s="550">
        <f>C172</f>
        <v/>
      </c>
      <c r="R172" s="545">
        <f>D172</f>
        <v/>
      </c>
      <c r="S172" s="546">
        <f>E172</f>
        <v/>
      </c>
      <c r="T172" s="547">
        <f>F172</f>
        <v/>
      </c>
      <c r="U172" s="548">
        <f>((M172*R172)*12)</f>
        <v/>
      </c>
      <c r="W172" s="545">
        <f>B172</f>
        <v/>
      </c>
      <c r="X172" s="550">
        <f>C172</f>
        <v/>
      </c>
      <c r="Y172" s="545">
        <f>D172</f>
        <v/>
      </c>
      <c r="Z172" s="546">
        <f>E172</f>
        <v/>
      </c>
      <c r="AA172" s="547">
        <f>F172</f>
        <v/>
      </c>
      <c r="AB172" s="549">
        <f>((H172*Y172)*12)</f>
        <v/>
      </c>
      <c r="AD172" s="545">
        <f>B172</f>
        <v/>
      </c>
      <c r="AE172" s="550">
        <f>C172</f>
        <v/>
      </c>
      <c r="AF172" s="545">
        <f>D172</f>
        <v/>
      </c>
      <c r="AG172" s="546">
        <f>E172</f>
        <v/>
      </c>
      <c r="AH172" s="547">
        <f>F172</f>
        <v/>
      </c>
      <c r="AI172" s="548">
        <f>+MAX(U172,AB172)</f>
        <v/>
      </c>
      <c r="AK172" s="545">
        <f>B172</f>
        <v/>
      </c>
      <c r="AL172" s="550">
        <f>C172</f>
        <v/>
      </c>
      <c r="AM172" s="545">
        <f>D172</f>
        <v/>
      </c>
      <c r="AN172" s="546">
        <f>E172</f>
        <v/>
      </c>
      <c r="AO172" s="547">
        <f>F172</f>
        <v/>
      </c>
      <c r="AP172" s="548">
        <f>IF(G172&gt;0,MAX(U172,AB172),N172)</f>
        <v/>
      </c>
    </row>
    <row r="173" ht="15.75" customFormat="1" customHeight="1" s="120">
      <c r="B173" s="551">
        <f>B150</f>
        <v/>
      </c>
      <c r="C173" s="552">
        <f>C150</f>
        <v/>
      </c>
      <c r="D173" s="551">
        <f>$D150</f>
        <v/>
      </c>
      <c r="E173" s="553">
        <f>E150</f>
        <v/>
      </c>
      <c r="F173" s="554">
        <f>F150*(1+Dashboard!$P$12)</f>
        <v/>
      </c>
      <c r="G173" s="555">
        <f>G150*(1+Dashboard!$P$11)</f>
        <v/>
      </c>
      <c r="H173" s="549">
        <f>+G173-F173</f>
        <v/>
      </c>
      <c r="I173" s="556">
        <f>I150*(1+Dashboard!$P$11)</f>
        <v/>
      </c>
      <c r="J173" s="557">
        <f>I173-F173</f>
        <v/>
      </c>
      <c r="K173" s="558">
        <f>K150*(1+Dashboard!$P$11)</f>
        <v/>
      </c>
      <c r="L173" s="559">
        <f>M173+F173</f>
        <v/>
      </c>
      <c r="M173" s="559">
        <f>M150*(1+Dashboard!$P$11)</f>
        <v/>
      </c>
      <c r="N173" s="548">
        <f>((M173*D173)*12)</f>
        <v/>
      </c>
      <c r="P173" s="545">
        <f>B173</f>
        <v/>
      </c>
      <c r="Q173" s="550">
        <f>C173</f>
        <v/>
      </c>
      <c r="R173" s="545">
        <f>D173</f>
        <v/>
      </c>
      <c r="S173" s="546">
        <f>E173</f>
        <v/>
      </c>
      <c r="T173" s="547">
        <f>F173</f>
        <v/>
      </c>
      <c r="U173" s="548">
        <f>((M173*R173)*12)</f>
        <v/>
      </c>
      <c r="W173" s="545">
        <f>B173</f>
        <v/>
      </c>
      <c r="X173" s="550">
        <f>C173</f>
        <v/>
      </c>
      <c r="Y173" s="545">
        <f>D173</f>
        <v/>
      </c>
      <c r="Z173" s="546">
        <f>E173</f>
        <v/>
      </c>
      <c r="AA173" s="547">
        <f>F173</f>
        <v/>
      </c>
      <c r="AB173" s="549">
        <f>((H173*Y173)*12)</f>
        <v/>
      </c>
      <c r="AD173" s="545">
        <f>B173</f>
        <v/>
      </c>
      <c r="AE173" s="550">
        <f>C173</f>
        <v/>
      </c>
      <c r="AF173" s="545">
        <f>D173</f>
        <v/>
      </c>
      <c r="AG173" s="546">
        <f>E173</f>
        <v/>
      </c>
      <c r="AH173" s="547">
        <f>F173</f>
        <v/>
      </c>
      <c r="AI173" s="548">
        <f>+MAX(U173,AB173)</f>
        <v/>
      </c>
      <c r="AK173" s="545">
        <f>B173</f>
        <v/>
      </c>
      <c r="AL173" s="550">
        <f>C173</f>
        <v/>
      </c>
      <c r="AM173" s="545">
        <f>D173</f>
        <v/>
      </c>
      <c r="AN173" s="546">
        <f>E173</f>
        <v/>
      </c>
      <c r="AO173" s="547">
        <f>F173</f>
        <v/>
      </c>
      <c r="AP173" s="548">
        <f>IF(G173&gt;0,MAX(U173,AB173),N173)</f>
        <v/>
      </c>
    </row>
    <row r="174" ht="15.75" customFormat="1" customHeight="1" s="120">
      <c r="B174" s="551">
        <f>B151</f>
        <v/>
      </c>
      <c r="C174" s="552">
        <f>C151</f>
        <v/>
      </c>
      <c r="D174" s="551">
        <f>$D151</f>
        <v/>
      </c>
      <c r="E174" s="553">
        <f>E151</f>
        <v/>
      </c>
      <c r="F174" s="554">
        <f>F151*(1+Dashboard!$P$12)</f>
        <v/>
      </c>
      <c r="G174" s="555">
        <f>G151*(1+Dashboard!$P$11)</f>
        <v/>
      </c>
      <c r="H174" s="549">
        <f>+G174-F174</f>
        <v/>
      </c>
      <c r="I174" s="556">
        <f>I151*(1+Dashboard!$P$11)</f>
        <v/>
      </c>
      <c r="J174" s="557">
        <f>I174-F174</f>
        <v/>
      </c>
      <c r="K174" s="558">
        <f>K151*(1+Dashboard!$P$11)</f>
        <v/>
      </c>
      <c r="L174" s="559">
        <f>M174+F174</f>
        <v/>
      </c>
      <c r="M174" s="559">
        <f>M151*(1+Dashboard!$P$11)</f>
        <v/>
      </c>
      <c r="N174" s="548">
        <f>((M174*D174)*12)</f>
        <v/>
      </c>
      <c r="P174" s="545">
        <f>B174</f>
        <v/>
      </c>
      <c r="Q174" s="550">
        <f>C174</f>
        <v/>
      </c>
      <c r="R174" s="545">
        <f>D174</f>
        <v/>
      </c>
      <c r="S174" s="546">
        <f>E174</f>
        <v/>
      </c>
      <c r="T174" s="547">
        <f>F174</f>
        <v/>
      </c>
      <c r="U174" s="548">
        <f>((M174*R174)*12)</f>
        <v/>
      </c>
      <c r="W174" s="545">
        <f>B174</f>
        <v/>
      </c>
      <c r="X174" s="550">
        <f>C174</f>
        <v/>
      </c>
      <c r="Y174" s="545">
        <f>D174</f>
        <v/>
      </c>
      <c r="Z174" s="546">
        <f>E174</f>
        <v/>
      </c>
      <c r="AA174" s="547">
        <f>F174</f>
        <v/>
      </c>
      <c r="AB174" s="549">
        <f>((H174*Y174)*12)</f>
        <v/>
      </c>
      <c r="AD174" s="545">
        <f>B174</f>
        <v/>
      </c>
      <c r="AE174" s="550">
        <f>C174</f>
        <v/>
      </c>
      <c r="AF174" s="545">
        <f>D174</f>
        <v/>
      </c>
      <c r="AG174" s="546">
        <f>E174</f>
        <v/>
      </c>
      <c r="AH174" s="547">
        <f>F174</f>
        <v/>
      </c>
      <c r="AI174" s="548">
        <f>+MAX(U174,AB174)</f>
        <v/>
      </c>
      <c r="AK174" s="545">
        <f>B174</f>
        <v/>
      </c>
      <c r="AL174" s="550">
        <f>C174</f>
        <v/>
      </c>
      <c r="AM174" s="545">
        <f>D174</f>
        <v/>
      </c>
      <c r="AN174" s="546">
        <f>E174</f>
        <v/>
      </c>
      <c r="AO174" s="547">
        <f>F174</f>
        <v/>
      </c>
      <c r="AP174" s="548">
        <f>IF(G174&gt;0,MAX(U174,AB174),N174)</f>
        <v/>
      </c>
    </row>
    <row r="175" ht="15.75" customFormat="1" customHeight="1" s="120">
      <c r="B175" s="551">
        <f>B152</f>
        <v/>
      </c>
      <c r="C175" s="552">
        <f>C152</f>
        <v/>
      </c>
      <c r="D175" s="551">
        <f>$D152</f>
        <v/>
      </c>
      <c r="E175" s="553">
        <f>E152</f>
        <v/>
      </c>
      <c r="F175" s="554">
        <f>F152*(1+Dashboard!$P$12)</f>
        <v/>
      </c>
      <c r="G175" s="555">
        <f>G152*(1+Dashboard!$P$11)</f>
        <v/>
      </c>
      <c r="H175" s="549">
        <f>+G175-F175</f>
        <v/>
      </c>
      <c r="I175" s="556">
        <f>I152*(1+Dashboard!$P$11)</f>
        <v/>
      </c>
      <c r="J175" s="557">
        <f>I175-F175</f>
        <v/>
      </c>
      <c r="K175" s="558">
        <f>K152*(1+Dashboard!$P$11)</f>
        <v/>
      </c>
      <c r="L175" s="559">
        <f>M175+F175</f>
        <v/>
      </c>
      <c r="M175" s="559">
        <f>M152*(1+Dashboard!$P$11)</f>
        <v/>
      </c>
      <c r="N175" s="548">
        <f>((M175*D175)*12)</f>
        <v/>
      </c>
      <c r="P175" s="545">
        <f>B175</f>
        <v/>
      </c>
      <c r="Q175" s="550">
        <f>C175</f>
        <v/>
      </c>
      <c r="R175" s="545">
        <f>D175</f>
        <v/>
      </c>
      <c r="S175" s="546">
        <f>E175</f>
        <v/>
      </c>
      <c r="T175" s="547">
        <f>F175</f>
        <v/>
      </c>
      <c r="U175" s="548">
        <f>((M175*R175)*12)</f>
        <v/>
      </c>
      <c r="W175" s="545">
        <f>B175</f>
        <v/>
      </c>
      <c r="X175" s="550">
        <f>C175</f>
        <v/>
      </c>
      <c r="Y175" s="545">
        <f>D175</f>
        <v/>
      </c>
      <c r="Z175" s="546">
        <f>E175</f>
        <v/>
      </c>
      <c r="AA175" s="547">
        <f>F175</f>
        <v/>
      </c>
      <c r="AB175" s="549">
        <f>((H175*Y175)*12)</f>
        <v/>
      </c>
      <c r="AD175" s="545">
        <f>B175</f>
        <v/>
      </c>
      <c r="AE175" s="550">
        <f>C175</f>
        <v/>
      </c>
      <c r="AF175" s="545">
        <f>D175</f>
        <v/>
      </c>
      <c r="AG175" s="546">
        <f>E175</f>
        <v/>
      </c>
      <c r="AH175" s="547">
        <f>F175</f>
        <v/>
      </c>
      <c r="AI175" s="548">
        <f>+MAX(U175,AB175)</f>
        <v/>
      </c>
      <c r="AK175" s="545">
        <f>B175</f>
        <v/>
      </c>
      <c r="AL175" s="550">
        <f>C175</f>
        <v/>
      </c>
      <c r="AM175" s="545">
        <f>D175</f>
        <v/>
      </c>
      <c r="AN175" s="546">
        <f>E175</f>
        <v/>
      </c>
      <c r="AO175" s="547">
        <f>F175</f>
        <v/>
      </c>
      <c r="AP175" s="548">
        <f>IF(G175&gt;0,MAX(U175,AB175),N175)</f>
        <v/>
      </c>
    </row>
    <row r="176" ht="15.75" customFormat="1" customHeight="1" s="120">
      <c r="B176" s="551">
        <f>B153</f>
        <v/>
      </c>
      <c r="C176" s="552">
        <f>C153</f>
        <v/>
      </c>
      <c r="D176" s="551">
        <f>$D153</f>
        <v/>
      </c>
      <c r="E176" s="553">
        <f>E153</f>
        <v/>
      </c>
      <c r="F176" s="554">
        <f>F153*(1+Dashboard!$P$12)</f>
        <v/>
      </c>
      <c r="G176" s="555">
        <f>G153*(1+Dashboard!$P$11)</f>
        <v/>
      </c>
      <c r="H176" s="549">
        <f>+G176-F176</f>
        <v/>
      </c>
      <c r="I176" s="556">
        <f>I153*(1+Dashboard!$P$11)</f>
        <v/>
      </c>
      <c r="J176" s="557">
        <f>I176-F176</f>
        <v/>
      </c>
      <c r="K176" s="558">
        <f>K153*(1+Dashboard!$P$11)</f>
        <v/>
      </c>
      <c r="L176" s="559">
        <f>M176+F176</f>
        <v/>
      </c>
      <c r="M176" s="559">
        <f>M153*(1+Dashboard!$P$11)</f>
        <v/>
      </c>
      <c r="N176" s="548">
        <f>((M176*D176)*12)</f>
        <v/>
      </c>
      <c r="P176" s="545">
        <f>B176</f>
        <v/>
      </c>
      <c r="Q176" s="550">
        <f>C176</f>
        <v/>
      </c>
      <c r="R176" s="545">
        <f>D176</f>
        <v/>
      </c>
      <c r="S176" s="546">
        <f>E176</f>
        <v/>
      </c>
      <c r="T176" s="547">
        <f>F176</f>
        <v/>
      </c>
      <c r="U176" s="548">
        <f>((M176*R176)*12)</f>
        <v/>
      </c>
      <c r="W176" s="545">
        <f>B176</f>
        <v/>
      </c>
      <c r="X176" s="550">
        <f>C176</f>
        <v/>
      </c>
      <c r="Y176" s="545">
        <f>D176</f>
        <v/>
      </c>
      <c r="Z176" s="546">
        <f>E176</f>
        <v/>
      </c>
      <c r="AA176" s="547">
        <f>F176</f>
        <v/>
      </c>
      <c r="AB176" s="549">
        <f>((H176*Y176)*12)</f>
        <v/>
      </c>
      <c r="AD176" s="545">
        <f>B176</f>
        <v/>
      </c>
      <c r="AE176" s="550">
        <f>C176</f>
        <v/>
      </c>
      <c r="AF176" s="545">
        <f>D176</f>
        <v/>
      </c>
      <c r="AG176" s="546">
        <f>E176</f>
        <v/>
      </c>
      <c r="AH176" s="547">
        <f>F176</f>
        <v/>
      </c>
      <c r="AI176" s="548">
        <f>+MAX(U176,AB176)</f>
        <v/>
      </c>
      <c r="AK176" s="545">
        <f>B176</f>
        <v/>
      </c>
      <c r="AL176" s="550">
        <f>C176</f>
        <v/>
      </c>
      <c r="AM176" s="545">
        <f>D176</f>
        <v/>
      </c>
      <c r="AN176" s="546">
        <f>E176</f>
        <v/>
      </c>
      <c r="AO176" s="547">
        <f>F176</f>
        <v/>
      </c>
      <c r="AP176" s="548">
        <f>IF(G176&gt;0,MAX(U176,AB176),N176)</f>
        <v/>
      </c>
    </row>
    <row r="177" ht="15.75" customFormat="1" customHeight="1" s="120">
      <c r="B177" s="551">
        <f>B154</f>
        <v/>
      </c>
      <c r="C177" s="552">
        <f>C154</f>
        <v/>
      </c>
      <c r="D177" s="551">
        <f>$D154</f>
        <v/>
      </c>
      <c r="E177" s="553">
        <f>E154</f>
        <v/>
      </c>
      <c r="F177" s="554">
        <f>F154*(1+Dashboard!$P$12)</f>
        <v/>
      </c>
      <c r="G177" s="555">
        <f>G154*(1+Dashboard!$P$11)</f>
        <v/>
      </c>
      <c r="H177" s="549">
        <f>+G177-F177</f>
        <v/>
      </c>
      <c r="I177" s="556">
        <f>I154*(1+Dashboard!$P$11)</f>
        <v/>
      </c>
      <c r="J177" s="557">
        <f>I177-F177</f>
        <v/>
      </c>
      <c r="K177" s="558">
        <f>K154*(1+Dashboard!$P$11)</f>
        <v/>
      </c>
      <c r="L177" s="559">
        <f>M177+F177</f>
        <v/>
      </c>
      <c r="M177" s="559">
        <f>M154*(1+Dashboard!$P$11)</f>
        <v/>
      </c>
      <c r="N177" s="548">
        <f>((M177*D177)*12)</f>
        <v/>
      </c>
      <c r="P177" s="545">
        <f>B177</f>
        <v/>
      </c>
      <c r="Q177" s="550">
        <f>C177</f>
        <v/>
      </c>
      <c r="R177" s="545">
        <f>D177</f>
        <v/>
      </c>
      <c r="S177" s="546">
        <f>E177</f>
        <v/>
      </c>
      <c r="T177" s="547">
        <f>F177</f>
        <v/>
      </c>
      <c r="U177" s="548">
        <f>((M177*R177)*12)</f>
        <v/>
      </c>
      <c r="W177" s="545">
        <f>B177</f>
        <v/>
      </c>
      <c r="X177" s="550">
        <f>C177</f>
        <v/>
      </c>
      <c r="Y177" s="545">
        <f>D177</f>
        <v/>
      </c>
      <c r="Z177" s="546">
        <f>E177</f>
        <v/>
      </c>
      <c r="AA177" s="547">
        <f>F177</f>
        <v/>
      </c>
      <c r="AB177" s="549">
        <f>((H177*Y177)*12)</f>
        <v/>
      </c>
      <c r="AD177" s="545">
        <f>B177</f>
        <v/>
      </c>
      <c r="AE177" s="550">
        <f>C177</f>
        <v/>
      </c>
      <c r="AF177" s="545">
        <f>D177</f>
        <v/>
      </c>
      <c r="AG177" s="546">
        <f>E177</f>
        <v/>
      </c>
      <c r="AH177" s="547">
        <f>F177</f>
        <v/>
      </c>
      <c r="AI177" s="548">
        <f>+MAX(U177,AB177)</f>
        <v/>
      </c>
      <c r="AK177" s="545">
        <f>B177</f>
        <v/>
      </c>
      <c r="AL177" s="550">
        <f>C177</f>
        <v/>
      </c>
      <c r="AM177" s="545">
        <f>D177</f>
        <v/>
      </c>
      <c r="AN177" s="546">
        <f>E177</f>
        <v/>
      </c>
      <c r="AO177" s="547">
        <f>F177</f>
        <v/>
      </c>
      <c r="AP177" s="548">
        <f>IF(G177&gt;0,MAX(U177,AB177),N177)</f>
        <v/>
      </c>
    </row>
    <row r="178" ht="15.75" customFormat="1" customHeight="1" s="120">
      <c r="B178" s="551">
        <f>B155</f>
        <v/>
      </c>
      <c r="C178" s="552">
        <f>C155</f>
        <v/>
      </c>
      <c r="D178" s="551">
        <f>$D155</f>
        <v/>
      </c>
      <c r="E178" s="553">
        <f>E155</f>
        <v/>
      </c>
      <c r="F178" s="554">
        <f>F155*(1+Dashboard!$P$12)</f>
        <v/>
      </c>
      <c r="G178" s="555">
        <f>G155*(1+Dashboard!$P$11)</f>
        <v/>
      </c>
      <c r="H178" s="549">
        <f>+G178-F178</f>
        <v/>
      </c>
      <c r="I178" s="556">
        <f>I155*(1+Dashboard!$P$11)</f>
        <v/>
      </c>
      <c r="J178" s="557">
        <f>I178-F178</f>
        <v/>
      </c>
      <c r="K178" s="558">
        <f>K155*(1+Dashboard!$P$11)</f>
        <v/>
      </c>
      <c r="L178" s="559">
        <f>M178+F178</f>
        <v/>
      </c>
      <c r="M178" s="559">
        <f>M155*(1+Dashboard!$P$11)</f>
        <v/>
      </c>
      <c r="N178" s="548">
        <f>((M178*D178)*12)</f>
        <v/>
      </c>
      <c r="P178" s="545">
        <f>B178</f>
        <v/>
      </c>
      <c r="Q178" s="550">
        <f>C178</f>
        <v/>
      </c>
      <c r="R178" s="545">
        <f>D178</f>
        <v/>
      </c>
      <c r="S178" s="546">
        <f>E178</f>
        <v/>
      </c>
      <c r="T178" s="547">
        <f>F178</f>
        <v/>
      </c>
      <c r="U178" s="548">
        <f>((M178*R178)*12)</f>
        <v/>
      </c>
      <c r="W178" s="545">
        <f>B178</f>
        <v/>
      </c>
      <c r="X178" s="550">
        <f>C178</f>
        <v/>
      </c>
      <c r="Y178" s="545">
        <f>D178</f>
        <v/>
      </c>
      <c r="Z178" s="546">
        <f>E178</f>
        <v/>
      </c>
      <c r="AA178" s="547">
        <f>F178</f>
        <v/>
      </c>
      <c r="AB178" s="549">
        <f>((H178*Y178)*12)</f>
        <v/>
      </c>
      <c r="AD178" s="545">
        <f>B178</f>
        <v/>
      </c>
      <c r="AE178" s="550">
        <f>C178</f>
        <v/>
      </c>
      <c r="AF178" s="545">
        <f>D178</f>
        <v/>
      </c>
      <c r="AG178" s="546">
        <f>E178</f>
        <v/>
      </c>
      <c r="AH178" s="547">
        <f>F178</f>
        <v/>
      </c>
      <c r="AI178" s="548">
        <f>+MAX(U178,AB178)</f>
        <v/>
      </c>
      <c r="AK178" s="545">
        <f>B178</f>
        <v/>
      </c>
      <c r="AL178" s="550">
        <f>C178</f>
        <v/>
      </c>
      <c r="AM178" s="545">
        <f>D178</f>
        <v/>
      </c>
      <c r="AN178" s="546">
        <f>E178</f>
        <v/>
      </c>
      <c r="AO178" s="547">
        <f>F178</f>
        <v/>
      </c>
      <c r="AP178" s="548">
        <f>IF(G178&gt;0,MAX(U178,AB178),N178)</f>
        <v/>
      </c>
    </row>
    <row r="179" ht="15.75" customFormat="1" customHeight="1" s="120">
      <c r="B179" s="551">
        <f>B156</f>
        <v/>
      </c>
      <c r="C179" s="552">
        <f>C156</f>
        <v/>
      </c>
      <c r="D179" s="551">
        <f>$D156</f>
        <v/>
      </c>
      <c r="E179" s="553">
        <f>E156</f>
        <v/>
      </c>
      <c r="F179" s="554">
        <f>F156*(1+Dashboard!$P$12)</f>
        <v/>
      </c>
      <c r="G179" s="555">
        <f>G156*(1+Dashboard!$P$11)</f>
        <v/>
      </c>
      <c r="H179" s="549">
        <f>+G179-F179</f>
        <v/>
      </c>
      <c r="I179" s="556">
        <f>I156*(1+Dashboard!$P$11)</f>
        <v/>
      </c>
      <c r="J179" s="557">
        <f>I179-F179</f>
        <v/>
      </c>
      <c r="K179" s="558">
        <f>K156*(1+Dashboard!$P$11)</f>
        <v/>
      </c>
      <c r="L179" s="559">
        <f>M179+F179</f>
        <v/>
      </c>
      <c r="M179" s="559">
        <f>M156*(1+Dashboard!$P$11)</f>
        <v/>
      </c>
      <c r="N179" s="548">
        <f>((M179*D179)*12)</f>
        <v/>
      </c>
      <c r="P179" s="545">
        <f>B179</f>
        <v/>
      </c>
      <c r="Q179" s="550">
        <f>C179</f>
        <v/>
      </c>
      <c r="R179" s="545">
        <f>D179</f>
        <v/>
      </c>
      <c r="S179" s="546">
        <f>E179</f>
        <v/>
      </c>
      <c r="T179" s="547">
        <f>F179</f>
        <v/>
      </c>
      <c r="U179" s="548">
        <f>((M179*R179)*12)</f>
        <v/>
      </c>
      <c r="W179" s="545">
        <f>B179</f>
        <v/>
      </c>
      <c r="X179" s="550">
        <f>C179</f>
        <v/>
      </c>
      <c r="Y179" s="545">
        <f>D179</f>
        <v/>
      </c>
      <c r="Z179" s="546">
        <f>E179</f>
        <v/>
      </c>
      <c r="AA179" s="547">
        <f>F179</f>
        <v/>
      </c>
      <c r="AB179" s="549">
        <f>((H179*Y179)*12)</f>
        <v/>
      </c>
      <c r="AD179" s="545">
        <f>B179</f>
        <v/>
      </c>
      <c r="AE179" s="550">
        <f>C179</f>
        <v/>
      </c>
      <c r="AF179" s="545">
        <f>D179</f>
        <v/>
      </c>
      <c r="AG179" s="546">
        <f>E179</f>
        <v/>
      </c>
      <c r="AH179" s="547">
        <f>F179</f>
        <v/>
      </c>
      <c r="AI179" s="548">
        <f>+MAX(U179,AB179)</f>
        <v/>
      </c>
      <c r="AK179" s="545">
        <f>B179</f>
        <v/>
      </c>
      <c r="AL179" s="550">
        <f>C179</f>
        <v/>
      </c>
      <c r="AM179" s="545">
        <f>D179</f>
        <v/>
      </c>
      <c r="AN179" s="546">
        <f>E179</f>
        <v/>
      </c>
      <c r="AO179" s="547">
        <f>F179</f>
        <v/>
      </c>
      <c r="AP179" s="548">
        <f>IF(G179&gt;0,MAX(U179,AB179),N179)</f>
        <v/>
      </c>
    </row>
    <row r="180" ht="15.75" customFormat="1" customHeight="1" s="120">
      <c r="B180" s="551">
        <f>B157</f>
        <v/>
      </c>
      <c r="C180" s="552">
        <f>C157</f>
        <v/>
      </c>
      <c r="D180" s="551">
        <f>$D157</f>
        <v/>
      </c>
      <c r="E180" s="553">
        <f>E157</f>
        <v/>
      </c>
      <c r="F180" s="554">
        <f>F157*(1+Dashboard!$P$12)</f>
        <v/>
      </c>
      <c r="G180" s="555">
        <f>G157*(1+Dashboard!$P$11)</f>
        <v/>
      </c>
      <c r="H180" s="549">
        <f>+G180-F180</f>
        <v/>
      </c>
      <c r="I180" s="556">
        <f>I157*(1+Dashboard!$P$11)</f>
        <v/>
      </c>
      <c r="J180" s="557">
        <f>I180-F180</f>
        <v/>
      </c>
      <c r="K180" s="558">
        <f>K157*(1+Dashboard!$P$11)</f>
        <v/>
      </c>
      <c r="L180" s="559">
        <f>M180+F180</f>
        <v/>
      </c>
      <c r="M180" s="559">
        <f>M157*(1+Dashboard!$P$11)</f>
        <v/>
      </c>
      <c r="N180" s="548">
        <f>((M180*D180)*12)</f>
        <v/>
      </c>
      <c r="P180" s="545">
        <f>B180</f>
        <v/>
      </c>
      <c r="Q180" s="550">
        <f>C180</f>
        <v/>
      </c>
      <c r="R180" s="545">
        <f>D180</f>
        <v/>
      </c>
      <c r="S180" s="546">
        <f>E180</f>
        <v/>
      </c>
      <c r="T180" s="547">
        <f>F180</f>
        <v/>
      </c>
      <c r="U180" s="548">
        <f>((M180*R180)*12)</f>
        <v/>
      </c>
      <c r="W180" s="545">
        <f>B180</f>
        <v/>
      </c>
      <c r="X180" s="550">
        <f>C180</f>
        <v/>
      </c>
      <c r="Y180" s="545">
        <f>D180</f>
        <v/>
      </c>
      <c r="Z180" s="546">
        <f>E180</f>
        <v/>
      </c>
      <c r="AA180" s="547">
        <f>F180</f>
        <v/>
      </c>
      <c r="AB180" s="549">
        <f>((H180*Y180)*12)</f>
        <v/>
      </c>
      <c r="AD180" s="545">
        <f>B180</f>
        <v/>
      </c>
      <c r="AE180" s="550">
        <f>C180</f>
        <v/>
      </c>
      <c r="AF180" s="545">
        <f>D180</f>
        <v/>
      </c>
      <c r="AG180" s="546">
        <f>E180</f>
        <v/>
      </c>
      <c r="AH180" s="547">
        <f>F180</f>
        <v/>
      </c>
      <c r="AI180" s="548">
        <f>+MAX(U180,AB180)</f>
        <v/>
      </c>
      <c r="AK180" s="545">
        <f>B180</f>
        <v/>
      </c>
      <c r="AL180" s="550">
        <f>C180</f>
        <v/>
      </c>
      <c r="AM180" s="545">
        <f>D180</f>
        <v/>
      </c>
      <c r="AN180" s="546">
        <f>E180</f>
        <v/>
      </c>
      <c r="AO180" s="547">
        <f>F180</f>
        <v/>
      </c>
      <c r="AP180" s="548">
        <f>IF(G180&gt;0,MAX(U180,AB180),N180)</f>
        <v/>
      </c>
    </row>
    <row r="181" ht="15.75" customFormat="1" customHeight="1" s="120">
      <c r="B181" s="551">
        <f>B158</f>
        <v/>
      </c>
      <c r="C181" s="552">
        <f>C158</f>
        <v/>
      </c>
      <c r="D181" s="551">
        <f>$D158</f>
        <v/>
      </c>
      <c r="E181" s="553">
        <f>E158</f>
        <v/>
      </c>
      <c r="F181" s="554">
        <f>F158*(1+Dashboard!$P$12)</f>
        <v/>
      </c>
      <c r="G181" s="555">
        <f>G158*(1+Dashboard!$P$11)</f>
        <v/>
      </c>
      <c r="H181" s="549">
        <f>+G181-F181</f>
        <v/>
      </c>
      <c r="I181" s="556">
        <f>I158*(1+Dashboard!$P$11)</f>
        <v/>
      </c>
      <c r="J181" s="557">
        <f>I181-F181</f>
        <v/>
      </c>
      <c r="K181" s="558">
        <f>K158*(1+Dashboard!$P$11)</f>
        <v/>
      </c>
      <c r="L181" s="559">
        <f>M181+F181</f>
        <v/>
      </c>
      <c r="M181" s="559">
        <f>M158*(1+Dashboard!$P$11)</f>
        <v/>
      </c>
      <c r="N181" s="548">
        <f>((M181*D181)*12)</f>
        <v/>
      </c>
      <c r="P181" s="545">
        <f>B181</f>
        <v/>
      </c>
      <c r="Q181" s="550">
        <f>C181</f>
        <v/>
      </c>
      <c r="R181" s="545">
        <f>D181</f>
        <v/>
      </c>
      <c r="S181" s="546">
        <f>E181</f>
        <v/>
      </c>
      <c r="T181" s="547">
        <f>F181</f>
        <v/>
      </c>
      <c r="U181" s="548">
        <f>((M181*R181)*12)</f>
        <v/>
      </c>
      <c r="W181" s="545">
        <f>B181</f>
        <v/>
      </c>
      <c r="X181" s="550">
        <f>C181</f>
        <v/>
      </c>
      <c r="Y181" s="545">
        <f>D181</f>
        <v/>
      </c>
      <c r="Z181" s="546">
        <f>E181</f>
        <v/>
      </c>
      <c r="AA181" s="547">
        <f>F181</f>
        <v/>
      </c>
      <c r="AB181" s="549">
        <f>((H181*Y181)*12)</f>
        <v/>
      </c>
      <c r="AD181" s="545">
        <f>B181</f>
        <v/>
      </c>
      <c r="AE181" s="550">
        <f>C181</f>
        <v/>
      </c>
      <c r="AF181" s="545">
        <f>D181</f>
        <v/>
      </c>
      <c r="AG181" s="546">
        <f>E181</f>
        <v/>
      </c>
      <c r="AH181" s="547">
        <f>F181</f>
        <v/>
      </c>
      <c r="AI181" s="548">
        <f>+MAX(U181,AB181)</f>
        <v/>
      </c>
      <c r="AK181" s="545">
        <f>B181</f>
        <v/>
      </c>
      <c r="AL181" s="550">
        <f>C181</f>
        <v/>
      </c>
      <c r="AM181" s="545">
        <f>D181</f>
        <v/>
      </c>
      <c r="AN181" s="546">
        <f>E181</f>
        <v/>
      </c>
      <c r="AO181" s="547">
        <f>F181</f>
        <v/>
      </c>
      <c r="AP181" s="548">
        <f>IF(G181&gt;0,MAX(U181,AB181),N181)</f>
        <v/>
      </c>
    </row>
    <row r="182" ht="15.75" customFormat="1" customHeight="1" s="120">
      <c r="B182" s="551">
        <f>B159</f>
        <v/>
      </c>
      <c r="C182" s="552">
        <f>C159</f>
        <v/>
      </c>
      <c r="D182" s="551">
        <f>$D159</f>
        <v/>
      </c>
      <c r="E182" s="553">
        <f>E159</f>
        <v/>
      </c>
      <c r="F182" s="554">
        <f>F159*(1+Dashboard!$P$12)</f>
        <v/>
      </c>
      <c r="G182" s="555">
        <f>G159*(1+Dashboard!$P$11)</f>
        <v/>
      </c>
      <c r="H182" s="549">
        <f>+G182-F182</f>
        <v/>
      </c>
      <c r="I182" s="556">
        <f>I159*(1+Dashboard!$P$11)</f>
        <v/>
      </c>
      <c r="J182" s="557">
        <f>I182-F182</f>
        <v/>
      </c>
      <c r="K182" s="558">
        <f>K159*(1+Dashboard!$P$11)</f>
        <v/>
      </c>
      <c r="L182" s="559">
        <f>M182+F182</f>
        <v/>
      </c>
      <c r="M182" s="559">
        <f>M159*(1+Dashboard!$P$11)</f>
        <v/>
      </c>
      <c r="N182" s="548">
        <f>((M182*D182)*12)</f>
        <v/>
      </c>
      <c r="P182" s="545">
        <f>B182</f>
        <v/>
      </c>
      <c r="Q182" s="550">
        <f>C182</f>
        <v/>
      </c>
      <c r="R182" s="545">
        <f>D182</f>
        <v/>
      </c>
      <c r="S182" s="546">
        <f>E182</f>
        <v/>
      </c>
      <c r="T182" s="547">
        <f>F182</f>
        <v/>
      </c>
      <c r="U182" s="548">
        <f>((M182*R182)*12)</f>
        <v/>
      </c>
      <c r="W182" s="545">
        <f>B182</f>
        <v/>
      </c>
      <c r="X182" s="550">
        <f>C182</f>
        <v/>
      </c>
      <c r="Y182" s="545">
        <f>D182</f>
        <v/>
      </c>
      <c r="Z182" s="546">
        <f>E182</f>
        <v/>
      </c>
      <c r="AA182" s="547">
        <f>F182</f>
        <v/>
      </c>
      <c r="AB182" s="549">
        <f>((H182*Y182)*12)</f>
        <v/>
      </c>
      <c r="AD182" s="545">
        <f>B182</f>
        <v/>
      </c>
      <c r="AE182" s="550">
        <f>C182</f>
        <v/>
      </c>
      <c r="AF182" s="545">
        <f>D182</f>
        <v/>
      </c>
      <c r="AG182" s="546">
        <f>E182</f>
        <v/>
      </c>
      <c r="AH182" s="547">
        <f>F182</f>
        <v/>
      </c>
      <c r="AI182" s="548">
        <f>+MAX(U182,AB182)</f>
        <v/>
      </c>
      <c r="AK182" s="545">
        <f>B182</f>
        <v/>
      </c>
      <c r="AL182" s="550">
        <f>C182</f>
        <v/>
      </c>
      <c r="AM182" s="545">
        <f>D182</f>
        <v/>
      </c>
      <c r="AN182" s="546">
        <f>E182</f>
        <v/>
      </c>
      <c r="AO182" s="547">
        <f>F182</f>
        <v/>
      </c>
      <c r="AP182" s="548">
        <f>IF(G182&gt;0,MAX(U182,AB182),N182)</f>
        <v/>
      </c>
    </row>
    <row r="183" ht="15.75" customFormat="1" customHeight="1" s="120">
      <c r="B183" s="551">
        <f>B160</f>
        <v/>
      </c>
      <c r="C183" s="552">
        <f>C160</f>
        <v/>
      </c>
      <c r="D183" s="551">
        <f>$D160</f>
        <v/>
      </c>
      <c r="E183" s="553">
        <f>E160</f>
        <v/>
      </c>
      <c r="F183" s="554">
        <f>F160*(1+Dashboard!$P$12)</f>
        <v/>
      </c>
      <c r="G183" s="555">
        <f>G160*(1+Dashboard!$P$11)</f>
        <v/>
      </c>
      <c r="H183" s="549">
        <f>+G183-F183</f>
        <v/>
      </c>
      <c r="I183" s="556">
        <f>I160*(1+Dashboard!$P$11)</f>
        <v/>
      </c>
      <c r="J183" s="557">
        <f>I183-F183</f>
        <v/>
      </c>
      <c r="K183" s="558">
        <f>K160*(1+Dashboard!$P$11)</f>
        <v/>
      </c>
      <c r="L183" s="559">
        <f>M183+F183</f>
        <v/>
      </c>
      <c r="M183" s="559">
        <f>M160*(1+Dashboard!$P$11)</f>
        <v/>
      </c>
      <c r="N183" s="548">
        <f>((M183*D183)*12)</f>
        <v/>
      </c>
      <c r="P183" s="545">
        <f>B183</f>
        <v/>
      </c>
      <c r="Q183" s="550">
        <f>C183</f>
        <v/>
      </c>
      <c r="R183" s="545">
        <f>D183</f>
        <v/>
      </c>
      <c r="S183" s="546">
        <f>E183</f>
        <v/>
      </c>
      <c r="T183" s="547">
        <f>F183</f>
        <v/>
      </c>
      <c r="U183" s="548">
        <f>((M183*R183)*12)</f>
        <v/>
      </c>
      <c r="W183" s="545">
        <f>B183</f>
        <v/>
      </c>
      <c r="X183" s="550">
        <f>C183</f>
        <v/>
      </c>
      <c r="Y183" s="545">
        <f>D183</f>
        <v/>
      </c>
      <c r="Z183" s="546">
        <f>E183</f>
        <v/>
      </c>
      <c r="AA183" s="547">
        <f>F183</f>
        <v/>
      </c>
      <c r="AB183" s="549">
        <f>((H183*Y183)*12)</f>
        <v/>
      </c>
      <c r="AD183" s="545">
        <f>B183</f>
        <v/>
      </c>
      <c r="AE183" s="550">
        <f>C183</f>
        <v/>
      </c>
      <c r="AF183" s="545">
        <f>D183</f>
        <v/>
      </c>
      <c r="AG183" s="546">
        <f>E183</f>
        <v/>
      </c>
      <c r="AH183" s="547">
        <f>F183</f>
        <v/>
      </c>
      <c r="AI183" s="548">
        <f>+MAX(U183,AB183)</f>
        <v/>
      </c>
      <c r="AK183" s="545">
        <f>B183</f>
        <v/>
      </c>
      <c r="AL183" s="550">
        <f>C183</f>
        <v/>
      </c>
      <c r="AM183" s="545">
        <f>D183</f>
        <v/>
      </c>
      <c r="AN183" s="546">
        <f>E183</f>
        <v/>
      </c>
      <c r="AO183" s="547">
        <f>F183</f>
        <v/>
      </c>
      <c r="AP183" s="548">
        <f>IF(G183&gt;0,MAX(U183,AB183),N183)</f>
        <v/>
      </c>
    </row>
    <row r="184" ht="15.75" customFormat="1" customHeight="1" s="120">
      <c r="B184" s="551">
        <f>B161</f>
        <v/>
      </c>
      <c r="C184" s="552">
        <f>C161</f>
        <v/>
      </c>
      <c r="D184" s="551">
        <f>$D161</f>
        <v/>
      </c>
      <c r="E184" s="553">
        <f>E161</f>
        <v/>
      </c>
      <c r="F184" s="554">
        <f>F161*(1+Dashboard!$P$12)</f>
        <v/>
      </c>
      <c r="G184" s="555">
        <f>G161*(1+Dashboard!$P$11)</f>
        <v/>
      </c>
      <c r="H184" s="549">
        <f>+G184-F184</f>
        <v/>
      </c>
      <c r="I184" s="556">
        <f>I161*(1+Dashboard!$P$11)</f>
        <v/>
      </c>
      <c r="J184" s="557">
        <f>I184-F184</f>
        <v/>
      </c>
      <c r="K184" s="558">
        <f>K161*(1+Dashboard!$P$11)</f>
        <v/>
      </c>
      <c r="L184" s="559">
        <f>M184+F184</f>
        <v/>
      </c>
      <c r="M184" s="559">
        <f>M161*(1+Dashboard!$P$11)</f>
        <v/>
      </c>
      <c r="N184" s="548">
        <f>((M184*D184)*12)</f>
        <v/>
      </c>
      <c r="P184" s="545">
        <f>B184</f>
        <v/>
      </c>
      <c r="Q184" s="550">
        <f>C184</f>
        <v/>
      </c>
      <c r="R184" s="545">
        <f>D184</f>
        <v/>
      </c>
      <c r="S184" s="546">
        <f>E184</f>
        <v/>
      </c>
      <c r="T184" s="547">
        <f>F184</f>
        <v/>
      </c>
      <c r="U184" s="548">
        <f>((M184*R184)*12)</f>
        <v/>
      </c>
      <c r="W184" s="545">
        <f>B184</f>
        <v/>
      </c>
      <c r="X184" s="550">
        <f>C184</f>
        <v/>
      </c>
      <c r="Y184" s="545">
        <f>D184</f>
        <v/>
      </c>
      <c r="Z184" s="546">
        <f>E184</f>
        <v/>
      </c>
      <c r="AA184" s="547">
        <f>F184</f>
        <v/>
      </c>
      <c r="AB184" s="549">
        <f>((H184*Y184)*12)</f>
        <v/>
      </c>
      <c r="AD184" s="545">
        <f>B184</f>
        <v/>
      </c>
      <c r="AE184" s="550">
        <f>C184</f>
        <v/>
      </c>
      <c r="AF184" s="545">
        <f>D184</f>
        <v/>
      </c>
      <c r="AG184" s="546">
        <f>E184</f>
        <v/>
      </c>
      <c r="AH184" s="547">
        <f>F184</f>
        <v/>
      </c>
      <c r="AI184" s="548">
        <f>+MAX(U184,AB184)</f>
        <v/>
      </c>
      <c r="AK184" s="545">
        <f>B184</f>
        <v/>
      </c>
      <c r="AL184" s="550">
        <f>C184</f>
        <v/>
      </c>
      <c r="AM184" s="545">
        <f>D184</f>
        <v/>
      </c>
      <c r="AN184" s="546">
        <f>E184</f>
        <v/>
      </c>
      <c r="AO184" s="547">
        <f>F184</f>
        <v/>
      </c>
      <c r="AP184" s="548">
        <f>IF(G184&gt;0,MAX(U184,AB184),N184)</f>
        <v/>
      </c>
    </row>
    <row r="185" ht="15.75" customFormat="1" customHeight="1" s="120">
      <c r="B185" s="551">
        <f>B162</f>
        <v/>
      </c>
      <c r="C185" s="552">
        <f>C162</f>
        <v/>
      </c>
      <c r="D185" s="551">
        <f>$D162</f>
        <v/>
      </c>
      <c r="E185" s="553">
        <f>E162</f>
        <v/>
      </c>
      <c r="F185" s="554">
        <f>F162*(1+Dashboard!$P$12)</f>
        <v/>
      </c>
      <c r="G185" s="555">
        <f>G162*(1+Dashboard!$P$11)</f>
        <v/>
      </c>
      <c r="H185" s="549">
        <f>+G185-F185</f>
        <v/>
      </c>
      <c r="I185" s="556">
        <f>I162*(1+Dashboard!$P$11)</f>
        <v/>
      </c>
      <c r="J185" s="557">
        <f>I185-F185</f>
        <v/>
      </c>
      <c r="K185" s="558">
        <f>K162*(1+Dashboard!$P$11)</f>
        <v/>
      </c>
      <c r="L185" s="559">
        <f>M185+F185</f>
        <v/>
      </c>
      <c r="M185" s="559">
        <f>M162*(1+Dashboard!$P$11)</f>
        <v/>
      </c>
      <c r="N185" s="548">
        <f>((M185*D185)*12)</f>
        <v/>
      </c>
      <c r="P185" s="545">
        <f>B185</f>
        <v/>
      </c>
      <c r="Q185" s="550">
        <f>C185</f>
        <v/>
      </c>
      <c r="R185" s="545">
        <f>D185</f>
        <v/>
      </c>
      <c r="S185" s="546">
        <f>E185</f>
        <v/>
      </c>
      <c r="T185" s="547">
        <f>F185</f>
        <v/>
      </c>
      <c r="U185" s="548">
        <f>((M185*R185)*12)</f>
        <v/>
      </c>
      <c r="W185" s="545">
        <f>B185</f>
        <v/>
      </c>
      <c r="X185" s="550">
        <f>C185</f>
        <v/>
      </c>
      <c r="Y185" s="545">
        <f>D185</f>
        <v/>
      </c>
      <c r="Z185" s="546">
        <f>E185</f>
        <v/>
      </c>
      <c r="AA185" s="547">
        <f>F185</f>
        <v/>
      </c>
      <c r="AB185" s="549">
        <f>((H185*Y185)*12)</f>
        <v/>
      </c>
      <c r="AD185" s="545">
        <f>B185</f>
        <v/>
      </c>
      <c r="AE185" s="550">
        <f>C185</f>
        <v/>
      </c>
      <c r="AF185" s="545">
        <f>D185</f>
        <v/>
      </c>
      <c r="AG185" s="546">
        <f>E185</f>
        <v/>
      </c>
      <c r="AH185" s="547">
        <f>F185</f>
        <v/>
      </c>
      <c r="AI185" s="548">
        <f>+MAX(U185,AB185)</f>
        <v/>
      </c>
      <c r="AK185" s="545">
        <f>B185</f>
        <v/>
      </c>
      <c r="AL185" s="550">
        <f>C185</f>
        <v/>
      </c>
      <c r="AM185" s="545">
        <f>D185</f>
        <v/>
      </c>
      <c r="AN185" s="546">
        <f>E185</f>
        <v/>
      </c>
      <c r="AO185" s="547">
        <f>F185</f>
        <v/>
      </c>
      <c r="AP185" s="548">
        <f>IF(G185&gt;0,MAX(U185,AB185),N185)</f>
        <v/>
      </c>
    </row>
    <row r="186" ht="15.75" customFormat="1" customHeight="1" s="120">
      <c r="B186" s="551">
        <f>B163</f>
        <v/>
      </c>
      <c r="C186" s="552">
        <f>C163</f>
        <v/>
      </c>
      <c r="D186" s="551">
        <f>$D163</f>
        <v/>
      </c>
      <c r="E186" s="553">
        <f>E163</f>
        <v/>
      </c>
      <c r="F186" s="554">
        <f>F163*(1+Dashboard!$P$12)</f>
        <v/>
      </c>
      <c r="G186" s="555">
        <f>G163*(1+Dashboard!$P$11)</f>
        <v/>
      </c>
      <c r="H186" s="549">
        <f>+G186-F186</f>
        <v/>
      </c>
      <c r="I186" s="556">
        <f>I163*(1+Dashboard!$P$11)</f>
        <v/>
      </c>
      <c r="J186" s="557">
        <f>I186-F186</f>
        <v/>
      </c>
      <c r="K186" s="558">
        <f>K163*(1+Dashboard!$P$11)</f>
        <v/>
      </c>
      <c r="L186" s="559">
        <f>M186+F186</f>
        <v/>
      </c>
      <c r="M186" s="559">
        <f>M163*(1+Dashboard!$P$11)</f>
        <v/>
      </c>
      <c r="N186" s="548">
        <f>((M186*D186)*12)</f>
        <v/>
      </c>
      <c r="P186" s="545">
        <f>B186</f>
        <v/>
      </c>
      <c r="Q186" s="550">
        <f>C186</f>
        <v/>
      </c>
      <c r="R186" s="545">
        <f>D186</f>
        <v/>
      </c>
      <c r="S186" s="546">
        <f>E186</f>
        <v/>
      </c>
      <c r="T186" s="547">
        <f>F186</f>
        <v/>
      </c>
      <c r="U186" s="548">
        <f>((M186*R186)*12)</f>
        <v/>
      </c>
      <c r="W186" s="545">
        <f>B186</f>
        <v/>
      </c>
      <c r="X186" s="550">
        <f>C186</f>
        <v/>
      </c>
      <c r="Y186" s="545">
        <f>D186</f>
        <v/>
      </c>
      <c r="Z186" s="546">
        <f>E186</f>
        <v/>
      </c>
      <c r="AA186" s="547">
        <f>F186</f>
        <v/>
      </c>
      <c r="AB186" s="549">
        <f>((H186*Y186)*12)</f>
        <v/>
      </c>
      <c r="AD186" s="545">
        <f>B186</f>
        <v/>
      </c>
      <c r="AE186" s="550">
        <f>C186</f>
        <v/>
      </c>
      <c r="AF186" s="545">
        <f>D186</f>
        <v/>
      </c>
      <c r="AG186" s="546">
        <f>E186</f>
        <v/>
      </c>
      <c r="AH186" s="547">
        <f>F186</f>
        <v/>
      </c>
      <c r="AI186" s="548">
        <f>+MAX(U186,AB186)</f>
        <v/>
      </c>
      <c r="AK186" s="545">
        <f>B186</f>
        <v/>
      </c>
      <c r="AL186" s="550">
        <f>C186</f>
        <v/>
      </c>
      <c r="AM186" s="545">
        <f>D186</f>
        <v/>
      </c>
      <c r="AN186" s="546">
        <f>E186</f>
        <v/>
      </c>
      <c r="AO186" s="547">
        <f>F186</f>
        <v/>
      </c>
      <c r="AP186" s="548">
        <f>IF(G186&gt;0,MAX(U186,AB186),N186)</f>
        <v/>
      </c>
    </row>
    <row r="187" ht="15.75" customFormat="1" customHeight="1" s="120">
      <c r="B187" s="198" t="inlineStr">
        <is>
          <t>Total (Pre-Vacancy)</t>
        </is>
      </c>
      <c r="C187" s="122" t="n"/>
      <c r="D187" s="166">
        <f>SUM(D168:D186)</f>
        <v/>
      </c>
      <c r="E187" s="166">
        <f>+SUMPRODUCT(E168:E186,$D168:$D186)</f>
        <v/>
      </c>
      <c r="F187" s="165">
        <f>+SUMPRODUCT(F168:F186,$D168:$D186)</f>
        <v/>
      </c>
      <c r="G187" s="165">
        <f>+SUMPRODUCT(G168:G186,$D168:$D186)</f>
        <v/>
      </c>
      <c r="H187" s="165">
        <f>+SUMPRODUCT(H168:H186,$D168:$D186)</f>
        <v/>
      </c>
      <c r="I187" s="165">
        <f>+SUMPRODUCT(I168:I186,$D168:$D186)</f>
        <v/>
      </c>
      <c r="J187" s="165">
        <f>+SUMPRODUCT(J168:J186,$D168:$D186)</f>
        <v/>
      </c>
      <c r="K187" s="165">
        <f>+SUMPRODUCT(K168:K186,$D168:$D186)</f>
        <v/>
      </c>
      <c r="L187" s="165">
        <f>+SUMPRODUCT(L168:L186,$D168:$D186)</f>
        <v/>
      </c>
      <c r="M187" s="165">
        <f>+SUMPRODUCT(M168:M186,$D168:$D186)</f>
        <v/>
      </c>
      <c r="N187" s="165">
        <f>SUM(N168:N186)</f>
        <v/>
      </c>
      <c r="P187" s="198" t="inlineStr">
        <is>
          <t>Total (Pre-Vacancy)</t>
        </is>
      </c>
      <c r="Q187" s="122" t="n"/>
      <c r="R187" s="560">
        <f>SUM(R168:R186)</f>
        <v/>
      </c>
      <c r="S187" s="560">
        <f>+SUMPRODUCT(S168:S186,$R168:$R186)</f>
        <v/>
      </c>
      <c r="T187" s="165">
        <f>+SUMPRODUCT(T168:T186,$R168:$R186)</f>
        <v/>
      </c>
      <c r="U187" s="165">
        <f>SUM(U168:U186)</f>
        <v/>
      </c>
      <c r="W187" s="198" t="inlineStr">
        <is>
          <t>Total (Pre-Vacancy)</t>
        </is>
      </c>
      <c r="X187" s="122" t="n"/>
      <c r="Y187" s="560">
        <f>SUM(Y168:Y186)</f>
        <v/>
      </c>
      <c r="Z187" s="560">
        <f>+SUMPRODUCT(Z168:Z186,$Y168:$Y186)</f>
        <v/>
      </c>
      <c r="AA187" s="165">
        <f>+SUMPRODUCT(AA168:AA186,$Y168:$Y186)</f>
        <v/>
      </c>
      <c r="AB187" s="165">
        <f>SUM(AB168:AB186)</f>
        <v/>
      </c>
      <c r="AC187" s="122" t="n"/>
      <c r="AD187" s="198" t="inlineStr">
        <is>
          <t>Total (Pre-Vacancy)</t>
        </is>
      </c>
      <c r="AE187" s="122" t="n"/>
      <c r="AF187" s="560">
        <f>SUM(AF168:AF186)</f>
        <v/>
      </c>
      <c r="AG187" s="560">
        <f>+SUMPRODUCT(AG168:AG186,$AF168:$AF186)</f>
        <v/>
      </c>
      <c r="AH187" s="165">
        <f>+SUMPRODUCT(AH168:AH186,$AF168:$AF186)</f>
        <v/>
      </c>
      <c r="AI187" s="165">
        <f>SUM(AI168:AI186)</f>
        <v/>
      </c>
      <c r="AK187" s="198" t="inlineStr">
        <is>
          <t>Total (Pre-Vacancy)</t>
        </is>
      </c>
      <c r="AL187" s="122" t="n"/>
      <c r="AM187" s="560">
        <f>SUM(AF168:AF186)</f>
        <v/>
      </c>
      <c r="AN187" s="560">
        <f>+SUMPRODUCT(AG168:AG186,$AF168:$AF186)</f>
        <v/>
      </c>
      <c r="AO187" s="165">
        <f>+SUMPRODUCT(AH168:AH186,$AF168:$AF186)</f>
        <v/>
      </c>
      <c r="AP187" s="165">
        <f>SUM(AP168:AP186)</f>
        <v/>
      </c>
    </row>
    <row r="188">
      <c r="AK188" s="607" t="n"/>
      <c r="AL188" s="607" t="n"/>
      <c r="AM188" s="607" t="n"/>
      <c r="AN188" s="607" t="n"/>
      <c r="AO188" s="607" t="n"/>
      <c r="AP188" s="607" t="n"/>
    </row>
    <row r="189" ht="15.75" customHeight="1">
      <c r="B189" s="170" t="inlineStr">
        <is>
          <t>Year 9</t>
        </is>
      </c>
      <c r="C189" s="170" t="n"/>
      <c r="D189" s="170" t="n"/>
      <c r="E189" s="170" t="n"/>
      <c r="F189" s="170" t="n"/>
      <c r="G189" s="170" t="n"/>
      <c r="H189" s="170" t="n"/>
      <c r="I189" s="170" t="n"/>
      <c r="J189" s="170" t="n"/>
      <c r="K189" s="170" t="n"/>
      <c r="L189" s="170" t="n"/>
      <c r="M189" s="170" t="n"/>
      <c r="N189" s="170" t="n"/>
      <c r="O189" s="167" t="n"/>
      <c r="P189" s="170">
        <f>+$B189</f>
        <v/>
      </c>
      <c r="Q189" s="170" t="n"/>
      <c r="R189" s="170" t="n"/>
      <c r="S189" s="170" t="n"/>
      <c r="T189" s="170" t="n"/>
      <c r="U189" s="170" t="n"/>
      <c r="V189" s="167" t="n"/>
      <c r="W189" s="170">
        <f>+$B189</f>
        <v/>
      </c>
      <c r="X189" s="170" t="n"/>
      <c r="Y189" s="170" t="n"/>
      <c r="Z189" s="170" t="n"/>
      <c r="AA189" s="170" t="n"/>
      <c r="AB189" s="170" t="n"/>
      <c r="AD189" s="170">
        <f>+$B189</f>
        <v/>
      </c>
      <c r="AE189" s="170" t="n"/>
      <c r="AF189" s="170" t="n"/>
      <c r="AG189" s="170" t="n"/>
      <c r="AH189" s="170" t="n"/>
      <c r="AI189" s="170" t="n"/>
      <c r="AJ189" s="167" t="n"/>
      <c r="AK189" s="170">
        <f>+$B189</f>
        <v/>
      </c>
      <c r="AL189" s="170" t="n"/>
      <c r="AM189" s="170" t="n"/>
      <c r="AN189" s="170" t="n"/>
      <c r="AO189" s="170" t="n"/>
      <c r="AP189" s="170" t="n"/>
    </row>
    <row r="190" ht="38.25" customFormat="1" customHeight="1" s="164">
      <c r="B190" s="543" t="inlineStr">
        <is>
          <t>Unit Type</t>
        </is>
      </c>
      <c r="C190" s="543" t="inlineStr">
        <is>
          <t>AMI / S8</t>
        </is>
      </c>
      <c r="D190" s="543" t="inlineStr">
        <is>
          <t># of Units</t>
        </is>
      </c>
      <c r="E190" s="543" t="inlineStr">
        <is>
          <t>Avg. SF</t>
        </is>
      </c>
      <c r="F190" s="543" t="inlineStr">
        <is>
          <t>Avg. Utilities</t>
        </is>
      </c>
      <c r="G190" s="544" t="inlineStr">
        <is>
          <t>Avg. Max LITHC</t>
        </is>
      </c>
      <c r="H190" s="543" t="inlineStr">
        <is>
          <t>Net LIHTC</t>
        </is>
      </c>
      <c r="I190" s="543" t="inlineStr">
        <is>
          <t>Avg. Max FMR</t>
        </is>
      </c>
      <c r="J190" s="543" t="inlineStr">
        <is>
          <t>Net FMR</t>
        </is>
      </c>
      <c r="K190" s="543">
        <f>+K167</f>
        <v/>
      </c>
      <c r="L190" s="543" t="inlineStr">
        <is>
          <t>Gross Rent</t>
        </is>
      </c>
      <c r="M190" s="543" t="inlineStr">
        <is>
          <t>Avg. Current Rent</t>
        </is>
      </c>
      <c r="N190" s="543" t="inlineStr">
        <is>
          <t>Yrly. Gross Income (Net Rent)</t>
        </is>
      </c>
      <c r="P190" s="543" t="inlineStr">
        <is>
          <t>Unit Type</t>
        </is>
      </c>
      <c r="Q190" s="543" t="inlineStr">
        <is>
          <t>AMI / S8</t>
        </is>
      </c>
      <c r="R190" s="543" t="inlineStr">
        <is>
          <t># of Units</t>
        </is>
      </c>
      <c r="S190" s="543" t="inlineStr">
        <is>
          <t>Avg. SF</t>
        </is>
      </c>
      <c r="T190" s="543" t="inlineStr">
        <is>
          <t>Avg. Utilities</t>
        </is>
      </c>
      <c r="U190" s="543" t="inlineStr">
        <is>
          <t>Max Current Vouchers</t>
        </is>
      </c>
      <c r="W190" s="543" t="inlineStr">
        <is>
          <t>Unit Type</t>
        </is>
      </c>
      <c r="X190" s="543" t="inlineStr">
        <is>
          <t>AMI / S8</t>
        </is>
      </c>
      <c r="Y190" s="543" t="inlineStr">
        <is>
          <t># of Units</t>
        </is>
      </c>
      <c r="Z190" s="543" t="inlineStr">
        <is>
          <t>Avg. SF</t>
        </is>
      </c>
      <c r="AA190" s="543" t="inlineStr">
        <is>
          <t>Avg. Utilities</t>
        </is>
      </c>
      <c r="AB190" s="543" t="inlineStr">
        <is>
          <t>Max NET LIHTC</t>
        </is>
      </c>
      <c r="AD190" s="543" t="inlineStr">
        <is>
          <t>Unit Type</t>
        </is>
      </c>
      <c r="AE190" s="543" t="inlineStr">
        <is>
          <t>AMI / S8</t>
        </is>
      </c>
      <c r="AF190" s="543" t="inlineStr">
        <is>
          <t># of Units</t>
        </is>
      </c>
      <c r="AG190" s="543" t="inlineStr">
        <is>
          <t>Avg. SF</t>
        </is>
      </c>
      <c r="AH190" s="543" t="inlineStr">
        <is>
          <t>Avg. Utilities</t>
        </is>
      </c>
      <c r="AI190" s="543" t="inlineStr">
        <is>
          <t xml:space="preserve">Max Current Vouchers + NET LIHTC </t>
        </is>
      </c>
      <c r="AK190" s="543" t="inlineStr">
        <is>
          <t>Unit Type</t>
        </is>
      </c>
      <c r="AL190" s="543" t="inlineStr">
        <is>
          <t>AMI / S8</t>
        </is>
      </c>
      <c r="AM190" s="543" t="inlineStr">
        <is>
          <t># of Units</t>
        </is>
      </c>
      <c r="AN190" s="543" t="inlineStr">
        <is>
          <t>Avg. SF</t>
        </is>
      </c>
      <c r="AO190" s="543" t="inlineStr">
        <is>
          <t>Avg. Utilities</t>
        </is>
      </c>
      <c r="AP190" s="543" t="inlineStr">
        <is>
          <t xml:space="preserve">Max Current Vouchers + NET LIHTC </t>
        </is>
      </c>
    </row>
    <row r="191" ht="15.75" customFormat="1" customHeight="1" s="120">
      <c r="B191" s="551">
        <f>B168</f>
        <v/>
      </c>
      <c r="C191" s="552">
        <f>C168</f>
        <v/>
      </c>
      <c r="D191" s="551">
        <f>$D168</f>
        <v/>
      </c>
      <c r="E191" s="553">
        <f>E168</f>
        <v/>
      </c>
      <c r="F191" s="554">
        <f>F168*(1+Dashboard!$P$12)</f>
        <v/>
      </c>
      <c r="G191" s="555">
        <f>G168*(1+Dashboard!$P$11)</f>
        <v/>
      </c>
      <c r="H191" s="549">
        <f>+G191-F191</f>
        <v/>
      </c>
      <c r="I191" s="556">
        <f>I168*(1+Dashboard!$P$11)</f>
        <v/>
      </c>
      <c r="J191" s="557">
        <f>I191-F191</f>
        <v/>
      </c>
      <c r="K191" s="558">
        <f>K168*(1+Dashboard!$P$11)</f>
        <v/>
      </c>
      <c r="L191" s="559">
        <f>M191+F191</f>
        <v/>
      </c>
      <c r="M191" s="559">
        <f>M168*(1+Dashboard!$P$11)</f>
        <v/>
      </c>
      <c r="N191" s="548">
        <f>((M191*D191)*12)</f>
        <v/>
      </c>
      <c r="P191" s="545">
        <f>B191</f>
        <v/>
      </c>
      <c r="Q191" s="545">
        <f>C191</f>
        <v/>
      </c>
      <c r="R191" s="545">
        <f>D191</f>
        <v/>
      </c>
      <c r="S191" s="546">
        <f>E191</f>
        <v/>
      </c>
      <c r="T191" s="547">
        <f>F191</f>
        <v/>
      </c>
      <c r="U191" s="548">
        <f>((M191*R191)*12)</f>
        <v/>
      </c>
      <c r="W191" s="545">
        <f>B191</f>
        <v/>
      </c>
      <c r="X191" s="545">
        <f>C191</f>
        <v/>
      </c>
      <c r="Y191" s="545">
        <f>D191</f>
        <v/>
      </c>
      <c r="Z191" s="546">
        <f>E191</f>
        <v/>
      </c>
      <c r="AA191" s="547">
        <f>F191</f>
        <v/>
      </c>
      <c r="AB191" s="549">
        <f>((H191*Y191)*12)</f>
        <v/>
      </c>
      <c r="AD191" s="545">
        <f>B191</f>
        <v/>
      </c>
      <c r="AE191" s="545">
        <f>C191</f>
        <v/>
      </c>
      <c r="AF191" s="545">
        <f>D191</f>
        <v/>
      </c>
      <c r="AG191" s="546">
        <f>E191</f>
        <v/>
      </c>
      <c r="AH191" s="547">
        <f>F191</f>
        <v/>
      </c>
      <c r="AI191" s="548">
        <f>+MAX(U191,AB191)</f>
        <v/>
      </c>
      <c r="AK191" s="545">
        <f>B191</f>
        <v/>
      </c>
      <c r="AL191" s="545">
        <f>C191</f>
        <v/>
      </c>
      <c r="AM191" s="545">
        <f>D191</f>
        <v/>
      </c>
      <c r="AN191" s="546">
        <f>E191</f>
        <v/>
      </c>
      <c r="AO191" s="547">
        <f>F191</f>
        <v/>
      </c>
      <c r="AP191" s="548">
        <f>IF(G191&gt;0,MAX(U191,AB191),N191)</f>
        <v/>
      </c>
    </row>
    <row r="192" ht="15.75" customFormat="1" customHeight="1" s="120">
      <c r="B192" s="551">
        <f>B169</f>
        <v/>
      </c>
      <c r="C192" s="552">
        <f>C169</f>
        <v/>
      </c>
      <c r="D192" s="551">
        <f>$D169</f>
        <v/>
      </c>
      <c r="E192" s="553">
        <f>E169</f>
        <v/>
      </c>
      <c r="F192" s="554">
        <f>F169*(1+Dashboard!$P$12)</f>
        <v/>
      </c>
      <c r="G192" s="555">
        <f>G169*(1+Dashboard!$P$11)</f>
        <v/>
      </c>
      <c r="H192" s="549">
        <f>+G192-F192</f>
        <v/>
      </c>
      <c r="I192" s="556">
        <f>I169*(1+Dashboard!$P$11)</f>
        <v/>
      </c>
      <c r="J192" s="557">
        <f>I192-F192</f>
        <v/>
      </c>
      <c r="K192" s="558">
        <f>K169*(1+Dashboard!$P$11)</f>
        <v/>
      </c>
      <c r="L192" s="559">
        <f>M192+F192</f>
        <v/>
      </c>
      <c r="M192" s="559">
        <f>M169*(1+Dashboard!$P$11)</f>
        <v/>
      </c>
      <c r="N192" s="548">
        <f>((M192*D192)*12)</f>
        <v/>
      </c>
      <c r="P192" s="545">
        <f>B192</f>
        <v/>
      </c>
      <c r="Q192" s="550">
        <f>C192</f>
        <v/>
      </c>
      <c r="R192" s="545">
        <f>D192</f>
        <v/>
      </c>
      <c r="S192" s="546">
        <f>E192</f>
        <v/>
      </c>
      <c r="T192" s="547">
        <f>F192</f>
        <v/>
      </c>
      <c r="U192" s="548">
        <f>((M192*R192)*12)</f>
        <v/>
      </c>
      <c r="W192" s="545">
        <f>B192</f>
        <v/>
      </c>
      <c r="X192" s="550">
        <f>C192</f>
        <v/>
      </c>
      <c r="Y192" s="545">
        <f>D192</f>
        <v/>
      </c>
      <c r="Z192" s="546">
        <f>E192</f>
        <v/>
      </c>
      <c r="AA192" s="547">
        <f>F192</f>
        <v/>
      </c>
      <c r="AB192" s="549">
        <f>((H192*Y192)*12)</f>
        <v/>
      </c>
      <c r="AD192" s="545">
        <f>B192</f>
        <v/>
      </c>
      <c r="AE192" s="550">
        <f>C192</f>
        <v/>
      </c>
      <c r="AF192" s="545">
        <f>D192</f>
        <v/>
      </c>
      <c r="AG192" s="546">
        <f>E192</f>
        <v/>
      </c>
      <c r="AH192" s="547">
        <f>F192</f>
        <v/>
      </c>
      <c r="AI192" s="548">
        <f>+MAX(U192,AB192)</f>
        <v/>
      </c>
      <c r="AK192" s="545">
        <f>B192</f>
        <v/>
      </c>
      <c r="AL192" s="550">
        <f>C192</f>
        <v/>
      </c>
      <c r="AM192" s="545">
        <f>D192</f>
        <v/>
      </c>
      <c r="AN192" s="546">
        <f>E192</f>
        <v/>
      </c>
      <c r="AO192" s="547">
        <f>F192</f>
        <v/>
      </c>
      <c r="AP192" s="548">
        <f>IF(G192&gt;0,MAX(U192,AB192),N192)</f>
        <v/>
      </c>
    </row>
    <row r="193" ht="15.75" customFormat="1" customHeight="1" s="120">
      <c r="B193" s="551">
        <f>B170</f>
        <v/>
      </c>
      <c r="C193" s="552">
        <f>C170</f>
        <v/>
      </c>
      <c r="D193" s="551">
        <f>$D170</f>
        <v/>
      </c>
      <c r="E193" s="553">
        <f>E170</f>
        <v/>
      </c>
      <c r="F193" s="554">
        <f>F170*(1+Dashboard!$P$12)</f>
        <v/>
      </c>
      <c r="G193" s="555">
        <f>G170*(1+Dashboard!$P$11)</f>
        <v/>
      </c>
      <c r="H193" s="549">
        <f>+G193-F193</f>
        <v/>
      </c>
      <c r="I193" s="556">
        <f>I170*(1+Dashboard!$P$11)</f>
        <v/>
      </c>
      <c r="J193" s="557">
        <f>I193-F193</f>
        <v/>
      </c>
      <c r="K193" s="558">
        <f>K170*(1+Dashboard!$P$11)</f>
        <v/>
      </c>
      <c r="L193" s="559">
        <f>M193+F193</f>
        <v/>
      </c>
      <c r="M193" s="559">
        <f>M170*(1+Dashboard!$P$11)</f>
        <v/>
      </c>
      <c r="N193" s="548">
        <f>((M193*D193)*12)</f>
        <v/>
      </c>
      <c r="P193" s="545">
        <f>B193</f>
        <v/>
      </c>
      <c r="Q193" s="550">
        <f>C193</f>
        <v/>
      </c>
      <c r="R193" s="545">
        <f>D193</f>
        <v/>
      </c>
      <c r="S193" s="546">
        <f>E193</f>
        <v/>
      </c>
      <c r="T193" s="547">
        <f>F193</f>
        <v/>
      </c>
      <c r="U193" s="548">
        <f>((M193*R193)*12)</f>
        <v/>
      </c>
      <c r="W193" s="545">
        <f>B193</f>
        <v/>
      </c>
      <c r="X193" s="550">
        <f>C193</f>
        <v/>
      </c>
      <c r="Y193" s="545">
        <f>D193</f>
        <v/>
      </c>
      <c r="Z193" s="546">
        <f>E193</f>
        <v/>
      </c>
      <c r="AA193" s="547">
        <f>F193</f>
        <v/>
      </c>
      <c r="AB193" s="549">
        <f>((H193*Y193)*12)</f>
        <v/>
      </c>
      <c r="AD193" s="545">
        <f>B193</f>
        <v/>
      </c>
      <c r="AE193" s="550">
        <f>C193</f>
        <v/>
      </c>
      <c r="AF193" s="545">
        <f>D193</f>
        <v/>
      </c>
      <c r="AG193" s="546">
        <f>E193</f>
        <v/>
      </c>
      <c r="AH193" s="547">
        <f>F193</f>
        <v/>
      </c>
      <c r="AI193" s="548">
        <f>+MAX(U193,AB193)</f>
        <v/>
      </c>
      <c r="AK193" s="545">
        <f>B193</f>
        <v/>
      </c>
      <c r="AL193" s="550">
        <f>C193</f>
        <v/>
      </c>
      <c r="AM193" s="545">
        <f>D193</f>
        <v/>
      </c>
      <c r="AN193" s="546">
        <f>E193</f>
        <v/>
      </c>
      <c r="AO193" s="547">
        <f>F193</f>
        <v/>
      </c>
      <c r="AP193" s="548">
        <f>IF(G193&gt;0,MAX(U193,AB193),N193)</f>
        <v/>
      </c>
    </row>
    <row r="194" ht="15.75" customFormat="1" customHeight="1" s="120">
      <c r="B194" s="551">
        <f>B171</f>
        <v/>
      </c>
      <c r="C194" s="552">
        <f>C171</f>
        <v/>
      </c>
      <c r="D194" s="551">
        <f>$D171</f>
        <v/>
      </c>
      <c r="E194" s="553">
        <f>E171</f>
        <v/>
      </c>
      <c r="F194" s="554">
        <f>F171*(1+Dashboard!$P$12)</f>
        <v/>
      </c>
      <c r="G194" s="555">
        <f>G171*(1+Dashboard!$P$11)</f>
        <v/>
      </c>
      <c r="H194" s="549">
        <f>+G194-F194</f>
        <v/>
      </c>
      <c r="I194" s="556">
        <f>I171*(1+Dashboard!$P$11)</f>
        <v/>
      </c>
      <c r="J194" s="557">
        <f>I194-F194</f>
        <v/>
      </c>
      <c r="K194" s="558">
        <f>K171*(1+Dashboard!$P$11)</f>
        <v/>
      </c>
      <c r="L194" s="559">
        <f>M194+F194</f>
        <v/>
      </c>
      <c r="M194" s="559">
        <f>M171*(1+Dashboard!$P$11)</f>
        <v/>
      </c>
      <c r="N194" s="548">
        <f>((M194*D194)*12)</f>
        <v/>
      </c>
      <c r="P194" s="545">
        <f>B194</f>
        <v/>
      </c>
      <c r="Q194" s="550">
        <f>C194</f>
        <v/>
      </c>
      <c r="R194" s="545">
        <f>D194</f>
        <v/>
      </c>
      <c r="S194" s="546">
        <f>E194</f>
        <v/>
      </c>
      <c r="T194" s="547">
        <f>F194</f>
        <v/>
      </c>
      <c r="U194" s="548">
        <f>((M194*R194)*12)</f>
        <v/>
      </c>
      <c r="W194" s="545">
        <f>B194</f>
        <v/>
      </c>
      <c r="X194" s="550">
        <f>C194</f>
        <v/>
      </c>
      <c r="Y194" s="545">
        <f>D194</f>
        <v/>
      </c>
      <c r="Z194" s="546">
        <f>E194</f>
        <v/>
      </c>
      <c r="AA194" s="547">
        <f>F194</f>
        <v/>
      </c>
      <c r="AB194" s="549">
        <f>((H194*Y194)*12)</f>
        <v/>
      </c>
      <c r="AD194" s="545">
        <f>B194</f>
        <v/>
      </c>
      <c r="AE194" s="550">
        <f>C194</f>
        <v/>
      </c>
      <c r="AF194" s="545">
        <f>D194</f>
        <v/>
      </c>
      <c r="AG194" s="546">
        <f>E194</f>
        <v/>
      </c>
      <c r="AH194" s="547">
        <f>F194</f>
        <v/>
      </c>
      <c r="AI194" s="548">
        <f>+MAX(U194,AB194)</f>
        <v/>
      </c>
      <c r="AK194" s="545">
        <f>B194</f>
        <v/>
      </c>
      <c r="AL194" s="550">
        <f>C194</f>
        <v/>
      </c>
      <c r="AM194" s="545">
        <f>D194</f>
        <v/>
      </c>
      <c r="AN194" s="546">
        <f>E194</f>
        <v/>
      </c>
      <c r="AO194" s="547">
        <f>F194</f>
        <v/>
      </c>
      <c r="AP194" s="548">
        <f>IF(G194&gt;0,MAX(U194,AB194),N194)</f>
        <v/>
      </c>
    </row>
    <row r="195" ht="15.75" customFormat="1" customHeight="1" s="120">
      <c r="B195" s="551">
        <f>B172</f>
        <v/>
      </c>
      <c r="C195" s="552">
        <f>C172</f>
        <v/>
      </c>
      <c r="D195" s="551">
        <f>$D172</f>
        <v/>
      </c>
      <c r="E195" s="553">
        <f>E172</f>
        <v/>
      </c>
      <c r="F195" s="554">
        <f>F172*(1+Dashboard!$P$12)</f>
        <v/>
      </c>
      <c r="G195" s="555">
        <f>G172*(1+Dashboard!$P$11)</f>
        <v/>
      </c>
      <c r="H195" s="549">
        <f>+G195-F195</f>
        <v/>
      </c>
      <c r="I195" s="556">
        <f>I172*(1+Dashboard!$P$11)</f>
        <v/>
      </c>
      <c r="J195" s="557">
        <f>I195-F195</f>
        <v/>
      </c>
      <c r="K195" s="558">
        <f>K172*(1+Dashboard!$P$11)</f>
        <v/>
      </c>
      <c r="L195" s="559">
        <f>M195+F195</f>
        <v/>
      </c>
      <c r="M195" s="559">
        <f>M172*(1+Dashboard!$P$11)</f>
        <v/>
      </c>
      <c r="N195" s="548">
        <f>((M195*D195)*12)</f>
        <v/>
      </c>
      <c r="P195" s="545">
        <f>B195</f>
        <v/>
      </c>
      <c r="Q195" s="550">
        <f>C195</f>
        <v/>
      </c>
      <c r="R195" s="545">
        <f>D195</f>
        <v/>
      </c>
      <c r="S195" s="546">
        <f>E195</f>
        <v/>
      </c>
      <c r="T195" s="547">
        <f>F195</f>
        <v/>
      </c>
      <c r="U195" s="548">
        <f>((M195*R195)*12)</f>
        <v/>
      </c>
      <c r="W195" s="545">
        <f>B195</f>
        <v/>
      </c>
      <c r="X195" s="550">
        <f>C195</f>
        <v/>
      </c>
      <c r="Y195" s="545">
        <f>D195</f>
        <v/>
      </c>
      <c r="Z195" s="546">
        <f>E195</f>
        <v/>
      </c>
      <c r="AA195" s="547">
        <f>F195</f>
        <v/>
      </c>
      <c r="AB195" s="549">
        <f>((H195*Y195)*12)</f>
        <v/>
      </c>
      <c r="AD195" s="545">
        <f>B195</f>
        <v/>
      </c>
      <c r="AE195" s="550">
        <f>C195</f>
        <v/>
      </c>
      <c r="AF195" s="545">
        <f>D195</f>
        <v/>
      </c>
      <c r="AG195" s="546">
        <f>E195</f>
        <v/>
      </c>
      <c r="AH195" s="547">
        <f>F195</f>
        <v/>
      </c>
      <c r="AI195" s="548">
        <f>+MAX(U195,AB195)</f>
        <v/>
      </c>
      <c r="AK195" s="545">
        <f>B195</f>
        <v/>
      </c>
      <c r="AL195" s="550">
        <f>C195</f>
        <v/>
      </c>
      <c r="AM195" s="545">
        <f>D195</f>
        <v/>
      </c>
      <c r="AN195" s="546">
        <f>E195</f>
        <v/>
      </c>
      <c r="AO195" s="547">
        <f>F195</f>
        <v/>
      </c>
      <c r="AP195" s="548">
        <f>IF(G195&gt;0,MAX(U195,AB195),N195)</f>
        <v/>
      </c>
    </row>
    <row r="196" ht="15.75" customFormat="1" customHeight="1" s="120">
      <c r="B196" s="551">
        <f>B173</f>
        <v/>
      </c>
      <c r="C196" s="552">
        <f>C173</f>
        <v/>
      </c>
      <c r="D196" s="551">
        <f>$D173</f>
        <v/>
      </c>
      <c r="E196" s="553">
        <f>E173</f>
        <v/>
      </c>
      <c r="F196" s="554">
        <f>F173*(1+Dashboard!$P$12)</f>
        <v/>
      </c>
      <c r="G196" s="555">
        <f>G173*(1+Dashboard!$P$11)</f>
        <v/>
      </c>
      <c r="H196" s="549">
        <f>+G196-F196</f>
        <v/>
      </c>
      <c r="I196" s="556">
        <f>I173*(1+Dashboard!$P$11)</f>
        <v/>
      </c>
      <c r="J196" s="557">
        <f>I196-F196</f>
        <v/>
      </c>
      <c r="K196" s="558">
        <f>K173*(1+Dashboard!$P$11)</f>
        <v/>
      </c>
      <c r="L196" s="559">
        <f>M196+F196</f>
        <v/>
      </c>
      <c r="M196" s="559">
        <f>M173*(1+Dashboard!$P$11)</f>
        <v/>
      </c>
      <c r="N196" s="548">
        <f>((M196*D196)*12)</f>
        <v/>
      </c>
      <c r="P196" s="545">
        <f>B196</f>
        <v/>
      </c>
      <c r="Q196" s="550">
        <f>C196</f>
        <v/>
      </c>
      <c r="R196" s="545">
        <f>D196</f>
        <v/>
      </c>
      <c r="S196" s="546">
        <f>E196</f>
        <v/>
      </c>
      <c r="T196" s="547">
        <f>F196</f>
        <v/>
      </c>
      <c r="U196" s="548">
        <f>((M196*R196)*12)</f>
        <v/>
      </c>
      <c r="W196" s="545">
        <f>B196</f>
        <v/>
      </c>
      <c r="X196" s="550">
        <f>C196</f>
        <v/>
      </c>
      <c r="Y196" s="545">
        <f>D196</f>
        <v/>
      </c>
      <c r="Z196" s="546">
        <f>E196</f>
        <v/>
      </c>
      <c r="AA196" s="547">
        <f>F196</f>
        <v/>
      </c>
      <c r="AB196" s="549">
        <f>((H196*Y196)*12)</f>
        <v/>
      </c>
      <c r="AD196" s="545">
        <f>B196</f>
        <v/>
      </c>
      <c r="AE196" s="550">
        <f>C196</f>
        <v/>
      </c>
      <c r="AF196" s="545">
        <f>D196</f>
        <v/>
      </c>
      <c r="AG196" s="546">
        <f>E196</f>
        <v/>
      </c>
      <c r="AH196" s="547">
        <f>F196</f>
        <v/>
      </c>
      <c r="AI196" s="548">
        <f>+MAX(U196,AB196)</f>
        <v/>
      </c>
      <c r="AK196" s="545">
        <f>B196</f>
        <v/>
      </c>
      <c r="AL196" s="550">
        <f>C196</f>
        <v/>
      </c>
      <c r="AM196" s="545">
        <f>D196</f>
        <v/>
      </c>
      <c r="AN196" s="546">
        <f>E196</f>
        <v/>
      </c>
      <c r="AO196" s="547">
        <f>F196</f>
        <v/>
      </c>
      <c r="AP196" s="548">
        <f>IF(G196&gt;0,MAX(U196,AB196),N196)</f>
        <v/>
      </c>
    </row>
    <row r="197" ht="15.75" customFormat="1" customHeight="1" s="120">
      <c r="B197" s="551">
        <f>B174</f>
        <v/>
      </c>
      <c r="C197" s="552">
        <f>C174</f>
        <v/>
      </c>
      <c r="D197" s="551">
        <f>$D174</f>
        <v/>
      </c>
      <c r="E197" s="553">
        <f>E174</f>
        <v/>
      </c>
      <c r="F197" s="554">
        <f>F174*(1+Dashboard!$P$12)</f>
        <v/>
      </c>
      <c r="G197" s="555">
        <f>G174*(1+Dashboard!$P$11)</f>
        <v/>
      </c>
      <c r="H197" s="549">
        <f>+G197-F197</f>
        <v/>
      </c>
      <c r="I197" s="556">
        <f>I174*(1+Dashboard!$P$11)</f>
        <v/>
      </c>
      <c r="J197" s="557">
        <f>I197-F197</f>
        <v/>
      </c>
      <c r="K197" s="558">
        <f>K174*(1+Dashboard!$P$11)</f>
        <v/>
      </c>
      <c r="L197" s="559">
        <f>M197+F197</f>
        <v/>
      </c>
      <c r="M197" s="559">
        <f>M174*(1+Dashboard!$P$11)</f>
        <v/>
      </c>
      <c r="N197" s="548">
        <f>((M197*D197)*12)</f>
        <v/>
      </c>
      <c r="P197" s="545">
        <f>B197</f>
        <v/>
      </c>
      <c r="Q197" s="550">
        <f>C197</f>
        <v/>
      </c>
      <c r="R197" s="545">
        <f>D197</f>
        <v/>
      </c>
      <c r="S197" s="546">
        <f>E197</f>
        <v/>
      </c>
      <c r="T197" s="547">
        <f>F197</f>
        <v/>
      </c>
      <c r="U197" s="548">
        <f>((M197*R197)*12)</f>
        <v/>
      </c>
      <c r="W197" s="545">
        <f>B197</f>
        <v/>
      </c>
      <c r="X197" s="550">
        <f>C197</f>
        <v/>
      </c>
      <c r="Y197" s="545">
        <f>D197</f>
        <v/>
      </c>
      <c r="Z197" s="546">
        <f>E197</f>
        <v/>
      </c>
      <c r="AA197" s="547">
        <f>F197</f>
        <v/>
      </c>
      <c r="AB197" s="549">
        <f>((H197*Y197)*12)</f>
        <v/>
      </c>
      <c r="AD197" s="545">
        <f>B197</f>
        <v/>
      </c>
      <c r="AE197" s="550">
        <f>C197</f>
        <v/>
      </c>
      <c r="AF197" s="545">
        <f>D197</f>
        <v/>
      </c>
      <c r="AG197" s="546">
        <f>E197</f>
        <v/>
      </c>
      <c r="AH197" s="547">
        <f>F197</f>
        <v/>
      </c>
      <c r="AI197" s="548">
        <f>+MAX(U197,AB197)</f>
        <v/>
      </c>
      <c r="AK197" s="545">
        <f>B197</f>
        <v/>
      </c>
      <c r="AL197" s="550">
        <f>C197</f>
        <v/>
      </c>
      <c r="AM197" s="545">
        <f>D197</f>
        <v/>
      </c>
      <c r="AN197" s="546">
        <f>E197</f>
        <v/>
      </c>
      <c r="AO197" s="547">
        <f>F197</f>
        <v/>
      </c>
      <c r="AP197" s="548">
        <f>IF(G197&gt;0,MAX(U197,AB197),N197)</f>
        <v/>
      </c>
    </row>
    <row r="198" ht="15.75" customFormat="1" customHeight="1" s="120">
      <c r="B198" s="551">
        <f>B175</f>
        <v/>
      </c>
      <c r="C198" s="552">
        <f>C175</f>
        <v/>
      </c>
      <c r="D198" s="551">
        <f>$D175</f>
        <v/>
      </c>
      <c r="E198" s="553">
        <f>E175</f>
        <v/>
      </c>
      <c r="F198" s="554">
        <f>F175*(1+Dashboard!$P$12)</f>
        <v/>
      </c>
      <c r="G198" s="555">
        <f>G175*(1+Dashboard!$P$11)</f>
        <v/>
      </c>
      <c r="H198" s="549">
        <f>+G198-F198</f>
        <v/>
      </c>
      <c r="I198" s="556">
        <f>I175*(1+Dashboard!$P$11)</f>
        <v/>
      </c>
      <c r="J198" s="557">
        <f>I198-F198</f>
        <v/>
      </c>
      <c r="K198" s="558">
        <f>K175*(1+Dashboard!$P$11)</f>
        <v/>
      </c>
      <c r="L198" s="559">
        <f>M198+F198</f>
        <v/>
      </c>
      <c r="M198" s="559">
        <f>M175*(1+Dashboard!$P$11)</f>
        <v/>
      </c>
      <c r="N198" s="548">
        <f>((M198*D198)*12)</f>
        <v/>
      </c>
      <c r="P198" s="545">
        <f>B198</f>
        <v/>
      </c>
      <c r="Q198" s="550">
        <f>C198</f>
        <v/>
      </c>
      <c r="R198" s="545">
        <f>D198</f>
        <v/>
      </c>
      <c r="S198" s="546">
        <f>E198</f>
        <v/>
      </c>
      <c r="T198" s="547">
        <f>F198</f>
        <v/>
      </c>
      <c r="U198" s="548">
        <f>((M198*R198)*12)</f>
        <v/>
      </c>
      <c r="W198" s="545">
        <f>B198</f>
        <v/>
      </c>
      <c r="X198" s="550">
        <f>C198</f>
        <v/>
      </c>
      <c r="Y198" s="545">
        <f>D198</f>
        <v/>
      </c>
      <c r="Z198" s="546">
        <f>E198</f>
        <v/>
      </c>
      <c r="AA198" s="547">
        <f>F198</f>
        <v/>
      </c>
      <c r="AB198" s="549">
        <f>((H198*Y198)*12)</f>
        <v/>
      </c>
      <c r="AD198" s="545">
        <f>B198</f>
        <v/>
      </c>
      <c r="AE198" s="550">
        <f>C198</f>
        <v/>
      </c>
      <c r="AF198" s="545">
        <f>D198</f>
        <v/>
      </c>
      <c r="AG198" s="546">
        <f>E198</f>
        <v/>
      </c>
      <c r="AH198" s="547">
        <f>F198</f>
        <v/>
      </c>
      <c r="AI198" s="548">
        <f>+MAX(U198,AB198)</f>
        <v/>
      </c>
      <c r="AK198" s="545">
        <f>B198</f>
        <v/>
      </c>
      <c r="AL198" s="550">
        <f>C198</f>
        <v/>
      </c>
      <c r="AM198" s="545">
        <f>D198</f>
        <v/>
      </c>
      <c r="AN198" s="546">
        <f>E198</f>
        <v/>
      </c>
      <c r="AO198" s="547">
        <f>F198</f>
        <v/>
      </c>
      <c r="AP198" s="548">
        <f>IF(G198&gt;0,MAX(U198,AB198),N198)</f>
        <v/>
      </c>
    </row>
    <row r="199" ht="15.75" customFormat="1" customHeight="1" s="120">
      <c r="B199" s="551">
        <f>B176</f>
        <v/>
      </c>
      <c r="C199" s="552">
        <f>C176</f>
        <v/>
      </c>
      <c r="D199" s="551">
        <f>$D176</f>
        <v/>
      </c>
      <c r="E199" s="553">
        <f>E176</f>
        <v/>
      </c>
      <c r="F199" s="554">
        <f>F176*(1+Dashboard!$P$12)</f>
        <v/>
      </c>
      <c r="G199" s="555">
        <f>G176*(1+Dashboard!$P$11)</f>
        <v/>
      </c>
      <c r="H199" s="549">
        <f>+G199-F199</f>
        <v/>
      </c>
      <c r="I199" s="556">
        <f>I176*(1+Dashboard!$P$11)</f>
        <v/>
      </c>
      <c r="J199" s="557">
        <f>I199-F199</f>
        <v/>
      </c>
      <c r="K199" s="558">
        <f>K176*(1+Dashboard!$P$11)</f>
        <v/>
      </c>
      <c r="L199" s="559">
        <f>M199+F199</f>
        <v/>
      </c>
      <c r="M199" s="559">
        <f>M176*(1+Dashboard!$P$11)</f>
        <v/>
      </c>
      <c r="N199" s="548">
        <f>((M199*D199)*12)</f>
        <v/>
      </c>
      <c r="P199" s="545">
        <f>B199</f>
        <v/>
      </c>
      <c r="Q199" s="550">
        <f>C199</f>
        <v/>
      </c>
      <c r="R199" s="545">
        <f>D199</f>
        <v/>
      </c>
      <c r="S199" s="546">
        <f>E199</f>
        <v/>
      </c>
      <c r="T199" s="547">
        <f>F199</f>
        <v/>
      </c>
      <c r="U199" s="548">
        <f>((M199*R199)*12)</f>
        <v/>
      </c>
      <c r="W199" s="545">
        <f>B199</f>
        <v/>
      </c>
      <c r="X199" s="550">
        <f>C199</f>
        <v/>
      </c>
      <c r="Y199" s="545">
        <f>D199</f>
        <v/>
      </c>
      <c r="Z199" s="546">
        <f>E199</f>
        <v/>
      </c>
      <c r="AA199" s="547">
        <f>F199</f>
        <v/>
      </c>
      <c r="AB199" s="549">
        <f>((H199*Y199)*12)</f>
        <v/>
      </c>
      <c r="AD199" s="545">
        <f>B199</f>
        <v/>
      </c>
      <c r="AE199" s="550">
        <f>C199</f>
        <v/>
      </c>
      <c r="AF199" s="545">
        <f>D199</f>
        <v/>
      </c>
      <c r="AG199" s="546">
        <f>E199</f>
        <v/>
      </c>
      <c r="AH199" s="547">
        <f>F199</f>
        <v/>
      </c>
      <c r="AI199" s="548">
        <f>+MAX(U199,AB199)</f>
        <v/>
      </c>
      <c r="AK199" s="545">
        <f>B199</f>
        <v/>
      </c>
      <c r="AL199" s="550">
        <f>C199</f>
        <v/>
      </c>
      <c r="AM199" s="545">
        <f>D199</f>
        <v/>
      </c>
      <c r="AN199" s="546">
        <f>E199</f>
        <v/>
      </c>
      <c r="AO199" s="547">
        <f>F199</f>
        <v/>
      </c>
      <c r="AP199" s="548">
        <f>IF(G199&gt;0,MAX(U199,AB199),N199)</f>
        <v/>
      </c>
    </row>
    <row r="200" ht="15.75" customFormat="1" customHeight="1" s="120">
      <c r="B200" s="551">
        <f>B177</f>
        <v/>
      </c>
      <c r="C200" s="552">
        <f>C177</f>
        <v/>
      </c>
      <c r="D200" s="551">
        <f>$D177</f>
        <v/>
      </c>
      <c r="E200" s="553">
        <f>E177</f>
        <v/>
      </c>
      <c r="F200" s="554">
        <f>F177*(1+Dashboard!$P$12)</f>
        <v/>
      </c>
      <c r="G200" s="555">
        <f>G177*(1+Dashboard!$P$11)</f>
        <v/>
      </c>
      <c r="H200" s="549">
        <f>+G200-F200</f>
        <v/>
      </c>
      <c r="I200" s="556">
        <f>I177*(1+Dashboard!$P$11)</f>
        <v/>
      </c>
      <c r="J200" s="557">
        <f>I200-F200</f>
        <v/>
      </c>
      <c r="K200" s="558">
        <f>K177*(1+Dashboard!$P$11)</f>
        <v/>
      </c>
      <c r="L200" s="559">
        <f>M200+F200</f>
        <v/>
      </c>
      <c r="M200" s="559">
        <f>M177*(1+Dashboard!$P$11)</f>
        <v/>
      </c>
      <c r="N200" s="548">
        <f>((M200*D200)*12)</f>
        <v/>
      </c>
      <c r="P200" s="545">
        <f>B200</f>
        <v/>
      </c>
      <c r="Q200" s="550">
        <f>C200</f>
        <v/>
      </c>
      <c r="R200" s="545">
        <f>D200</f>
        <v/>
      </c>
      <c r="S200" s="546">
        <f>E200</f>
        <v/>
      </c>
      <c r="T200" s="547">
        <f>F200</f>
        <v/>
      </c>
      <c r="U200" s="548">
        <f>((M200*R200)*12)</f>
        <v/>
      </c>
      <c r="W200" s="545">
        <f>B200</f>
        <v/>
      </c>
      <c r="X200" s="550">
        <f>C200</f>
        <v/>
      </c>
      <c r="Y200" s="545">
        <f>D200</f>
        <v/>
      </c>
      <c r="Z200" s="546">
        <f>E200</f>
        <v/>
      </c>
      <c r="AA200" s="547">
        <f>F200</f>
        <v/>
      </c>
      <c r="AB200" s="549">
        <f>((H200*Y200)*12)</f>
        <v/>
      </c>
      <c r="AD200" s="545">
        <f>B200</f>
        <v/>
      </c>
      <c r="AE200" s="550">
        <f>C200</f>
        <v/>
      </c>
      <c r="AF200" s="545">
        <f>D200</f>
        <v/>
      </c>
      <c r="AG200" s="546">
        <f>E200</f>
        <v/>
      </c>
      <c r="AH200" s="547">
        <f>F200</f>
        <v/>
      </c>
      <c r="AI200" s="548">
        <f>+MAX(U200,AB200)</f>
        <v/>
      </c>
      <c r="AK200" s="545">
        <f>B200</f>
        <v/>
      </c>
      <c r="AL200" s="550">
        <f>C200</f>
        <v/>
      </c>
      <c r="AM200" s="545">
        <f>D200</f>
        <v/>
      </c>
      <c r="AN200" s="546">
        <f>E200</f>
        <v/>
      </c>
      <c r="AO200" s="547">
        <f>F200</f>
        <v/>
      </c>
      <c r="AP200" s="548">
        <f>IF(G200&gt;0,MAX(U200,AB200),N200)</f>
        <v/>
      </c>
    </row>
    <row r="201" ht="15.75" customFormat="1" customHeight="1" s="120">
      <c r="B201" s="551">
        <f>B178</f>
        <v/>
      </c>
      <c r="C201" s="552">
        <f>C178</f>
        <v/>
      </c>
      <c r="D201" s="551">
        <f>$D178</f>
        <v/>
      </c>
      <c r="E201" s="553">
        <f>E178</f>
        <v/>
      </c>
      <c r="F201" s="554">
        <f>F178*(1+Dashboard!$P$12)</f>
        <v/>
      </c>
      <c r="G201" s="555">
        <f>G178*(1+Dashboard!$P$11)</f>
        <v/>
      </c>
      <c r="H201" s="549">
        <f>+G201-F201</f>
        <v/>
      </c>
      <c r="I201" s="556">
        <f>I178*(1+Dashboard!$P$11)</f>
        <v/>
      </c>
      <c r="J201" s="557">
        <f>I201-F201</f>
        <v/>
      </c>
      <c r="K201" s="558">
        <f>K178*(1+Dashboard!$P$11)</f>
        <v/>
      </c>
      <c r="L201" s="559">
        <f>M201+F201</f>
        <v/>
      </c>
      <c r="M201" s="559">
        <f>M178*(1+Dashboard!$P$11)</f>
        <v/>
      </c>
      <c r="N201" s="548">
        <f>((M201*D201)*12)</f>
        <v/>
      </c>
      <c r="P201" s="545">
        <f>B201</f>
        <v/>
      </c>
      <c r="Q201" s="550">
        <f>C201</f>
        <v/>
      </c>
      <c r="R201" s="545">
        <f>D201</f>
        <v/>
      </c>
      <c r="S201" s="546">
        <f>E201</f>
        <v/>
      </c>
      <c r="T201" s="547">
        <f>F201</f>
        <v/>
      </c>
      <c r="U201" s="548">
        <f>((M201*R201)*12)</f>
        <v/>
      </c>
      <c r="W201" s="545">
        <f>B201</f>
        <v/>
      </c>
      <c r="X201" s="550">
        <f>C201</f>
        <v/>
      </c>
      <c r="Y201" s="545">
        <f>D201</f>
        <v/>
      </c>
      <c r="Z201" s="546">
        <f>E201</f>
        <v/>
      </c>
      <c r="AA201" s="547">
        <f>F201</f>
        <v/>
      </c>
      <c r="AB201" s="549">
        <f>((H201*Y201)*12)</f>
        <v/>
      </c>
      <c r="AD201" s="545">
        <f>B201</f>
        <v/>
      </c>
      <c r="AE201" s="550">
        <f>C201</f>
        <v/>
      </c>
      <c r="AF201" s="545">
        <f>D201</f>
        <v/>
      </c>
      <c r="AG201" s="546">
        <f>E201</f>
        <v/>
      </c>
      <c r="AH201" s="547">
        <f>F201</f>
        <v/>
      </c>
      <c r="AI201" s="548">
        <f>+MAX(U201,AB201)</f>
        <v/>
      </c>
      <c r="AK201" s="545">
        <f>B201</f>
        <v/>
      </c>
      <c r="AL201" s="550">
        <f>C201</f>
        <v/>
      </c>
      <c r="AM201" s="545">
        <f>D201</f>
        <v/>
      </c>
      <c r="AN201" s="546">
        <f>E201</f>
        <v/>
      </c>
      <c r="AO201" s="547">
        <f>F201</f>
        <v/>
      </c>
      <c r="AP201" s="548">
        <f>IF(G201&gt;0,MAX(U201,AB201),N201)</f>
        <v/>
      </c>
    </row>
    <row r="202" ht="15.75" customFormat="1" customHeight="1" s="120">
      <c r="B202" s="551">
        <f>B179</f>
        <v/>
      </c>
      <c r="C202" s="552">
        <f>C179</f>
        <v/>
      </c>
      <c r="D202" s="551">
        <f>$D179</f>
        <v/>
      </c>
      <c r="E202" s="553">
        <f>E179</f>
        <v/>
      </c>
      <c r="F202" s="554">
        <f>F179*(1+Dashboard!$P$12)</f>
        <v/>
      </c>
      <c r="G202" s="555">
        <f>G179*(1+Dashboard!$P$11)</f>
        <v/>
      </c>
      <c r="H202" s="549">
        <f>+G202-F202</f>
        <v/>
      </c>
      <c r="I202" s="556">
        <f>I179*(1+Dashboard!$P$11)</f>
        <v/>
      </c>
      <c r="J202" s="557">
        <f>I202-F202</f>
        <v/>
      </c>
      <c r="K202" s="558">
        <f>K179*(1+Dashboard!$P$11)</f>
        <v/>
      </c>
      <c r="L202" s="559">
        <f>M202+F202</f>
        <v/>
      </c>
      <c r="M202" s="559">
        <f>M179*(1+Dashboard!$P$11)</f>
        <v/>
      </c>
      <c r="N202" s="548">
        <f>((M202*D202)*12)</f>
        <v/>
      </c>
      <c r="P202" s="545">
        <f>B202</f>
        <v/>
      </c>
      <c r="Q202" s="550">
        <f>C202</f>
        <v/>
      </c>
      <c r="R202" s="545">
        <f>D202</f>
        <v/>
      </c>
      <c r="S202" s="546">
        <f>E202</f>
        <v/>
      </c>
      <c r="T202" s="547">
        <f>F202</f>
        <v/>
      </c>
      <c r="U202" s="548">
        <f>((M202*R202)*12)</f>
        <v/>
      </c>
      <c r="W202" s="545">
        <f>B202</f>
        <v/>
      </c>
      <c r="X202" s="550">
        <f>C202</f>
        <v/>
      </c>
      <c r="Y202" s="545">
        <f>D202</f>
        <v/>
      </c>
      <c r="Z202" s="546">
        <f>E202</f>
        <v/>
      </c>
      <c r="AA202" s="547">
        <f>F202</f>
        <v/>
      </c>
      <c r="AB202" s="549">
        <f>((H202*Y202)*12)</f>
        <v/>
      </c>
      <c r="AD202" s="545">
        <f>B202</f>
        <v/>
      </c>
      <c r="AE202" s="550">
        <f>C202</f>
        <v/>
      </c>
      <c r="AF202" s="545">
        <f>D202</f>
        <v/>
      </c>
      <c r="AG202" s="546">
        <f>E202</f>
        <v/>
      </c>
      <c r="AH202" s="547">
        <f>F202</f>
        <v/>
      </c>
      <c r="AI202" s="548">
        <f>+MAX(U202,AB202)</f>
        <v/>
      </c>
      <c r="AK202" s="545">
        <f>B202</f>
        <v/>
      </c>
      <c r="AL202" s="550">
        <f>C202</f>
        <v/>
      </c>
      <c r="AM202" s="545">
        <f>D202</f>
        <v/>
      </c>
      <c r="AN202" s="546">
        <f>E202</f>
        <v/>
      </c>
      <c r="AO202" s="547">
        <f>F202</f>
        <v/>
      </c>
      <c r="AP202" s="548">
        <f>IF(G202&gt;0,MAX(U202,AB202),N202)</f>
        <v/>
      </c>
    </row>
    <row r="203" ht="15.75" customFormat="1" customHeight="1" s="120">
      <c r="B203" s="551">
        <f>B180</f>
        <v/>
      </c>
      <c r="C203" s="552">
        <f>C180</f>
        <v/>
      </c>
      <c r="D203" s="551">
        <f>$D180</f>
        <v/>
      </c>
      <c r="E203" s="553">
        <f>E180</f>
        <v/>
      </c>
      <c r="F203" s="554">
        <f>F180*(1+Dashboard!$P$12)</f>
        <v/>
      </c>
      <c r="G203" s="555">
        <f>G180*(1+Dashboard!$P$11)</f>
        <v/>
      </c>
      <c r="H203" s="549">
        <f>+G203-F203</f>
        <v/>
      </c>
      <c r="I203" s="556">
        <f>I180*(1+Dashboard!$P$11)</f>
        <v/>
      </c>
      <c r="J203" s="557">
        <f>I203-F203</f>
        <v/>
      </c>
      <c r="K203" s="558">
        <f>K180*(1+Dashboard!$P$11)</f>
        <v/>
      </c>
      <c r="L203" s="559">
        <f>M203+F203</f>
        <v/>
      </c>
      <c r="M203" s="559">
        <f>M180*(1+Dashboard!$P$11)</f>
        <v/>
      </c>
      <c r="N203" s="548">
        <f>((M203*D203)*12)</f>
        <v/>
      </c>
      <c r="P203" s="545">
        <f>B203</f>
        <v/>
      </c>
      <c r="Q203" s="550">
        <f>C203</f>
        <v/>
      </c>
      <c r="R203" s="545">
        <f>D203</f>
        <v/>
      </c>
      <c r="S203" s="546">
        <f>E203</f>
        <v/>
      </c>
      <c r="T203" s="547">
        <f>F203</f>
        <v/>
      </c>
      <c r="U203" s="548">
        <f>((M203*R203)*12)</f>
        <v/>
      </c>
      <c r="W203" s="545">
        <f>B203</f>
        <v/>
      </c>
      <c r="X203" s="550">
        <f>C203</f>
        <v/>
      </c>
      <c r="Y203" s="545">
        <f>D203</f>
        <v/>
      </c>
      <c r="Z203" s="546">
        <f>E203</f>
        <v/>
      </c>
      <c r="AA203" s="547">
        <f>F203</f>
        <v/>
      </c>
      <c r="AB203" s="549">
        <f>((H203*Y203)*12)</f>
        <v/>
      </c>
      <c r="AD203" s="545">
        <f>B203</f>
        <v/>
      </c>
      <c r="AE203" s="550">
        <f>C203</f>
        <v/>
      </c>
      <c r="AF203" s="545">
        <f>D203</f>
        <v/>
      </c>
      <c r="AG203" s="546">
        <f>E203</f>
        <v/>
      </c>
      <c r="AH203" s="547">
        <f>F203</f>
        <v/>
      </c>
      <c r="AI203" s="548">
        <f>+MAX(U203,AB203)</f>
        <v/>
      </c>
      <c r="AK203" s="545">
        <f>B203</f>
        <v/>
      </c>
      <c r="AL203" s="550">
        <f>C203</f>
        <v/>
      </c>
      <c r="AM203" s="545">
        <f>D203</f>
        <v/>
      </c>
      <c r="AN203" s="546">
        <f>E203</f>
        <v/>
      </c>
      <c r="AO203" s="547">
        <f>F203</f>
        <v/>
      </c>
      <c r="AP203" s="548">
        <f>IF(G203&gt;0,MAX(U203,AB203),N203)</f>
        <v/>
      </c>
    </row>
    <row r="204" ht="15.75" customFormat="1" customHeight="1" s="120">
      <c r="B204" s="551">
        <f>B181</f>
        <v/>
      </c>
      <c r="C204" s="552">
        <f>C181</f>
        <v/>
      </c>
      <c r="D204" s="551">
        <f>$D181</f>
        <v/>
      </c>
      <c r="E204" s="553">
        <f>E181</f>
        <v/>
      </c>
      <c r="F204" s="554">
        <f>F181*(1+Dashboard!$P$12)</f>
        <v/>
      </c>
      <c r="G204" s="555">
        <f>G181*(1+Dashboard!$P$11)</f>
        <v/>
      </c>
      <c r="H204" s="549">
        <f>+G204-F204</f>
        <v/>
      </c>
      <c r="I204" s="556">
        <f>I181*(1+Dashboard!$P$11)</f>
        <v/>
      </c>
      <c r="J204" s="557">
        <f>I204-F204</f>
        <v/>
      </c>
      <c r="K204" s="558">
        <f>K181*(1+Dashboard!$P$11)</f>
        <v/>
      </c>
      <c r="L204" s="559">
        <f>M204+F204</f>
        <v/>
      </c>
      <c r="M204" s="559">
        <f>M181*(1+Dashboard!$P$11)</f>
        <v/>
      </c>
      <c r="N204" s="548">
        <f>((M204*D204)*12)</f>
        <v/>
      </c>
      <c r="P204" s="545">
        <f>B204</f>
        <v/>
      </c>
      <c r="Q204" s="550">
        <f>C204</f>
        <v/>
      </c>
      <c r="R204" s="545">
        <f>D204</f>
        <v/>
      </c>
      <c r="S204" s="546">
        <f>E204</f>
        <v/>
      </c>
      <c r="T204" s="547">
        <f>F204</f>
        <v/>
      </c>
      <c r="U204" s="548">
        <f>((M204*R204)*12)</f>
        <v/>
      </c>
      <c r="W204" s="545">
        <f>B204</f>
        <v/>
      </c>
      <c r="X204" s="550">
        <f>C204</f>
        <v/>
      </c>
      <c r="Y204" s="545">
        <f>D204</f>
        <v/>
      </c>
      <c r="Z204" s="546">
        <f>E204</f>
        <v/>
      </c>
      <c r="AA204" s="547">
        <f>F204</f>
        <v/>
      </c>
      <c r="AB204" s="549">
        <f>((H204*Y204)*12)</f>
        <v/>
      </c>
      <c r="AD204" s="545">
        <f>B204</f>
        <v/>
      </c>
      <c r="AE204" s="550">
        <f>C204</f>
        <v/>
      </c>
      <c r="AF204" s="545">
        <f>D204</f>
        <v/>
      </c>
      <c r="AG204" s="546">
        <f>E204</f>
        <v/>
      </c>
      <c r="AH204" s="547">
        <f>F204</f>
        <v/>
      </c>
      <c r="AI204" s="548">
        <f>+MAX(U204,AB204)</f>
        <v/>
      </c>
      <c r="AK204" s="545">
        <f>B204</f>
        <v/>
      </c>
      <c r="AL204" s="550">
        <f>C204</f>
        <v/>
      </c>
      <c r="AM204" s="545">
        <f>D204</f>
        <v/>
      </c>
      <c r="AN204" s="546">
        <f>E204</f>
        <v/>
      </c>
      <c r="AO204" s="547">
        <f>F204</f>
        <v/>
      </c>
      <c r="AP204" s="548">
        <f>IF(G204&gt;0,MAX(U204,AB204),N204)</f>
        <v/>
      </c>
    </row>
    <row r="205" ht="15.75" customFormat="1" customHeight="1" s="120">
      <c r="B205" s="551">
        <f>B182</f>
        <v/>
      </c>
      <c r="C205" s="552">
        <f>C182</f>
        <v/>
      </c>
      <c r="D205" s="551">
        <f>$D182</f>
        <v/>
      </c>
      <c r="E205" s="553">
        <f>E182</f>
        <v/>
      </c>
      <c r="F205" s="554">
        <f>F182*(1+Dashboard!$P$12)</f>
        <v/>
      </c>
      <c r="G205" s="555">
        <f>G182*(1+Dashboard!$P$11)</f>
        <v/>
      </c>
      <c r="H205" s="549">
        <f>+G205-F205</f>
        <v/>
      </c>
      <c r="I205" s="556">
        <f>I182*(1+Dashboard!$P$11)</f>
        <v/>
      </c>
      <c r="J205" s="557">
        <f>I205-F205</f>
        <v/>
      </c>
      <c r="K205" s="558">
        <f>K182*(1+Dashboard!$P$11)</f>
        <v/>
      </c>
      <c r="L205" s="559">
        <f>M205+F205</f>
        <v/>
      </c>
      <c r="M205" s="559">
        <f>M182*(1+Dashboard!$P$11)</f>
        <v/>
      </c>
      <c r="N205" s="548">
        <f>((M205*D205)*12)</f>
        <v/>
      </c>
      <c r="P205" s="545">
        <f>B205</f>
        <v/>
      </c>
      <c r="Q205" s="550">
        <f>C205</f>
        <v/>
      </c>
      <c r="R205" s="545">
        <f>D205</f>
        <v/>
      </c>
      <c r="S205" s="546">
        <f>E205</f>
        <v/>
      </c>
      <c r="T205" s="547">
        <f>F205</f>
        <v/>
      </c>
      <c r="U205" s="548">
        <f>((M205*R205)*12)</f>
        <v/>
      </c>
      <c r="W205" s="545">
        <f>B205</f>
        <v/>
      </c>
      <c r="X205" s="550">
        <f>C205</f>
        <v/>
      </c>
      <c r="Y205" s="545">
        <f>D205</f>
        <v/>
      </c>
      <c r="Z205" s="546">
        <f>E205</f>
        <v/>
      </c>
      <c r="AA205" s="547">
        <f>F205</f>
        <v/>
      </c>
      <c r="AB205" s="549">
        <f>((H205*Y205)*12)</f>
        <v/>
      </c>
      <c r="AD205" s="545">
        <f>B205</f>
        <v/>
      </c>
      <c r="AE205" s="550">
        <f>C205</f>
        <v/>
      </c>
      <c r="AF205" s="545">
        <f>D205</f>
        <v/>
      </c>
      <c r="AG205" s="546">
        <f>E205</f>
        <v/>
      </c>
      <c r="AH205" s="547">
        <f>F205</f>
        <v/>
      </c>
      <c r="AI205" s="548">
        <f>+MAX(U205,AB205)</f>
        <v/>
      </c>
      <c r="AK205" s="545">
        <f>B205</f>
        <v/>
      </c>
      <c r="AL205" s="550">
        <f>C205</f>
        <v/>
      </c>
      <c r="AM205" s="545">
        <f>D205</f>
        <v/>
      </c>
      <c r="AN205" s="546">
        <f>E205</f>
        <v/>
      </c>
      <c r="AO205" s="547">
        <f>F205</f>
        <v/>
      </c>
      <c r="AP205" s="548">
        <f>IF(G205&gt;0,MAX(U205,AB205),N205)</f>
        <v/>
      </c>
    </row>
    <row r="206" ht="15.75" customFormat="1" customHeight="1" s="120">
      <c r="B206" s="551">
        <f>B183</f>
        <v/>
      </c>
      <c r="C206" s="552">
        <f>C183</f>
        <v/>
      </c>
      <c r="D206" s="551">
        <f>$D183</f>
        <v/>
      </c>
      <c r="E206" s="553">
        <f>E183</f>
        <v/>
      </c>
      <c r="F206" s="554">
        <f>F183*(1+Dashboard!$P$12)</f>
        <v/>
      </c>
      <c r="G206" s="555">
        <f>G183*(1+Dashboard!$P$11)</f>
        <v/>
      </c>
      <c r="H206" s="549">
        <f>+G206-F206</f>
        <v/>
      </c>
      <c r="I206" s="556">
        <f>I183*(1+Dashboard!$P$11)</f>
        <v/>
      </c>
      <c r="J206" s="557">
        <f>I206-F206</f>
        <v/>
      </c>
      <c r="K206" s="558">
        <f>K183*(1+Dashboard!$P$11)</f>
        <v/>
      </c>
      <c r="L206" s="559">
        <f>M206+F206</f>
        <v/>
      </c>
      <c r="M206" s="559">
        <f>M183*(1+Dashboard!$P$11)</f>
        <v/>
      </c>
      <c r="N206" s="548">
        <f>((M206*D206)*12)</f>
        <v/>
      </c>
      <c r="P206" s="545">
        <f>B206</f>
        <v/>
      </c>
      <c r="Q206" s="550">
        <f>C206</f>
        <v/>
      </c>
      <c r="R206" s="545">
        <f>D206</f>
        <v/>
      </c>
      <c r="S206" s="546">
        <f>E206</f>
        <v/>
      </c>
      <c r="T206" s="547">
        <f>F206</f>
        <v/>
      </c>
      <c r="U206" s="548">
        <f>((M206*R206)*12)</f>
        <v/>
      </c>
      <c r="W206" s="545">
        <f>B206</f>
        <v/>
      </c>
      <c r="X206" s="550">
        <f>C206</f>
        <v/>
      </c>
      <c r="Y206" s="545">
        <f>D206</f>
        <v/>
      </c>
      <c r="Z206" s="546">
        <f>E206</f>
        <v/>
      </c>
      <c r="AA206" s="547">
        <f>F206</f>
        <v/>
      </c>
      <c r="AB206" s="549">
        <f>((H206*Y206)*12)</f>
        <v/>
      </c>
      <c r="AD206" s="545">
        <f>B206</f>
        <v/>
      </c>
      <c r="AE206" s="550">
        <f>C206</f>
        <v/>
      </c>
      <c r="AF206" s="545">
        <f>D206</f>
        <v/>
      </c>
      <c r="AG206" s="546">
        <f>E206</f>
        <v/>
      </c>
      <c r="AH206" s="547">
        <f>F206</f>
        <v/>
      </c>
      <c r="AI206" s="548">
        <f>+MAX(U206,AB206)</f>
        <v/>
      </c>
      <c r="AK206" s="545">
        <f>B206</f>
        <v/>
      </c>
      <c r="AL206" s="550">
        <f>C206</f>
        <v/>
      </c>
      <c r="AM206" s="545">
        <f>D206</f>
        <v/>
      </c>
      <c r="AN206" s="546">
        <f>E206</f>
        <v/>
      </c>
      <c r="AO206" s="547">
        <f>F206</f>
        <v/>
      </c>
      <c r="AP206" s="548">
        <f>IF(G206&gt;0,MAX(U206,AB206),N206)</f>
        <v/>
      </c>
    </row>
    <row r="207" ht="15.75" customFormat="1" customHeight="1" s="120">
      <c r="B207" s="551">
        <f>B184</f>
        <v/>
      </c>
      <c r="C207" s="552">
        <f>C184</f>
        <v/>
      </c>
      <c r="D207" s="551">
        <f>$D184</f>
        <v/>
      </c>
      <c r="E207" s="553">
        <f>E184</f>
        <v/>
      </c>
      <c r="F207" s="554">
        <f>F184*(1+Dashboard!$P$12)</f>
        <v/>
      </c>
      <c r="G207" s="555">
        <f>G184*(1+Dashboard!$P$11)</f>
        <v/>
      </c>
      <c r="H207" s="549">
        <f>+G207-F207</f>
        <v/>
      </c>
      <c r="I207" s="556">
        <f>I184*(1+Dashboard!$P$11)</f>
        <v/>
      </c>
      <c r="J207" s="557">
        <f>I207-F207</f>
        <v/>
      </c>
      <c r="K207" s="558">
        <f>K184*(1+Dashboard!$P$11)</f>
        <v/>
      </c>
      <c r="L207" s="559">
        <f>M207+F207</f>
        <v/>
      </c>
      <c r="M207" s="559">
        <f>M184*(1+Dashboard!$P$11)</f>
        <v/>
      </c>
      <c r="N207" s="548">
        <f>((M207*D207)*12)</f>
        <v/>
      </c>
      <c r="P207" s="545">
        <f>B207</f>
        <v/>
      </c>
      <c r="Q207" s="550">
        <f>C207</f>
        <v/>
      </c>
      <c r="R207" s="545">
        <f>D207</f>
        <v/>
      </c>
      <c r="S207" s="546">
        <f>E207</f>
        <v/>
      </c>
      <c r="T207" s="547">
        <f>F207</f>
        <v/>
      </c>
      <c r="U207" s="548">
        <f>((M207*R207)*12)</f>
        <v/>
      </c>
      <c r="W207" s="545">
        <f>B207</f>
        <v/>
      </c>
      <c r="X207" s="550">
        <f>C207</f>
        <v/>
      </c>
      <c r="Y207" s="545">
        <f>D207</f>
        <v/>
      </c>
      <c r="Z207" s="546">
        <f>E207</f>
        <v/>
      </c>
      <c r="AA207" s="547">
        <f>F207</f>
        <v/>
      </c>
      <c r="AB207" s="549">
        <f>((H207*Y207)*12)</f>
        <v/>
      </c>
      <c r="AD207" s="545">
        <f>B207</f>
        <v/>
      </c>
      <c r="AE207" s="550">
        <f>C207</f>
        <v/>
      </c>
      <c r="AF207" s="545">
        <f>D207</f>
        <v/>
      </c>
      <c r="AG207" s="546">
        <f>E207</f>
        <v/>
      </c>
      <c r="AH207" s="547">
        <f>F207</f>
        <v/>
      </c>
      <c r="AI207" s="548">
        <f>+MAX(U207,AB207)</f>
        <v/>
      </c>
      <c r="AK207" s="545">
        <f>B207</f>
        <v/>
      </c>
      <c r="AL207" s="550">
        <f>C207</f>
        <v/>
      </c>
      <c r="AM207" s="545">
        <f>D207</f>
        <v/>
      </c>
      <c r="AN207" s="546">
        <f>E207</f>
        <v/>
      </c>
      <c r="AO207" s="547">
        <f>F207</f>
        <v/>
      </c>
      <c r="AP207" s="548">
        <f>IF(G207&gt;0,MAX(U207,AB207),N207)</f>
        <v/>
      </c>
    </row>
    <row r="208" ht="15.75" customFormat="1" customHeight="1" s="120">
      <c r="B208" s="551">
        <f>B185</f>
        <v/>
      </c>
      <c r="C208" s="552">
        <f>C185</f>
        <v/>
      </c>
      <c r="D208" s="551">
        <f>$D185</f>
        <v/>
      </c>
      <c r="E208" s="553">
        <f>E185</f>
        <v/>
      </c>
      <c r="F208" s="554">
        <f>F185*(1+Dashboard!$P$12)</f>
        <v/>
      </c>
      <c r="G208" s="555">
        <f>G185*(1+Dashboard!$P$11)</f>
        <v/>
      </c>
      <c r="H208" s="549">
        <f>+G208-F208</f>
        <v/>
      </c>
      <c r="I208" s="556">
        <f>I185*(1+Dashboard!$P$11)</f>
        <v/>
      </c>
      <c r="J208" s="557">
        <f>I208-F208</f>
        <v/>
      </c>
      <c r="K208" s="558">
        <f>K185*(1+Dashboard!$P$11)</f>
        <v/>
      </c>
      <c r="L208" s="559">
        <f>M208+F208</f>
        <v/>
      </c>
      <c r="M208" s="559">
        <f>M185*(1+Dashboard!$P$11)</f>
        <v/>
      </c>
      <c r="N208" s="548">
        <f>((M208*D208)*12)</f>
        <v/>
      </c>
      <c r="P208" s="545">
        <f>B208</f>
        <v/>
      </c>
      <c r="Q208" s="550">
        <f>C208</f>
        <v/>
      </c>
      <c r="R208" s="545">
        <f>D208</f>
        <v/>
      </c>
      <c r="S208" s="546">
        <f>E208</f>
        <v/>
      </c>
      <c r="T208" s="547">
        <f>F208</f>
        <v/>
      </c>
      <c r="U208" s="548">
        <f>((M208*R208)*12)</f>
        <v/>
      </c>
      <c r="W208" s="545">
        <f>B208</f>
        <v/>
      </c>
      <c r="X208" s="550">
        <f>C208</f>
        <v/>
      </c>
      <c r="Y208" s="545">
        <f>D208</f>
        <v/>
      </c>
      <c r="Z208" s="546">
        <f>E208</f>
        <v/>
      </c>
      <c r="AA208" s="547">
        <f>F208</f>
        <v/>
      </c>
      <c r="AB208" s="549">
        <f>((H208*Y208)*12)</f>
        <v/>
      </c>
      <c r="AD208" s="545">
        <f>B208</f>
        <v/>
      </c>
      <c r="AE208" s="550">
        <f>C208</f>
        <v/>
      </c>
      <c r="AF208" s="545">
        <f>D208</f>
        <v/>
      </c>
      <c r="AG208" s="546">
        <f>E208</f>
        <v/>
      </c>
      <c r="AH208" s="547">
        <f>F208</f>
        <v/>
      </c>
      <c r="AI208" s="548">
        <f>+MAX(U208,AB208)</f>
        <v/>
      </c>
      <c r="AK208" s="545">
        <f>B208</f>
        <v/>
      </c>
      <c r="AL208" s="550">
        <f>C208</f>
        <v/>
      </c>
      <c r="AM208" s="545">
        <f>D208</f>
        <v/>
      </c>
      <c r="AN208" s="546">
        <f>E208</f>
        <v/>
      </c>
      <c r="AO208" s="547">
        <f>F208</f>
        <v/>
      </c>
      <c r="AP208" s="548">
        <f>IF(G208&gt;0,MAX(U208,AB208),N208)</f>
        <v/>
      </c>
    </row>
    <row r="209" ht="15.75" customFormat="1" customHeight="1" s="120">
      <c r="B209" s="551">
        <f>B186</f>
        <v/>
      </c>
      <c r="C209" s="552">
        <f>C186</f>
        <v/>
      </c>
      <c r="D209" s="551">
        <f>$D186</f>
        <v/>
      </c>
      <c r="E209" s="553">
        <f>E186</f>
        <v/>
      </c>
      <c r="F209" s="554">
        <f>F186*(1+Dashboard!$P$12)</f>
        <v/>
      </c>
      <c r="G209" s="555">
        <f>G186*(1+Dashboard!$P$11)</f>
        <v/>
      </c>
      <c r="H209" s="549">
        <f>+G209-F209</f>
        <v/>
      </c>
      <c r="I209" s="556">
        <f>I186*(1+Dashboard!$P$11)</f>
        <v/>
      </c>
      <c r="J209" s="557">
        <f>I209-F209</f>
        <v/>
      </c>
      <c r="K209" s="558">
        <f>K186*(1+Dashboard!$P$11)</f>
        <v/>
      </c>
      <c r="L209" s="559">
        <f>M209+F209</f>
        <v/>
      </c>
      <c r="M209" s="559">
        <f>M186*(1+Dashboard!$P$11)</f>
        <v/>
      </c>
      <c r="N209" s="548">
        <f>((M209*D209)*12)</f>
        <v/>
      </c>
      <c r="P209" s="545">
        <f>B209</f>
        <v/>
      </c>
      <c r="Q209" s="550">
        <f>C209</f>
        <v/>
      </c>
      <c r="R209" s="545">
        <f>D209</f>
        <v/>
      </c>
      <c r="S209" s="546">
        <f>E209</f>
        <v/>
      </c>
      <c r="T209" s="547">
        <f>F209</f>
        <v/>
      </c>
      <c r="U209" s="548">
        <f>((M209*R209)*12)</f>
        <v/>
      </c>
      <c r="W209" s="545">
        <f>B209</f>
        <v/>
      </c>
      <c r="X209" s="550">
        <f>C209</f>
        <v/>
      </c>
      <c r="Y209" s="545">
        <f>D209</f>
        <v/>
      </c>
      <c r="Z209" s="546">
        <f>E209</f>
        <v/>
      </c>
      <c r="AA209" s="547">
        <f>F209</f>
        <v/>
      </c>
      <c r="AB209" s="549">
        <f>((H209*Y209)*12)</f>
        <v/>
      </c>
      <c r="AD209" s="545">
        <f>B209</f>
        <v/>
      </c>
      <c r="AE209" s="550">
        <f>C209</f>
        <v/>
      </c>
      <c r="AF209" s="545">
        <f>D209</f>
        <v/>
      </c>
      <c r="AG209" s="546">
        <f>E209</f>
        <v/>
      </c>
      <c r="AH209" s="547">
        <f>F209</f>
        <v/>
      </c>
      <c r="AI209" s="548">
        <f>+MAX(U209,AB209)</f>
        <v/>
      </c>
      <c r="AK209" s="545">
        <f>B209</f>
        <v/>
      </c>
      <c r="AL209" s="550">
        <f>C209</f>
        <v/>
      </c>
      <c r="AM209" s="545">
        <f>D209</f>
        <v/>
      </c>
      <c r="AN209" s="546">
        <f>E209</f>
        <v/>
      </c>
      <c r="AO209" s="547">
        <f>F209</f>
        <v/>
      </c>
      <c r="AP209" s="548">
        <f>IF(G209&gt;0,MAX(U209,AB209),N209)</f>
        <v/>
      </c>
    </row>
    <row r="210" ht="15.75" customFormat="1" customHeight="1" s="120">
      <c r="B210" s="198" t="inlineStr">
        <is>
          <t>Total (Pre-Vacancy)</t>
        </is>
      </c>
      <c r="C210" s="122" t="n"/>
      <c r="D210" s="166">
        <f>SUM(D191:D209)</f>
        <v/>
      </c>
      <c r="E210" s="166">
        <f>+SUMPRODUCT(E191:E209,$D191:$D209)</f>
        <v/>
      </c>
      <c r="F210" s="165">
        <f>+SUMPRODUCT(F191:F209,$D191:$D209)</f>
        <v/>
      </c>
      <c r="G210" s="165">
        <f>+SUMPRODUCT(G191:G209,$D191:$D209)</f>
        <v/>
      </c>
      <c r="H210" s="165">
        <f>+SUMPRODUCT(H191:H209,$D191:$D209)</f>
        <v/>
      </c>
      <c r="I210" s="165">
        <f>+SUMPRODUCT(I191:I209,$D191:$D209)</f>
        <v/>
      </c>
      <c r="J210" s="165">
        <f>+SUMPRODUCT(J191:J209,$D191:$D209)</f>
        <v/>
      </c>
      <c r="K210" s="165">
        <f>+SUMPRODUCT(K191:K209,$D191:$D209)</f>
        <v/>
      </c>
      <c r="L210" s="165">
        <f>+SUMPRODUCT(L191:L209,$D191:$D209)</f>
        <v/>
      </c>
      <c r="M210" s="165">
        <f>+SUMPRODUCT(M191:M209,$D191:$D209)</f>
        <v/>
      </c>
      <c r="N210" s="165">
        <f>SUM(N191:N209)</f>
        <v/>
      </c>
      <c r="P210" s="198" t="inlineStr">
        <is>
          <t>Total (Pre-Vacancy)</t>
        </is>
      </c>
      <c r="Q210" s="122" t="n"/>
      <c r="R210" s="560">
        <f>SUM(R191:R209)</f>
        <v/>
      </c>
      <c r="S210" s="560">
        <f>+SUMPRODUCT(S191:S209,$R191:$R209)</f>
        <v/>
      </c>
      <c r="T210" s="165">
        <f>+SUMPRODUCT(T191:T209,$R191:$R209)</f>
        <v/>
      </c>
      <c r="U210" s="165">
        <f>SUM(U191:U209)</f>
        <v/>
      </c>
      <c r="W210" s="198" t="inlineStr">
        <is>
          <t>Total (Pre-Vacancy)</t>
        </is>
      </c>
      <c r="X210" s="122" t="n"/>
      <c r="Y210" s="560">
        <f>SUM(Y191:Y209)</f>
        <v/>
      </c>
      <c r="Z210" s="560">
        <f>+SUMPRODUCT(Z191:Z209,$Y191:$Y209)</f>
        <v/>
      </c>
      <c r="AA210" s="165">
        <f>+SUMPRODUCT(AA191:AA209,$Y191:$Y209)</f>
        <v/>
      </c>
      <c r="AB210" s="165">
        <f>SUM(AB191:AB209)</f>
        <v/>
      </c>
      <c r="AC210" s="122" t="n"/>
      <c r="AD210" s="198" t="inlineStr">
        <is>
          <t>Total (Pre-Vacancy)</t>
        </is>
      </c>
      <c r="AE210" s="122" t="n"/>
      <c r="AF210" s="560">
        <f>SUM(AF191:AF209)</f>
        <v/>
      </c>
      <c r="AG210" s="560">
        <f>+SUMPRODUCT(AG191:AG209,$AF191:$AF209)</f>
        <v/>
      </c>
      <c r="AH210" s="165">
        <f>+SUMPRODUCT(AH191:AH209,$AF191:$AF209)</f>
        <v/>
      </c>
      <c r="AI210" s="165">
        <f>SUM(AI191:AI209)</f>
        <v/>
      </c>
      <c r="AK210" s="198" t="inlineStr">
        <is>
          <t>Total (Pre-Vacancy)</t>
        </is>
      </c>
      <c r="AL210" s="122" t="n"/>
      <c r="AM210" s="560">
        <f>SUM(AF191:AF209)</f>
        <v/>
      </c>
      <c r="AN210" s="560">
        <f>+SUMPRODUCT(AG191:AG209,$AF191:$AF209)</f>
        <v/>
      </c>
      <c r="AO210" s="165">
        <f>+SUMPRODUCT(AH191:AH209,$AF191:$AF209)</f>
        <v/>
      </c>
      <c r="AP210" s="165">
        <f>SUM(AP191:AP209)</f>
        <v/>
      </c>
    </row>
    <row r="211">
      <c r="AK211" s="607" t="n"/>
      <c r="AL211" s="607" t="n"/>
      <c r="AM211" s="607" t="n"/>
      <c r="AN211" s="607" t="n"/>
      <c r="AO211" s="607" t="n"/>
      <c r="AP211" s="607" t="n"/>
    </row>
    <row r="212" ht="15.75" customHeight="1">
      <c r="B212" s="170" t="inlineStr">
        <is>
          <t>Year 10</t>
        </is>
      </c>
      <c r="C212" s="170" t="n"/>
      <c r="D212" s="170" t="n"/>
      <c r="E212" s="170" t="n"/>
      <c r="F212" s="170" t="n"/>
      <c r="G212" s="170" t="n"/>
      <c r="H212" s="170" t="n"/>
      <c r="I212" s="170" t="n"/>
      <c r="J212" s="170" t="n"/>
      <c r="K212" s="170" t="n"/>
      <c r="L212" s="170" t="n"/>
      <c r="M212" s="170" t="n"/>
      <c r="N212" s="170" t="n"/>
      <c r="O212" s="167" t="n"/>
      <c r="P212" s="170">
        <f>+$B212</f>
        <v/>
      </c>
      <c r="Q212" s="170" t="n"/>
      <c r="R212" s="170" t="n"/>
      <c r="S212" s="170" t="n"/>
      <c r="T212" s="170" t="n"/>
      <c r="U212" s="170" t="n"/>
      <c r="V212" s="167" t="n"/>
      <c r="W212" s="170">
        <f>+$B212</f>
        <v/>
      </c>
      <c r="X212" s="170" t="n"/>
      <c r="Y212" s="170" t="n"/>
      <c r="Z212" s="170" t="n"/>
      <c r="AA212" s="170" t="n"/>
      <c r="AB212" s="170" t="n"/>
      <c r="AD212" s="170">
        <f>+$B212</f>
        <v/>
      </c>
      <c r="AE212" s="170" t="n"/>
      <c r="AF212" s="170" t="n"/>
      <c r="AG212" s="170" t="n"/>
      <c r="AH212" s="170" t="n"/>
      <c r="AI212" s="170" t="n"/>
      <c r="AJ212" s="167" t="n"/>
      <c r="AK212" s="170">
        <f>+$B212</f>
        <v/>
      </c>
      <c r="AL212" s="170" t="n"/>
      <c r="AM212" s="170" t="n"/>
      <c r="AN212" s="170" t="n"/>
      <c r="AO212" s="170" t="n"/>
      <c r="AP212" s="170" t="n"/>
    </row>
    <row r="213" ht="38.25" customFormat="1" customHeight="1" s="164">
      <c r="B213" s="543" t="inlineStr">
        <is>
          <t>Unit Type</t>
        </is>
      </c>
      <c r="C213" s="543" t="inlineStr">
        <is>
          <t>AMI / S8</t>
        </is>
      </c>
      <c r="D213" s="543" t="inlineStr">
        <is>
          <t># of Units</t>
        </is>
      </c>
      <c r="E213" s="543" t="inlineStr">
        <is>
          <t>Avg. SF</t>
        </is>
      </c>
      <c r="F213" s="543" t="inlineStr">
        <is>
          <t>Avg. Utilities</t>
        </is>
      </c>
      <c r="G213" s="544" t="inlineStr">
        <is>
          <t>Avg. Max LITHC</t>
        </is>
      </c>
      <c r="H213" s="543" t="inlineStr">
        <is>
          <t>Net LIHTC</t>
        </is>
      </c>
      <c r="I213" s="543" t="inlineStr">
        <is>
          <t>Avg. Max FMR</t>
        </is>
      </c>
      <c r="J213" s="543" t="inlineStr">
        <is>
          <t>Net FMR</t>
        </is>
      </c>
      <c r="K213" s="543">
        <f>+K190</f>
        <v/>
      </c>
      <c r="L213" s="543" t="inlineStr">
        <is>
          <t>Gross Rent</t>
        </is>
      </c>
      <c r="M213" s="543" t="inlineStr">
        <is>
          <t>Avg. Current Rent</t>
        </is>
      </c>
      <c r="N213" s="543" t="inlineStr">
        <is>
          <t>Yrly. Gross Income (Net Rent)</t>
        </is>
      </c>
      <c r="P213" s="543" t="inlineStr">
        <is>
          <t>Unit Type</t>
        </is>
      </c>
      <c r="Q213" s="543" t="inlineStr">
        <is>
          <t>AMI / S8</t>
        </is>
      </c>
      <c r="R213" s="543" t="inlineStr">
        <is>
          <t># of Units</t>
        </is>
      </c>
      <c r="S213" s="543" t="inlineStr">
        <is>
          <t>Avg. SF</t>
        </is>
      </c>
      <c r="T213" s="543" t="inlineStr">
        <is>
          <t>Avg. Utilities</t>
        </is>
      </c>
      <c r="U213" s="543" t="inlineStr">
        <is>
          <t>Max Current Vouchers</t>
        </is>
      </c>
      <c r="W213" s="543" t="inlineStr">
        <is>
          <t>Unit Type</t>
        </is>
      </c>
      <c r="X213" s="543" t="inlineStr">
        <is>
          <t>AMI / S8</t>
        </is>
      </c>
      <c r="Y213" s="543" t="inlineStr">
        <is>
          <t># of Units</t>
        </is>
      </c>
      <c r="Z213" s="543" t="inlineStr">
        <is>
          <t>Avg. SF</t>
        </is>
      </c>
      <c r="AA213" s="543" t="inlineStr">
        <is>
          <t>Avg. Utilities</t>
        </is>
      </c>
      <c r="AB213" s="543" t="inlineStr">
        <is>
          <t>Max NET LIHTC</t>
        </is>
      </c>
      <c r="AD213" s="543" t="inlineStr">
        <is>
          <t>Unit Type</t>
        </is>
      </c>
      <c r="AE213" s="543" t="inlineStr">
        <is>
          <t>AMI / S8</t>
        </is>
      </c>
      <c r="AF213" s="543" t="inlineStr">
        <is>
          <t># of Units</t>
        </is>
      </c>
      <c r="AG213" s="543" t="inlineStr">
        <is>
          <t>Avg. SF</t>
        </is>
      </c>
      <c r="AH213" s="543" t="inlineStr">
        <is>
          <t>Avg. Utilities</t>
        </is>
      </c>
      <c r="AI213" s="543" t="inlineStr">
        <is>
          <t xml:space="preserve">Max Current Vouchers + NET LIHTC </t>
        </is>
      </c>
      <c r="AK213" s="543" t="inlineStr">
        <is>
          <t>Unit Type</t>
        </is>
      </c>
      <c r="AL213" s="543" t="inlineStr">
        <is>
          <t>AMI / S8</t>
        </is>
      </c>
      <c r="AM213" s="543" t="inlineStr">
        <is>
          <t># of Units</t>
        </is>
      </c>
      <c r="AN213" s="543" t="inlineStr">
        <is>
          <t>Avg. SF</t>
        </is>
      </c>
      <c r="AO213" s="543" t="inlineStr">
        <is>
          <t>Avg. Utilities</t>
        </is>
      </c>
      <c r="AP213" s="543" t="inlineStr">
        <is>
          <t xml:space="preserve">Max Current Vouchers + NET LIHTC </t>
        </is>
      </c>
    </row>
    <row r="214" ht="15.75" customFormat="1" customHeight="1" s="120">
      <c r="B214" s="551">
        <f>B191</f>
        <v/>
      </c>
      <c r="C214" s="552">
        <f>C191</f>
        <v/>
      </c>
      <c r="D214" s="551">
        <f>$D191</f>
        <v/>
      </c>
      <c r="E214" s="553">
        <f>E191</f>
        <v/>
      </c>
      <c r="F214" s="554">
        <f>F191*(1+Dashboard!$P$12)</f>
        <v/>
      </c>
      <c r="G214" s="555">
        <f>G191*(1+Dashboard!$P$11)</f>
        <v/>
      </c>
      <c r="H214" s="549">
        <f>+G214-F214</f>
        <v/>
      </c>
      <c r="I214" s="556">
        <f>I191*(1+Dashboard!$P$11)</f>
        <v/>
      </c>
      <c r="J214" s="557">
        <f>I214-F214</f>
        <v/>
      </c>
      <c r="K214" s="558">
        <f>K191*(1+Dashboard!$P$11)</f>
        <v/>
      </c>
      <c r="L214" s="559">
        <f>M214+F214</f>
        <v/>
      </c>
      <c r="M214" s="559">
        <f>M191*(1+Dashboard!$P$11)</f>
        <v/>
      </c>
      <c r="N214" s="548">
        <f>((M214*D214)*12)</f>
        <v/>
      </c>
      <c r="P214" s="545">
        <f>B214</f>
        <v/>
      </c>
      <c r="Q214" s="545">
        <f>C214</f>
        <v/>
      </c>
      <c r="R214" s="545">
        <f>D214</f>
        <v/>
      </c>
      <c r="S214" s="546">
        <f>E214</f>
        <v/>
      </c>
      <c r="T214" s="547">
        <f>F214</f>
        <v/>
      </c>
      <c r="U214" s="548">
        <f>((M214*R214)*12)</f>
        <v/>
      </c>
      <c r="W214" s="545">
        <f>B214</f>
        <v/>
      </c>
      <c r="X214" s="545">
        <f>C214</f>
        <v/>
      </c>
      <c r="Y214" s="545">
        <f>D214</f>
        <v/>
      </c>
      <c r="Z214" s="546">
        <f>E214</f>
        <v/>
      </c>
      <c r="AA214" s="547">
        <f>F214</f>
        <v/>
      </c>
      <c r="AB214" s="549">
        <f>((H214*Y214)*12)</f>
        <v/>
      </c>
      <c r="AD214" s="545">
        <f>B214</f>
        <v/>
      </c>
      <c r="AE214" s="545">
        <f>C214</f>
        <v/>
      </c>
      <c r="AF214" s="545">
        <f>D214</f>
        <v/>
      </c>
      <c r="AG214" s="546">
        <f>E214</f>
        <v/>
      </c>
      <c r="AH214" s="547">
        <f>F214</f>
        <v/>
      </c>
      <c r="AI214" s="548">
        <f>+MAX(U214,AB214)</f>
        <v/>
      </c>
      <c r="AK214" s="545">
        <f>B214</f>
        <v/>
      </c>
      <c r="AL214" s="545">
        <f>C214</f>
        <v/>
      </c>
      <c r="AM214" s="545">
        <f>D214</f>
        <v/>
      </c>
      <c r="AN214" s="546">
        <f>E214</f>
        <v/>
      </c>
      <c r="AO214" s="547">
        <f>F214</f>
        <v/>
      </c>
      <c r="AP214" s="548">
        <f>IF(G214&gt;0,MAX(U214,AB214),N214)</f>
        <v/>
      </c>
    </row>
    <row r="215" ht="15.75" customFormat="1" customHeight="1" s="120">
      <c r="B215" s="551">
        <f>B192</f>
        <v/>
      </c>
      <c r="C215" s="552">
        <f>C192</f>
        <v/>
      </c>
      <c r="D215" s="551">
        <f>$D192</f>
        <v/>
      </c>
      <c r="E215" s="553">
        <f>E192</f>
        <v/>
      </c>
      <c r="F215" s="554">
        <f>F192*(1+Dashboard!$P$12)</f>
        <v/>
      </c>
      <c r="G215" s="555">
        <f>G192*(1+Dashboard!$P$11)</f>
        <v/>
      </c>
      <c r="H215" s="549">
        <f>+G215-F215</f>
        <v/>
      </c>
      <c r="I215" s="556">
        <f>I192*(1+Dashboard!$P$11)</f>
        <v/>
      </c>
      <c r="J215" s="557">
        <f>I215-F215</f>
        <v/>
      </c>
      <c r="K215" s="558">
        <f>K192*(1+Dashboard!$P$11)</f>
        <v/>
      </c>
      <c r="L215" s="559">
        <f>M215+F215</f>
        <v/>
      </c>
      <c r="M215" s="559">
        <f>M192*(1+Dashboard!$P$11)</f>
        <v/>
      </c>
      <c r="N215" s="548">
        <f>((M215*D215)*12)</f>
        <v/>
      </c>
      <c r="P215" s="545">
        <f>B215</f>
        <v/>
      </c>
      <c r="Q215" s="550">
        <f>C215</f>
        <v/>
      </c>
      <c r="R215" s="545">
        <f>D215</f>
        <v/>
      </c>
      <c r="S215" s="546">
        <f>E215</f>
        <v/>
      </c>
      <c r="T215" s="547">
        <f>F215</f>
        <v/>
      </c>
      <c r="U215" s="548">
        <f>((M215*R215)*12)</f>
        <v/>
      </c>
      <c r="W215" s="545">
        <f>B215</f>
        <v/>
      </c>
      <c r="X215" s="550">
        <f>C215</f>
        <v/>
      </c>
      <c r="Y215" s="545">
        <f>D215</f>
        <v/>
      </c>
      <c r="Z215" s="546">
        <f>E215</f>
        <v/>
      </c>
      <c r="AA215" s="547">
        <f>F215</f>
        <v/>
      </c>
      <c r="AB215" s="549">
        <f>((H215*Y215)*12)</f>
        <v/>
      </c>
      <c r="AD215" s="545">
        <f>B215</f>
        <v/>
      </c>
      <c r="AE215" s="550">
        <f>C215</f>
        <v/>
      </c>
      <c r="AF215" s="545">
        <f>D215</f>
        <v/>
      </c>
      <c r="AG215" s="546">
        <f>E215</f>
        <v/>
      </c>
      <c r="AH215" s="547">
        <f>F215</f>
        <v/>
      </c>
      <c r="AI215" s="548">
        <f>+MAX(U215,AB215)</f>
        <v/>
      </c>
      <c r="AK215" s="545">
        <f>B215</f>
        <v/>
      </c>
      <c r="AL215" s="550">
        <f>C215</f>
        <v/>
      </c>
      <c r="AM215" s="545">
        <f>D215</f>
        <v/>
      </c>
      <c r="AN215" s="546">
        <f>E215</f>
        <v/>
      </c>
      <c r="AO215" s="547">
        <f>F215</f>
        <v/>
      </c>
      <c r="AP215" s="548">
        <f>IF(G215&gt;0,MAX(U215,AB215),N215)</f>
        <v/>
      </c>
    </row>
    <row r="216" ht="15.75" customFormat="1" customHeight="1" s="120">
      <c r="B216" s="551">
        <f>B193</f>
        <v/>
      </c>
      <c r="C216" s="552">
        <f>C193</f>
        <v/>
      </c>
      <c r="D216" s="551">
        <f>$D193</f>
        <v/>
      </c>
      <c r="E216" s="553">
        <f>E193</f>
        <v/>
      </c>
      <c r="F216" s="554">
        <f>F193*(1+Dashboard!$P$12)</f>
        <v/>
      </c>
      <c r="G216" s="555">
        <f>G193*(1+Dashboard!$P$11)</f>
        <v/>
      </c>
      <c r="H216" s="549">
        <f>+G216-F216</f>
        <v/>
      </c>
      <c r="I216" s="556">
        <f>I193*(1+Dashboard!$P$11)</f>
        <v/>
      </c>
      <c r="J216" s="557">
        <f>I216-F216</f>
        <v/>
      </c>
      <c r="K216" s="558">
        <f>K193*(1+Dashboard!$P$11)</f>
        <v/>
      </c>
      <c r="L216" s="559">
        <f>M216+F216</f>
        <v/>
      </c>
      <c r="M216" s="559">
        <f>M193*(1+Dashboard!$P$11)</f>
        <v/>
      </c>
      <c r="N216" s="548">
        <f>((M216*D216)*12)</f>
        <v/>
      </c>
      <c r="P216" s="545">
        <f>B216</f>
        <v/>
      </c>
      <c r="Q216" s="550">
        <f>C216</f>
        <v/>
      </c>
      <c r="R216" s="545">
        <f>D216</f>
        <v/>
      </c>
      <c r="S216" s="546">
        <f>E216</f>
        <v/>
      </c>
      <c r="T216" s="547">
        <f>F216</f>
        <v/>
      </c>
      <c r="U216" s="548">
        <f>((M216*R216)*12)</f>
        <v/>
      </c>
      <c r="W216" s="545">
        <f>B216</f>
        <v/>
      </c>
      <c r="X216" s="550">
        <f>C216</f>
        <v/>
      </c>
      <c r="Y216" s="545">
        <f>D216</f>
        <v/>
      </c>
      <c r="Z216" s="546">
        <f>E216</f>
        <v/>
      </c>
      <c r="AA216" s="547">
        <f>F216</f>
        <v/>
      </c>
      <c r="AB216" s="549">
        <f>((H216*Y216)*12)</f>
        <v/>
      </c>
      <c r="AD216" s="545">
        <f>B216</f>
        <v/>
      </c>
      <c r="AE216" s="550">
        <f>C216</f>
        <v/>
      </c>
      <c r="AF216" s="545">
        <f>D216</f>
        <v/>
      </c>
      <c r="AG216" s="546">
        <f>E216</f>
        <v/>
      </c>
      <c r="AH216" s="547">
        <f>F216</f>
        <v/>
      </c>
      <c r="AI216" s="548">
        <f>+MAX(U216,AB216)</f>
        <v/>
      </c>
      <c r="AK216" s="545">
        <f>B216</f>
        <v/>
      </c>
      <c r="AL216" s="550">
        <f>C216</f>
        <v/>
      </c>
      <c r="AM216" s="545">
        <f>D216</f>
        <v/>
      </c>
      <c r="AN216" s="546">
        <f>E216</f>
        <v/>
      </c>
      <c r="AO216" s="547">
        <f>F216</f>
        <v/>
      </c>
      <c r="AP216" s="548">
        <f>IF(G216&gt;0,MAX(U216,AB216),N216)</f>
        <v/>
      </c>
    </row>
    <row r="217" ht="15.75" customFormat="1" customHeight="1" s="120">
      <c r="B217" s="551">
        <f>B194</f>
        <v/>
      </c>
      <c r="C217" s="552">
        <f>C194</f>
        <v/>
      </c>
      <c r="D217" s="551">
        <f>$D194</f>
        <v/>
      </c>
      <c r="E217" s="553">
        <f>E194</f>
        <v/>
      </c>
      <c r="F217" s="554">
        <f>F194*(1+Dashboard!$P$12)</f>
        <v/>
      </c>
      <c r="G217" s="555">
        <f>G194*(1+Dashboard!$P$11)</f>
        <v/>
      </c>
      <c r="H217" s="549">
        <f>+G217-F217</f>
        <v/>
      </c>
      <c r="I217" s="556">
        <f>I194*(1+Dashboard!$P$11)</f>
        <v/>
      </c>
      <c r="J217" s="557">
        <f>I217-F217</f>
        <v/>
      </c>
      <c r="K217" s="558">
        <f>K194*(1+Dashboard!$P$11)</f>
        <v/>
      </c>
      <c r="L217" s="559">
        <f>M217+F217</f>
        <v/>
      </c>
      <c r="M217" s="559">
        <f>M194*(1+Dashboard!$P$11)</f>
        <v/>
      </c>
      <c r="N217" s="548">
        <f>((M217*D217)*12)</f>
        <v/>
      </c>
      <c r="P217" s="545">
        <f>B217</f>
        <v/>
      </c>
      <c r="Q217" s="550">
        <f>C217</f>
        <v/>
      </c>
      <c r="R217" s="545">
        <f>D217</f>
        <v/>
      </c>
      <c r="S217" s="546">
        <f>E217</f>
        <v/>
      </c>
      <c r="T217" s="547">
        <f>F217</f>
        <v/>
      </c>
      <c r="U217" s="548">
        <f>((M217*R217)*12)</f>
        <v/>
      </c>
      <c r="W217" s="545">
        <f>B217</f>
        <v/>
      </c>
      <c r="X217" s="550">
        <f>C217</f>
        <v/>
      </c>
      <c r="Y217" s="545">
        <f>D217</f>
        <v/>
      </c>
      <c r="Z217" s="546">
        <f>E217</f>
        <v/>
      </c>
      <c r="AA217" s="547">
        <f>F217</f>
        <v/>
      </c>
      <c r="AB217" s="549">
        <f>((H217*Y217)*12)</f>
        <v/>
      </c>
      <c r="AD217" s="545">
        <f>B217</f>
        <v/>
      </c>
      <c r="AE217" s="550">
        <f>C217</f>
        <v/>
      </c>
      <c r="AF217" s="545">
        <f>D217</f>
        <v/>
      </c>
      <c r="AG217" s="546">
        <f>E217</f>
        <v/>
      </c>
      <c r="AH217" s="547">
        <f>F217</f>
        <v/>
      </c>
      <c r="AI217" s="548">
        <f>+MAX(U217,AB217)</f>
        <v/>
      </c>
      <c r="AK217" s="545">
        <f>B217</f>
        <v/>
      </c>
      <c r="AL217" s="550">
        <f>C217</f>
        <v/>
      </c>
      <c r="AM217" s="545">
        <f>D217</f>
        <v/>
      </c>
      <c r="AN217" s="546">
        <f>E217</f>
        <v/>
      </c>
      <c r="AO217" s="547">
        <f>F217</f>
        <v/>
      </c>
      <c r="AP217" s="548">
        <f>IF(G217&gt;0,MAX(U217,AB217),N217)</f>
        <v/>
      </c>
    </row>
    <row r="218" ht="15.75" customFormat="1" customHeight="1" s="120">
      <c r="B218" s="551">
        <f>B195</f>
        <v/>
      </c>
      <c r="C218" s="552">
        <f>C195</f>
        <v/>
      </c>
      <c r="D218" s="551">
        <f>$D195</f>
        <v/>
      </c>
      <c r="E218" s="553">
        <f>E195</f>
        <v/>
      </c>
      <c r="F218" s="554">
        <f>F195*(1+Dashboard!$P$12)</f>
        <v/>
      </c>
      <c r="G218" s="555">
        <f>G195*(1+Dashboard!$P$11)</f>
        <v/>
      </c>
      <c r="H218" s="549">
        <f>+G218-F218</f>
        <v/>
      </c>
      <c r="I218" s="556">
        <f>I195*(1+Dashboard!$P$11)</f>
        <v/>
      </c>
      <c r="J218" s="557">
        <f>I218-F218</f>
        <v/>
      </c>
      <c r="K218" s="558">
        <f>K195*(1+Dashboard!$P$11)</f>
        <v/>
      </c>
      <c r="L218" s="559">
        <f>M218+F218</f>
        <v/>
      </c>
      <c r="M218" s="559">
        <f>M195*(1+Dashboard!$P$11)</f>
        <v/>
      </c>
      <c r="N218" s="548">
        <f>((M218*D218)*12)</f>
        <v/>
      </c>
      <c r="P218" s="545">
        <f>B218</f>
        <v/>
      </c>
      <c r="Q218" s="550">
        <f>C218</f>
        <v/>
      </c>
      <c r="R218" s="545">
        <f>D218</f>
        <v/>
      </c>
      <c r="S218" s="546">
        <f>E218</f>
        <v/>
      </c>
      <c r="T218" s="547">
        <f>F218</f>
        <v/>
      </c>
      <c r="U218" s="548">
        <f>((M218*R218)*12)</f>
        <v/>
      </c>
      <c r="W218" s="545">
        <f>B218</f>
        <v/>
      </c>
      <c r="X218" s="550">
        <f>C218</f>
        <v/>
      </c>
      <c r="Y218" s="545">
        <f>D218</f>
        <v/>
      </c>
      <c r="Z218" s="546">
        <f>E218</f>
        <v/>
      </c>
      <c r="AA218" s="547">
        <f>F218</f>
        <v/>
      </c>
      <c r="AB218" s="549">
        <f>((H218*Y218)*12)</f>
        <v/>
      </c>
      <c r="AD218" s="545">
        <f>B218</f>
        <v/>
      </c>
      <c r="AE218" s="550">
        <f>C218</f>
        <v/>
      </c>
      <c r="AF218" s="545">
        <f>D218</f>
        <v/>
      </c>
      <c r="AG218" s="546">
        <f>E218</f>
        <v/>
      </c>
      <c r="AH218" s="547">
        <f>F218</f>
        <v/>
      </c>
      <c r="AI218" s="548">
        <f>+MAX(U218,AB218)</f>
        <v/>
      </c>
      <c r="AK218" s="545">
        <f>B218</f>
        <v/>
      </c>
      <c r="AL218" s="550">
        <f>C218</f>
        <v/>
      </c>
      <c r="AM218" s="545">
        <f>D218</f>
        <v/>
      </c>
      <c r="AN218" s="546">
        <f>E218</f>
        <v/>
      </c>
      <c r="AO218" s="547">
        <f>F218</f>
        <v/>
      </c>
      <c r="AP218" s="548">
        <f>IF(G218&gt;0,MAX(U218,AB218),N218)</f>
        <v/>
      </c>
    </row>
    <row r="219" ht="15.75" customFormat="1" customHeight="1" s="120">
      <c r="B219" s="551">
        <f>B196</f>
        <v/>
      </c>
      <c r="C219" s="552">
        <f>C196</f>
        <v/>
      </c>
      <c r="D219" s="551">
        <f>$D196</f>
        <v/>
      </c>
      <c r="E219" s="553">
        <f>E196</f>
        <v/>
      </c>
      <c r="F219" s="554">
        <f>F196*(1+Dashboard!$P$12)</f>
        <v/>
      </c>
      <c r="G219" s="555">
        <f>G196*(1+Dashboard!$P$11)</f>
        <v/>
      </c>
      <c r="H219" s="549">
        <f>+G219-F219</f>
        <v/>
      </c>
      <c r="I219" s="556">
        <f>I196*(1+Dashboard!$P$11)</f>
        <v/>
      </c>
      <c r="J219" s="557">
        <f>I219-F219</f>
        <v/>
      </c>
      <c r="K219" s="558">
        <f>K196*(1+Dashboard!$P$11)</f>
        <v/>
      </c>
      <c r="L219" s="559">
        <f>M219+F219</f>
        <v/>
      </c>
      <c r="M219" s="559">
        <f>M196*(1+Dashboard!$P$11)</f>
        <v/>
      </c>
      <c r="N219" s="548">
        <f>((M219*D219)*12)</f>
        <v/>
      </c>
      <c r="P219" s="545">
        <f>B219</f>
        <v/>
      </c>
      <c r="Q219" s="550">
        <f>C219</f>
        <v/>
      </c>
      <c r="R219" s="545">
        <f>D219</f>
        <v/>
      </c>
      <c r="S219" s="546">
        <f>E219</f>
        <v/>
      </c>
      <c r="T219" s="547">
        <f>F219</f>
        <v/>
      </c>
      <c r="U219" s="548">
        <f>((M219*R219)*12)</f>
        <v/>
      </c>
      <c r="W219" s="545">
        <f>B219</f>
        <v/>
      </c>
      <c r="X219" s="550">
        <f>C219</f>
        <v/>
      </c>
      <c r="Y219" s="545">
        <f>D219</f>
        <v/>
      </c>
      <c r="Z219" s="546">
        <f>E219</f>
        <v/>
      </c>
      <c r="AA219" s="547">
        <f>F219</f>
        <v/>
      </c>
      <c r="AB219" s="549">
        <f>((H219*Y219)*12)</f>
        <v/>
      </c>
      <c r="AD219" s="545">
        <f>B219</f>
        <v/>
      </c>
      <c r="AE219" s="550">
        <f>C219</f>
        <v/>
      </c>
      <c r="AF219" s="545">
        <f>D219</f>
        <v/>
      </c>
      <c r="AG219" s="546">
        <f>E219</f>
        <v/>
      </c>
      <c r="AH219" s="547">
        <f>F219</f>
        <v/>
      </c>
      <c r="AI219" s="548">
        <f>+MAX(U219,AB219)</f>
        <v/>
      </c>
      <c r="AK219" s="545">
        <f>B219</f>
        <v/>
      </c>
      <c r="AL219" s="550">
        <f>C219</f>
        <v/>
      </c>
      <c r="AM219" s="545">
        <f>D219</f>
        <v/>
      </c>
      <c r="AN219" s="546">
        <f>E219</f>
        <v/>
      </c>
      <c r="AO219" s="547">
        <f>F219</f>
        <v/>
      </c>
      <c r="AP219" s="548">
        <f>IF(G219&gt;0,MAX(U219,AB219),N219)</f>
        <v/>
      </c>
    </row>
    <row r="220" ht="15.75" customFormat="1" customHeight="1" s="120">
      <c r="B220" s="551">
        <f>B197</f>
        <v/>
      </c>
      <c r="C220" s="552">
        <f>C197</f>
        <v/>
      </c>
      <c r="D220" s="551">
        <f>$D197</f>
        <v/>
      </c>
      <c r="E220" s="553">
        <f>E197</f>
        <v/>
      </c>
      <c r="F220" s="554">
        <f>F197*(1+Dashboard!$P$12)</f>
        <v/>
      </c>
      <c r="G220" s="555">
        <f>G197*(1+Dashboard!$P$11)</f>
        <v/>
      </c>
      <c r="H220" s="549">
        <f>+G220-F220</f>
        <v/>
      </c>
      <c r="I220" s="556">
        <f>I197*(1+Dashboard!$P$11)</f>
        <v/>
      </c>
      <c r="J220" s="557">
        <f>I220-F220</f>
        <v/>
      </c>
      <c r="K220" s="558">
        <f>K197*(1+Dashboard!$P$11)</f>
        <v/>
      </c>
      <c r="L220" s="559">
        <f>M220+F220</f>
        <v/>
      </c>
      <c r="M220" s="559">
        <f>M197*(1+Dashboard!$P$11)</f>
        <v/>
      </c>
      <c r="N220" s="548">
        <f>((M220*D220)*12)</f>
        <v/>
      </c>
      <c r="P220" s="545">
        <f>B220</f>
        <v/>
      </c>
      <c r="Q220" s="550">
        <f>C220</f>
        <v/>
      </c>
      <c r="R220" s="545">
        <f>D220</f>
        <v/>
      </c>
      <c r="S220" s="546">
        <f>E220</f>
        <v/>
      </c>
      <c r="T220" s="547">
        <f>F220</f>
        <v/>
      </c>
      <c r="U220" s="548">
        <f>((M220*R220)*12)</f>
        <v/>
      </c>
      <c r="W220" s="545">
        <f>B220</f>
        <v/>
      </c>
      <c r="X220" s="550">
        <f>C220</f>
        <v/>
      </c>
      <c r="Y220" s="545">
        <f>D220</f>
        <v/>
      </c>
      <c r="Z220" s="546">
        <f>E220</f>
        <v/>
      </c>
      <c r="AA220" s="547">
        <f>F220</f>
        <v/>
      </c>
      <c r="AB220" s="549">
        <f>((H220*Y220)*12)</f>
        <v/>
      </c>
      <c r="AD220" s="545">
        <f>B220</f>
        <v/>
      </c>
      <c r="AE220" s="550">
        <f>C220</f>
        <v/>
      </c>
      <c r="AF220" s="545">
        <f>D220</f>
        <v/>
      </c>
      <c r="AG220" s="546">
        <f>E220</f>
        <v/>
      </c>
      <c r="AH220" s="547">
        <f>F220</f>
        <v/>
      </c>
      <c r="AI220" s="548">
        <f>+MAX(U220,AB220)</f>
        <v/>
      </c>
      <c r="AK220" s="545">
        <f>B220</f>
        <v/>
      </c>
      <c r="AL220" s="550">
        <f>C220</f>
        <v/>
      </c>
      <c r="AM220" s="545">
        <f>D220</f>
        <v/>
      </c>
      <c r="AN220" s="546">
        <f>E220</f>
        <v/>
      </c>
      <c r="AO220" s="547">
        <f>F220</f>
        <v/>
      </c>
      <c r="AP220" s="548">
        <f>IF(G220&gt;0,MAX(U220,AB220),N220)</f>
        <v/>
      </c>
    </row>
    <row r="221" ht="15.75" customFormat="1" customHeight="1" s="120">
      <c r="B221" s="551">
        <f>B198</f>
        <v/>
      </c>
      <c r="C221" s="552">
        <f>C198</f>
        <v/>
      </c>
      <c r="D221" s="551">
        <f>$D198</f>
        <v/>
      </c>
      <c r="E221" s="553">
        <f>E198</f>
        <v/>
      </c>
      <c r="F221" s="554">
        <f>F198*(1+Dashboard!$P$12)</f>
        <v/>
      </c>
      <c r="G221" s="555">
        <f>G198*(1+Dashboard!$P$11)</f>
        <v/>
      </c>
      <c r="H221" s="549">
        <f>+G221-F221</f>
        <v/>
      </c>
      <c r="I221" s="556">
        <f>I198*(1+Dashboard!$P$11)</f>
        <v/>
      </c>
      <c r="J221" s="557">
        <f>I221-F221</f>
        <v/>
      </c>
      <c r="K221" s="558">
        <f>K198*(1+Dashboard!$P$11)</f>
        <v/>
      </c>
      <c r="L221" s="559">
        <f>M221+F221</f>
        <v/>
      </c>
      <c r="M221" s="559">
        <f>M198*(1+Dashboard!$P$11)</f>
        <v/>
      </c>
      <c r="N221" s="548">
        <f>((M221*D221)*12)</f>
        <v/>
      </c>
      <c r="P221" s="545">
        <f>B221</f>
        <v/>
      </c>
      <c r="Q221" s="550">
        <f>C221</f>
        <v/>
      </c>
      <c r="R221" s="545">
        <f>D221</f>
        <v/>
      </c>
      <c r="S221" s="546">
        <f>E221</f>
        <v/>
      </c>
      <c r="T221" s="547">
        <f>F221</f>
        <v/>
      </c>
      <c r="U221" s="548">
        <f>((M221*R221)*12)</f>
        <v/>
      </c>
      <c r="W221" s="545">
        <f>B221</f>
        <v/>
      </c>
      <c r="X221" s="550">
        <f>C221</f>
        <v/>
      </c>
      <c r="Y221" s="545">
        <f>D221</f>
        <v/>
      </c>
      <c r="Z221" s="546">
        <f>E221</f>
        <v/>
      </c>
      <c r="AA221" s="547">
        <f>F221</f>
        <v/>
      </c>
      <c r="AB221" s="549">
        <f>((H221*Y221)*12)</f>
        <v/>
      </c>
      <c r="AD221" s="545">
        <f>B221</f>
        <v/>
      </c>
      <c r="AE221" s="550">
        <f>C221</f>
        <v/>
      </c>
      <c r="AF221" s="545">
        <f>D221</f>
        <v/>
      </c>
      <c r="AG221" s="546">
        <f>E221</f>
        <v/>
      </c>
      <c r="AH221" s="547">
        <f>F221</f>
        <v/>
      </c>
      <c r="AI221" s="548">
        <f>+MAX(U221,AB221)</f>
        <v/>
      </c>
      <c r="AK221" s="545">
        <f>B221</f>
        <v/>
      </c>
      <c r="AL221" s="550">
        <f>C221</f>
        <v/>
      </c>
      <c r="AM221" s="545">
        <f>D221</f>
        <v/>
      </c>
      <c r="AN221" s="546">
        <f>E221</f>
        <v/>
      </c>
      <c r="AO221" s="547">
        <f>F221</f>
        <v/>
      </c>
      <c r="AP221" s="548">
        <f>IF(G221&gt;0,MAX(U221,AB221),N221)</f>
        <v/>
      </c>
    </row>
    <row r="222" ht="15.75" customFormat="1" customHeight="1" s="120">
      <c r="B222" s="551">
        <f>B199</f>
        <v/>
      </c>
      <c r="C222" s="552">
        <f>C199</f>
        <v/>
      </c>
      <c r="D222" s="551">
        <f>$D199</f>
        <v/>
      </c>
      <c r="E222" s="553">
        <f>E199</f>
        <v/>
      </c>
      <c r="F222" s="554">
        <f>F199*(1+Dashboard!$P$12)</f>
        <v/>
      </c>
      <c r="G222" s="555">
        <f>G199*(1+Dashboard!$P$11)</f>
        <v/>
      </c>
      <c r="H222" s="549">
        <f>+G222-F222</f>
        <v/>
      </c>
      <c r="I222" s="556">
        <f>I199*(1+Dashboard!$P$11)</f>
        <v/>
      </c>
      <c r="J222" s="557">
        <f>I222-F222</f>
        <v/>
      </c>
      <c r="K222" s="558">
        <f>K199*(1+Dashboard!$P$11)</f>
        <v/>
      </c>
      <c r="L222" s="559">
        <f>M222+F222</f>
        <v/>
      </c>
      <c r="M222" s="559">
        <f>M199*(1+Dashboard!$P$11)</f>
        <v/>
      </c>
      <c r="N222" s="548">
        <f>((M222*D222)*12)</f>
        <v/>
      </c>
      <c r="P222" s="545">
        <f>B222</f>
        <v/>
      </c>
      <c r="Q222" s="550">
        <f>C222</f>
        <v/>
      </c>
      <c r="R222" s="545">
        <f>D222</f>
        <v/>
      </c>
      <c r="S222" s="546">
        <f>E222</f>
        <v/>
      </c>
      <c r="T222" s="547">
        <f>F222</f>
        <v/>
      </c>
      <c r="U222" s="548">
        <f>((M222*R222)*12)</f>
        <v/>
      </c>
      <c r="W222" s="545">
        <f>B222</f>
        <v/>
      </c>
      <c r="X222" s="550">
        <f>C222</f>
        <v/>
      </c>
      <c r="Y222" s="545">
        <f>D222</f>
        <v/>
      </c>
      <c r="Z222" s="546">
        <f>E222</f>
        <v/>
      </c>
      <c r="AA222" s="547">
        <f>F222</f>
        <v/>
      </c>
      <c r="AB222" s="549">
        <f>((H222*Y222)*12)</f>
        <v/>
      </c>
      <c r="AD222" s="545">
        <f>B222</f>
        <v/>
      </c>
      <c r="AE222" s="550">
        <f>C222</f>
        <v/>
      </c>
      <c r="AF222" s="545">
        <f>D222</f>
        <v/>
      </c>
      <c r="AG222" s="546">
        <f>E222</f>
        <v/>
      </c>
      <c r="AH222" s="547">
        <f>F222</f>
        <v/>
      </c>
      <c r="AI222" s="548">
        <f>+MAX(U222,AB222)</f>
        <v/>
      </c>
      <c r="AK222" s="545">
        <f>B222</f>
        <v/>
      </c>
      <c r="AL222" s="550">
        <f>C222</f>
        <v/>
      </c>
      <c r="AM222" s="545">
        <f>D222</f>
        <v/>
      </c>
      <c r="AN222" s="546">
        <f>E222</f>
        <v/>
      </c>
      <c r="AO222" s="547">
        <f>F222</f>
        <v/>
      </c>
      <c r="AP222" s="548">
        <f>IF(G222&gt;0,MAX(U222,AB222),N222)</f>
        <v/>
      </c>
    </row>
    <row r="223" ht="15.75" customFormat="1" customHeight="1" s="120">
      <c r="B223" s="551">
        <f>B200</f>
        <v/>
      </c>
      <c r="C223" s="552">
        <f>C200</f>
        <v/>
      </c>
      <c r="D223" s="551">
        <f>$D200</f>
        <v/>
      </c>
      <c r="E223" s="553">
        <f>E200</f>
        <v/>
      </c>
      <c r="F223" s="554">
        <f>F200*(1+Dashboard!$P$12)</f>
        <v/>
      </c>
      <c r="G223" s="555">
        <f>G200*(1+Dashboard!$P$11)</f>
        <v/>
      </c>
      <c r="H223" s="549">
        <f>+G223-F223</f>
        <v/>
      </c>
      <c r="I223" s="556">
        <f>I200*(1+Dashboard!$P$11)</f>
        <v/>
      </c>
      <c r="J223" s="557">
        <f>I223-F223</f>
        <v/>
      </c>
      <c r="K223" s="558">
        <f>K200*(1+Dashboard!$P$11)</f>
        <v/>
      </c>
      <c r="L223" s="559">
        <f>M223+F223</f>
        <v/>
      </c>
      <c r="M223" s="559">
        <f>M200*(1+Dashboard!$P$11)</f>
        <v/>
      </c>
      <c r="N223" s="548">
        <f>((M223*D223)*12)</f>
        <v/>
      </c>
      <c r="P223" s="545">
        <f>B223</f>
        <v/>
      </c>
      <c r="Q223" s="550">
        <f>C223</f>
        <v/>
      </c>
      <c r="R223" s="545">
        <f>D223</f>
        <v/>
      </c>
      <c r="S223" s="546">
        <f>E223</f>
        <v/>
      </c>
      <c r="T223" s="547">
        <f>F223</f>
        <v/>
      </c>
      <c r="U223" s="548">
        <f>((M223*R223)*12)</f>
        <v/>
      </c>
      <c r="W223" s="545">
        <f>B223</f>
        <v/>
      </c>
      <c r="X223" s="550">
        <f>C223</f>
        <v/>
      </c>
      <c r="Y223" s="545">
        <f>D223</f>
        <v/>
      </c>
      <c r="Z223" s="546">
        <f>E223</f>
        <v/>
      </c>
      <c r="AA223" s="547">
        <f>F223</f>
        <v/>
      </c>
      <c r="AB223" s="549">
        <f>((H223*Y223)*12)</f>
        <v/>
      </c>
      <c r="AD223" s="545">
        <f>B223</f>
        <v/>
      </c>
      <c r="AE223" s="550">
        <f>C223</f>
        <v/>
      </c>
      <c r="AF223" s="545">
        <f>D223</f>
        <v/>
      </c>
      <c r="AG223" s="546">
        <f>E223</f>
        <v/>
      </c>
      <c r="AH223" s="547">
        <f>F223</f>
        <v/>
      </c>
      <c r="AI223" s="548">
        <f>+MAX(U223,AB223)</f>
        <v/>
      </c>
      <c r="AK223" s="545">
        <f>B223</f>
        <v/>
      </c>
      <c r="AL223" s="550">
        <f>C223</f>
        <v/>
      </c>
      <c r="AM223" s="545">
        <f>D223</f>
        <v/>
      </c>
      <c r="AN223" s="546">
        <f>E223</f>
        <v/>
      </c>
      <c r="AO223" s="547">
        <f>F223</f>
        <v/>
      </c>
      <c r="AP223" s="548">
        <f>IF(G223&gt;0,MAX(U223,AB223),N223)</f>
        <v/>
      </c>
    </row>
    <row r="224" ht="15.75" customFormat="1" customHeight="1" s="120">
      <c r="B224" s="551">
        <f>B201</f>
        <v/>
      </c>
      <c r="C224" s="552">
        <f>C201</f>
        <v/>
      </c>
      <c r="D224" s="551">
        <f>$D201</f>
        <v/>
      </c>
      <c r="E224" s="553">
        <f>E201</f>
        <v/>
      </c>
      <c r="F224" s="554">
        <f>F201*(1+Dashboard!$P$12)</f>
        <v/>
      </c>
      <c r="G224" s="555">
        <f>G201*(1+Dashboard!$P$11)</f>
        <v/>
      </c>
      <c r="H224" s="549">
        <f>+G224-F224</f>
        <v/>
      </c>
      <c r="I224" s="556">
        <f>I201*(1+Dashboard!$P$11)</f>
        <v/>
      </c>
      <c r="J224" s="557">
        <f>I224-F224</f>
        <v/>
      </c>
      <c r="K224" s="558">
        <f>K201*(1+Dashboard!$P$11)</f>
        <v/>
      </c>
      <c r="L224" s="559">
        <f>M224+F224</f>
        <v/>
      </c>
      <c r="M224" s="559">
        <f>M201*(1+Dashboard!$P$11)</f>
        <v/>
      </c>
      <c r="N224" s="548">
        <f>((M224*D224)*12)</f>
        <v/>
      </c>
      <c r="P224" s="545">
        <f>B224</f>
        <v/>
      </c>
      <c r="Q224" s="550">
        <f>C224</f>
        <v/>
      </c>
      <c r="R224" s="545">
        <f>D224</f>
        <v/>
      </c>
      <c r="S224" s="546">
        <f>E224</f>
        <v/>
      </c>
      <c r="T224" s="547">
        <f>F224</f>
        <v/>
      </c>
      <c r="U224" s="548">
        <f>((M224*R224)*12)</f>
        <v/>
      </c>
      <c r="W224" s="545">
        <f>B224</f>
        <v/>
      </c>
      <c r="X224" s="550">
        <f>C224</f>
        <v/>
      </c>
      <c r="Y224" s="545">
        <f>D224</f>
        <v/>
      </c>
      <c r="Z224" s="546">
        <f>E224</f>
        <v/>
      </c>
      <c r="AA224" s="547">
        <f>F224</f>
        <v/>
      </c>
      <c r="AB224" s="549">
        <f>((H224*Y224)*12)</f>
        <v/>
      </c>
      <c r="AD224" s="545">
        <f>B224</f>
        <v/>
      </c>
      <c r="AE224" s="550">
        <f>C224</f>
        <v/>
      </c>
      <c r="AF224" s="545">
        <f>D224</f>
        <v/>
      </c>
      <c r="AG224" s="546">
        <f>E224</f>
        <v/>
      </c>
      <c r="AH224" s="547">
        <f>F224</f>
        <v/>
      </c>
      <c r="AI224" s="548">
        <f>+MAX(U224,AB224)</f>
        <v/>
      </c>
      <c r="AK224" s="545">
        <f>B224</f>
        <v/>
      </c>
      <c r="AL224" s="550">
        <f>C224</f>
        <v/>
      </c>
      <c r="AM224" s="545">
        <f>D224</f>
        <v/>
      </c>
      <c r="AN224" s="546">
        <f>E224</f>
        <v/>
      </c>
      <c r="AO224" s="547">
        <f>F224</f>
        <v/>
      </c>
      <c r="AP224" s="548">
        <f>IF(G224&gt;0,MAX(U224,AB224),N224)</f>
        <v/>
      </c>
    </row>
    <row r="225" ht="15.75" customFormat="1" customHeight="1" s="120">
      <c r="B225" s="551">
        <f>B202</f>
        <v/>
      </c>
      <c r="C225" s="552">
        <f>C202</f>
        <v/>
      </c>
      <c r="D225" s="551">
        <f>$D202</f>
        <v/>
      </c>
      <c r="E225" s="553">
        <f>E202</f>
        <v/>
      </c>
      <c r="F225" s="554">
        <f>F202*(1+Dashboard!$P$12)</f>
        <v/>
      </c>
      <c r="G225" s="555">
        <f>G202*(1+Dashboard!$P$11)</f>
        <v/>
      </c>
      <c r="H225" s="549">
        <f>+G225-F225</f>
        <v/>
      </c>
      <c r="I225" s="556">
        <f>I202*(1+Dashboard!$P$11)</f>
        <v/>
      </c>
      <c r="J225" s="557">
        <f>I225-F225</f>
        <v/>
      </c>
      <c r="K225" s="558">
        <f>K202*(1+Dashboard!$P$11)</f>
        <v/>
      </c>
      <c r="L225" s="559">
        <f>M225+F225</f>
        <v/>
      </c>
      <c r="M225" s="559">
        <f>M202*(1+Dashboard!$P$11)</f>
        <v/>
      </c>
      <c r="N225" s="548">
        <f>((M225*D225)*12)</f>
        <v/>
      </c>
      <c r="P225" s="545">
        <f>B225</f>
        <v/>
      </c>
      <c r="Q225" s="550">
        <f>C225</f>
        <v/>
      </c>
      <c r="R225" s="545">
        <f>D225</f>
        <v/>
      </c>
      <c r="S225" s="546">
        <f>E225</f>
        <v/>
      </c>
      <c r="T225" s="547">
        <f>F225</f>
        <v/>
      </c>
      <c r="U225" s="548">
        <f>((M225*R225)*12)</f>
        <v/>
      </c>
      <c r="W225" s="545">
        <f>B225</f>
        <v/>
      </c>
      <c r="X225" s="550">
        <f>C225</f>
        <v/>
      </c>
      <c r="Y225" s="545">
        <f>D225</f>
        <v/>
      </c>
      <c r="Z225" s="546">
        <f>E225</f>
        <v/>
      </c>
      <c r="AA225" s="547">
        <f>F225</f>
        <v/>
      </c>
      <c r="AB225" s="549">
        <f>((H225*Y225)*12)</f>
        <v/>
      </c>
      <c r="AD225" s="545">
        <f>B225</f>
        <v/>
      </c>
      <c r="AE225" s="550">
        <f>C225</f>
        <v/>
      </c>
      <c r="AF225" s="545">
        <f>D225</f>
        <v/>
      </c>
      <c r="AG225" s="546">
        <f>E225</f>
        <v/>
      </c>
      <c r="AH225" s="547">
        <f>F225</f>
        <v/>
      </c>
      <c r="AI225" s="548">
        <f>+MAX(U225,AB225)</f>
        <v/>
      </c>
      <c r="AK225" s="545">
        <f>B225</f>
        <v/>
      </c>
      <c r="AL225" s="550">
        <f>C225</f>
        <v/>
      </c>
      <c r="AM225" s="545">
        <f>D225</f>
        <v/>
      </c>
      <c r="AN225" s="546">
        <f>E225</f>
        <v/>
      </c>
      <c r="AO225" s="547">
        <f>F225</f>
        <v/>
      </c>
      <c r="AP225" s="548">
        <f>IF(G225&gt;0,MAX(U225,AB225),N225)</f>
        <v/>
      </c>
    </row>
    <row r="226" ht="15.75" customFormat="1" customHeight="1" s="120">
      <c r="B226" s="551">
        <f>B203</f>
        <v/>
      </c>
      <c r="C226" s="552">
        <f>C203</f>
        <v/>
      </c>
      <c r="D226" s="551">
        <f>$D203</f>
        <v/>
      </c>
      <c r="E226" s="553">
        <f>E203</f>
        <v/>
      </c>
      <c r="F226" s="554">
        <f>F203*(1+Dashboard!$P$12)</f>
        <v/>
      </c>
      <c r="G226" s="555">
        <f>G203*(1+Dashboard!$P$11)</f>
        <v/>
      </c>
      <c r="H226" s="549">
        <f>+G226-F226</f>
        <v/>
      </c>
      <c r="I226" s="556">
        <f>I203*(1+Dashboard!$P$11)</f>
        <v/>
      </c>
      <c r="J226" s="557">
        <f>I226-F226</f>
        <v/>
      </c>
      <c r="K226" s="558">
        <f>K203*(1+Dashboard!$P$11)</f>
        <v/>
      </c>
      <c r="L226" s="559">
        <f>M226+F226</f>
        <v/>
      </c>
      <c r="M226" s="559">
        <f>M203*(1+Dashboard!$P$11)</f>
        <v/>
      </c>
      <c r="N226" s="548">
        <f>((M226*D226)*12)</f>
        <v/>
      </c>
      <c r="P226" s="545">
        <f>B226</f>
        <v/>
      </c>
      <c r="Q226" s="550">
        <f>C226</f>
        <v/>
      </c>
      <c r="R226" s="545">
        <f>D226</f>
        <v/>
      </c>
      <c r="S226" s="546">
        <f>E226</f>
        <v/>
      </c>
      <c r="T226" s="547">
        <f>F226</f>
        <v/>
      </c>
      <c r="U226" s="548">
        <f>((M226*R226)*12)</f>
        <v/>
      </c>
      <c r="W226" s="545">
        <f>B226</f>
        <v/>
      </c>
      <c r="X226" s="550">
        <f>C226</f>
        <v/>
      </c>
      <c r="Y226" s="545">
        <f>D226</f>
        <v/>
      </c>
      <c r="Z226" s="546">
        <f>E226</f>
        <v/>
      </c>
      <c r="AA226" s="547">
        <f>F226</f>
        <v/>
      </c>
      <c r="AB226" s="549">
        <f>((H226*Y226)*12)</f>
        <v/>
      </c>
      <c r="AD226" s="545">
        <f>B226</f>
        <v/>
      </c>
      <c r="AE226" s="550">
        <f>C226</f>
        <v/>
      </c>
      <c r="AF226" s="545">
        <f>D226</f>
        <v/>
      </c>
      <c r="AG226" s="546">
        <f>E226</f>
        <v/>
      </c>
      <c r="AH226" s="547">
        <f>F226</f>
        <v/>
      </c>
      <c r="AI226" s="548">
        <f>+MAX(U226,AB226)</f>
        <v/>
      </c>
      <c r="AK226" s="545">
        <f>B226</f>
        <v/>
      </c>
      <c r="AL226" s="550">
        <f>C226</f>
        <v/>
      </c>
      <c r="AM226" s="545">
        <f>D226</f>
        <v/>
      </c>
      <c r="AN226" s="546">
        <f>E226</f>
        <v/>
      </c>
      <c r="AO226" s="547">
        <f>F226</f>
        <v/>
      </c>
      <c r="AP226" s="548">
        <f>IF(G226&gt;0,MAX(U226,AB226),N226)</f>
        <v/>
      </c>
    </row>
    <row r="227" ht="15.75" customFormat="1" customHeight="1" s="120">
      <c r="B227" s="551">
        <f>B204</f>
        <v/>
      </c>
      <c r="C227" s="552">
        <f>C204</f>
        <v/>
      </c>
      <c r="D227" s="551">
        <f>$D204</f>
        <v/>
      </c>
      <c r="E227" s="553">
        <f>E204</f>
        <v/>
      </c>
      <c r="F227" s="554">
        <f>F204*(1+Dashboard!$P$12)</f>
        <v/>
      </c>
      <c r="G227" s="555">
        <f>G204*(1+Dashboard!$P$11)</f>
        <v/>
      </c>
      <c r="H227" s="549">
        <f>+G227-F227</f>
        <v/>
      </c>
      <c r="I227" s="556">
        <f>I204*(1+Dashboard!$P$11)</f>
        <v/>
      </c>
      <c r="J227" s="557">
        <f>I227-F227</f>
        <v/>
      </c>
      <c r="K227" s="558">
        <f>K204*(1+Dashboard!$P$11)</f>
        <v/>
      </c>
      <c r="L227" s="559">
        <f>M227+F227</f>
        <v/>
      </c>
      <c r="M227" s="559">
        <f>M204*(1+Dashboard!$P$11)</f>
        <v/>
      </c>
      <c r="N227" s="548">
        <f>((M227*D227)*12)</f>
        <v/>
      </c>
      <c r="P227" s="545">
        <f>B227</f>
        <v/>
      </c>
      <c r="Q227" s="550">
        <f>C227</f>
        <v/>
      </c>
      <c r="R227" s="545">
        <f>D227</f>
        <v/>
      </c>
      <c r="S227" s="546">
        <f>E227</f>
        <v/>
      </c>
      <c r="T227" s="547">
        <f>F227</f>
        <v/>
      </c>
      <c r="U227" s="548">
        <f>((M227*R227)*12)</f>
        <v/>
      </c>
      <c r="W227" s="545">
        <f>B227</f>
        <v/>
      </c>
      <c r="X227" s="550">
        <f>C227</f>
        <v/>
      </c>
      <c r="Y227" s="545">
        <f>D227</f>
        <v/>
      </c>
      <c r="Z227" s="546">
        <f>E227</f>
        <v/>
      </c>
      <c r="AA227" s="547">
        <f>F227</f>
        <v/>
      </c>
      <c r="AB227" s="549">
        <f>((H227*Y227)*12)</f>
        <v/>
      </c>
      <c r="AD227" s="545">
        <f>B227</f>
        <v/>
      </c>
      <c r="AE227" s="550">
        <f>C227</f>
        <v/>
      </c>
      <c r="AF227" s="545">
        <f>D227</f>
        <v/>
      </c>
      <c r="AG227" s="546">
        <f>E227</f>
        <v/>
      </c>
      <c r="AH227" s="547">
        <f>F227</f>
        <v/>
      </c>
      <c r="AI227" s="548">
        <f>+MAX(U227,AB227)</f>
        <v/>
      </c>
      <c r="AK227" s="545">
        <f>B227</f>
        <v/>
      </c>
      <c r="AL227" s="550">
        <f>C227</f>
        <v/>
      </c>
      <c r="AM227" s="545">
        <f>D227</f>
        <v/>
      </c>
      <c r="AN227" s="546">
        <f>E227</f>
        <v/>
      </c>
      <c r="AO227" s="547">
        <f>F227</f>
        <v/>
      </c>
      <c r="AP227" s="548">
        <f>IF(G227&gt;0,MAX(U227,AB227),N227)</f>
        <v/>
      </c>
    </row>
    <row r="228" ht="15.75" customFormat="1" customHeight="1" s="120">
      <c r="B228" s="551">
        <f>B205</f>
        <v/>
      </c>
      <c r="C228" s="552">
        <f>C205</f>
        <v/>
      </c>
      <c r="D228" s="551">
        <f>$D205</f>
        <v/>
      </c>
      <c r="E228" s="553">
        <f>E205</f>
        <v/>
      </c>
      <c r="F228" s="554">
        <f>F205*(1+Dashboard!$P$12)</f>
        <v/>
      </c>
      <c r="G228" s="555">
        <f>G205*(1+Dashboard!$P$11)</f>
        <v/>
      </c>
      <c r="H228" s="549">
        <f>+G228-F228</f>
        <v/>
      </c>
      <c r="I228" s="556">
        <f>I205*(1+Dashboard!$P$11)</f>
        <v/>
      </c>
      <c r="J228" s="557">
        <f>I228-F228</f>
        <v/>
      </c>
      <c r="K228" s="558">
        <f>K205*(1+Dashboard!$P$11)</f>
        <v/>
      </c>
      <c r="L228" s="559">
        <f>M228+F228</f>
        <v/>
      </c>
      <c r="M228" s="559">
        <f>M205*(1+Dashboard!$P$11)</f>
        <v/>
      </c>
      <c r="N228" s="548">
        <f>((M228*D228)*12)</f>
        <v/>
      </c>
      <c r="P228" s="545">
        <f>B228</f>
        <v/>
      </c>
      <c r="Q228" s="550">
        <f>C228</f>
        <v/>
      </c>
      <c r="R228" s="545">
        <f>D228</f>
        <v/>
      </c>
      <c r="S228" s="546">
        <f>E228</f>
        <v/>
      </c>
      <c r="T228" s="547">
        <f>F228</f>
        <v/>
      </c>
      <c r="U228" s="548">
        <f>((M228*R228)*12)</f>
        <v/>
      </c>
      <c r="W228" s="545">
        <f>B228</f>
        <v/>
      </c>
      <c r="X228" s="550">
        <f>C228</f>
        <v/>
      </c>
      <c r="Y228" s="545">
        <f>D228</f>
        <v/>
      </c>
      <c r="Z228" s="546">
        <f>E228</f>
        <v/>
      </c>
      <c r="AA228" s="547">
        <f>F228</f>
        <v/>
      </c>
      <c r="AB228" s="549">
        <f>((H228*Y228)*12)</f>
        <v/>
      </c>
      <c r="AD228" s="545">
        <f>B228</f>
        <v/>
      </c>
      <c r="AE228" s="550">
        <f>C228</f>
        <v/>
      </c>
      <c r="AF228" s="545">
        <f>D228</f>
        <v/>
      </c>
      <c r="AG228" s="546">
        <f>E228</f>
        <v/>
      </c>
      <c r="AH228" s="547">
        <f>F228</f>
        <v/>
      </c>
      <c r="AI228" s="548">
        <f>+MAX(U228,AB228)</f>
        <v/>
      </c>
      <c r="AK228" s="545">
        <f>B228</f>
        <v/>
      </c>
      <c r="AL228" s="550">
        <f>C228</f>
        <v/>
      </c>
      <c r="AM228" s="545">
        <f>D228</f>
        <v/>
      </c>
      <c r="AN228" s="546">
        <f>E228</f>
        <v/>
      </c>
      <c r="AO228" s="547">
        <f>F228</f>
        <v/>
      </c>
      <c r="AP228" s="548">
        <f>IF(G228&gt;0,MAX(U228,AB228),N228)</f>
        <v/>
      </c>
    </row>
    <row r="229" ht="15.75" customFormat="1" customHeight="1" s="120">
      <c r="B229" s="551">
        <f>B206</f>
        <v/>
      </c>
      <c r="C229" s="552">
        <f>C206</f>
        <v/>
      </c>
      <c r="D229" s="551">
        <f>$D206</f>
        <v/>
      </c>
      <c r="E229" s="553">
        <f>E206</f>
        <v/>
      </c>
      <c r="F229" s="554">
        <f>F206*(1+Dashboard!$P$12)</f>
        <v/>
      </c>
      <c r="G229" s="555">
        <f>G206*(1+Dashboard!$P$11)</f>
        <v/>
      </c>
      <c r="H229" s="549">
        <f>+G229-F229</f>
        <v/>
      </c>
      <c r="I229" s="556">
        <f>I206*(1+Dashboard!$P$11)</f>
        <v/>
      </c>
      <c r="J229" s="557">
        <f>I229-F229</f>
        <v/>
      </c>
      <c r="K229" s="558">
        <f>K206*(1+Dashboard!$P$11)</f>
        <v/>
      </c>
      <c r="L229" s="559">
        <f>M229+F229</f>
        <v/>
      </c>
      <c r="M229" s="559">
        <f>M206*(1+Dashboard!$P$11)</f>
        <v/>
      </c>
      <c r="N229" s="548">
        <f>((M229*D229)*12)</f>
        <v/>
      </c>
      <c r="P229" s="545">
        <f>B229</f>
        <v/>
      </c>
      <c r="Q229" s="550">
        <f>C229</f>
        <v/>
      </c>
      <c r="R229" s="545">
        <f>D229</f>
        <v/>
      </c>
      <c r="S229" s="546">
        <f>E229</f>
        <v/>
      </c>
      <c r="T229" s="547">
        <f>F229</f>
        <v/>
      </c>
      <c r="U229" s="548">
        <f>((M229*R229)*12)</f>
        <v/>
      </c>
      <c r="W229" s="545">
        <f>B229</f>
        <v/>
      </c>
      <c r="X229" s="550">
        <f>C229</f>
        <v/>
      </c>
      <c r="Y229" s="545">
        <f>D229</f>
        <v/>
      </c>
      <c r="Z229" s="546">
        <f>E229</f>
        <v/>
      </c>
      <c r="AA229" s="547">
        <f>F229</f>
        <v/>
      </c>
      <c r="AB229" s="549">
        <f>((H229*Y229)*12)</f>
        <v/>
      </c>
      <c r="AD229" s="545">
        <f>B229</f>
        <v/>
      </c>
      <c r="AE229" s="550">
        <f>C229</f>
        <v/>
      </c>
      <c r="AF229" s="545">
        <f>D229</f>
        <v/>
      </c>
      <c r="AG229" s="546">
        <f>E229</f>
        <v/>
      </c>
      <c r="AH229" s="547">
        <f>F229</f>
        <v/>
      </c>
      <c r="AI229" s="548">
        <f>+MAX(U229,AB229)</f>
        <v/>
      </c>
      <c r="AK229" s="545">
        <f>B229</f>
        <v/>
      </c>
      <c r="AL229" s="550">
        <f>C229</f>
        <v/>
      </c>
      <c r="AM229" s="545">
        <f>D229</f>
        <v/>
      </c>
      <c r="AN229" s="546">
        <f>E229</f>
        <v/>
      </c>
      <c r="AO229" s="547">
        <f>F229</f>
        <v/>
      </c>
      <c r="AP229" s="548">
        <f>IF(G229&gt;0,MAX(U229,AB229),N229)</f>
        <v/>
      </c>
    </row>
    <row r="230" ht="15.75" customFormat="1" customHeight="1" s="120">
      <c r="B230" s="551">
        <f>B207</f>
        <v/>
      </c>
      <c r="C230" s="552">
        <f>C207</f>
        <v/>
      </c>
      <c r="D230" s="551">
        <f>$D207</f>
        <v/>
      </c>
      <c r="E230" s="553">
        <f>E207</f>
        <v/>
      </c>
      <c r="F230" s="554">
        <f>F207*(1+Dashboard!$P$12)</f>
        <v/>
      </c>
      <c r="G230" s="555">
        <f>G207*(1+Dashboard!$P$11)</f>
        <v/>
      </c>
      <c r="H230" s="549">
        <f>+G230-F230</f>
        <v/>
      </c>
      <c r="I230" s="556">
        <f>I207*(1+Dashboard!$P$11)</f>
        <v/>
      </c>
      <c r="J230" s="557">
        <f>I230-F230</f>
        <v/>
      </c>
      <c r="K230" s="558">
        <f>K207*(1+Dashboard!$P$11)</f>
        <v/>
      </c>
      <c r="L230" s="559">
        <f>M230+F230</f>
        <v/>
      </c>
      <c r="M230" s="559">
        <f>M207*(1+Dashboard!$P$11)</f>
        <v/>
      </c>
      <c r="N230" s="548">
        <f>((M230*D230)*12)</f>
        <v/>
      </c>
      <c r="P230" s="545">
        <f>B230</f>
        <v/>
      </c>
      <c r="Q230" s="550">
        <f>C230</f>
        <v/>
      </c>
      <c r="R230" s="545">
        <f>D230</f>
        <v/>
      </c>
      <c r="S230" s="546">
        <f>E230</f>
        <v/>
      </c>
      <c r="T230" s="547">
        <f>F230</f>
        <v/>
      </c>
      <c r="U230" s="548">
        <f>((M230*R230)*12)</f>
        <v/>
      </c>
      <c r="W230" s="545">
        <f>B230</f>
        <v/>
      </c>
      <c r="X230" s="550">
        <f>C230</f>
        <v/>
      </c>
      <c r="Y230" s="545">
        <f>D230</f>
        <v/>
      </c>
      <c r="Z230" s="546">
        <f>E230</f>
        <v/>
      </c>
      <c r="AA230" s="547">
        <f>F230</f>
        <v/>
      </c>
      <c r="AB230" s="549">
        <f>((H230*Y230)*12)</f>
        <v/>
      </c>
      <c r="AD230" s="545">
        <f>B230</f>
        <v/>
      </c>
      <c r="AE230" s="550">
        <f>C230</f>
        <v/>
      </c>
      <c r="AF230" s="545">
        <f>D230</f>
        <v/>
      </c>
      <c r="AG230" s="546">
        <f>E230</f>
        <v/>
      </c>
      <c r="AH230" s="547">
        <f>F230</f>
        <v/>
      </c>
      <c r="AI230" s="548">
        <f>+MAX(U230,AB230)</f>
        <v/>
      </c>
      <c r="AK230" s="545">
        <f>B230</f>
        <v/>
      </c>
      <c r="AL230" s="550">
        <f>C230</f>
        <v/>
      </c>
      <c r="AM230" s="545">
        <f>D230</f>
        <v/>
      </c>
      <c r="AN230" s="546">
        <f>E230</f>
        <v/>
      </c>
      <c r="AO230" s="547">
        <f>F230</f>
        <v/>
      </c>
      <c r="AP230" s="548">
        <f>IF(G230&gt;0,MAX(U230,AB230),N230)</f>
        <v/>
      </c>
    </row>
    <row r="231" ht="15.75" customFormat="1" customHeight="1" s="120">
      <c r="B231" s="551">
        <f>B208</f>
        <v/>
      </c>
      <c r="C231" s="552">
        <f>C208</f>
        <v/>
      </c>
      <c r="D231" s="551">
        <f>$D208</f>
        <v/>
      </c>
      <c r="E231" s="553">
        <f>E208</f>
        <v/>
      </c>
      <c r="F231" s="554">
        <f>F208*(1+Dashboard!$P$12)</f>
        <v/>
      </c>
      <c r="G231" s="555">
        <f>G208*(1+Dashboard!$P$11)</f>
        <v/>
      </c>
      <c r="H231" s="549">
        <f>+G231-F231</f>
        <v/>
      </c>
      <c r="I231" s="556">
        <f>I208*(1+Dashboard!$P$11)</f>
        <v/>
      </c>
      <c r="J231" s="557">
        <f>I231-F231</f>
        <v/>
      </c>
      <c r="K231" s="558">
        <f>K208*(1+Dashboard!$P$11)</f>
        <v/>
      </c>
      <c r="L231" s="559">
        <f>M231+F231</f>
        <v/>
      </c>
      <c r="M231" s="559">
        <f>M208*(1+Dashboard!$P$11)</f>
        <v/>
      </c>
      <c r="N231" s="548">
        <f>((M231*D231)*12)</f>
        <v/>
      </c>
      <c r="P231" s="545">
        <f>B231</f>
        <v/>
      </c>
      <c r="Q231" s="550">
        <f>C231</f>
        <v/>
      </c>
      <c r="R231" s="545">
        <f>D231</f>
        <v/>
      </c>
      <c r="S231" s="546">
        <f>E231</f>
        <v/>
      </c>
      <c r="T231" s="547">
        <f>F231</f>
        <v/>
      </c>
      <c r="U231" s="548">
        <f>((M231*R231)*12)</f>
        <v/>
      </c>
      <c r="W231" s="545">
        <f>B231</f>
        <v/>
      </c>
      <c r="X231" s="550">
        <f>C231</f>
        <v/>
      </c>
      <c r="Y231" s="545">
        <f>D231</f>
        <v/>
      </c>
      <c r="Z231" s="546">
        <f>E231</f>
        <v/>
      </c>
      <c r="AA231" s="547">
        <f>F231</f>
        <v/>
      </c>
      <c r="AB231" s="549">
        <f>((H231*Y231)*12)</f>
        <v/>
      </c>
      <c r="AD231" s="545">
        <f>B231</f>
        <v/>
      </c>
      <c r="AE231" s="550">
        <f>C231</f>
        <v/>
      </c>
      <c r="AF231" s="545">
        <f>D231</f>
        <v/>
      </c>
      <c r="AG231" s="546">
        <f>E231</f>
        <v/>
      </c>
      <c r="AH231" s="547">
        <f>F231</f>
        <v/>
      </c>
      <c r="AI231" s="548">
        <f>+MAX(U231,AB231)</f>
        <v/>
      </c>
      <c r="AK231" s="545">
        <f>B231</f>
        <v/>
      </c>
      <c r="AL231" s="550">
        <f>C231</f>
        <v/>
      </c>
      <c r="AM231" s="545">
        <f>D231</f>
        <v/>
      </c>
      <c r="AN231" s="546">
        <f>E231</f>
        <v/>
      </c>
      <c r="AO231" s="547">
        <f>F231</f>
        <v/>
      </c>
      <c r="AP231" s="548">
        <f>IF(G231&gt;0,MAX(U231,AB231),N231)</f>
        <v/>
      </c>
    </row>
    <row r="232" ht="15.75" customFormat="1" customHeight="1" s="120">
      <c r="B232" s="551">
        <f>B209</f>
        <v/>
      </c>
      <c r="C232" s="552">
        <f>C209</f>
        <v/>
      </c>
      <c r="D232" s="551">
        <f>$D209</f>
        <v/>
      </c>
      <c r="E232" s="553">
        <f>E209</f>
        <v/>
      </c>
      <c r="F232" s="554">
        <f>F209*(1+Dashboard!$P$12)</f>
        <v/>
      </c>
      <c r="G232" s="555">
        <f>G209*(1+Dashboard!$P$11)</f>
        <v/>
      </c>
      <c r="H232" s="549">
        <f>+G232-F232</f>
        <v/>
      </c>
      <c r="I232" s="556">
        <f>I209*(1+Dashboard!$P$11)</f>
        <v/>
      </c>
      <c r="J232" s="557">
        <f>I232-F232</f>
        <v/>
      </c>
      <c r="K232" s="558">
        <f>K209*(1+Dashboard!$P$11)</f>
        <v/>
      </c>
      <c r="L232" s="559">
        <f>M232+F232</f>
        <v/>
      </c>
      <c r="M232" s="559">
        <f>M209*(1+Dashboard!$P$11)</f>
        <v/>
      </c>
      <c r="N232" s="548">
        <f>((M232*D232)*12)</f>
        <v/>
      </c>
      <c r="P232" s="545">
        <f>B232</f>
        <v/>
      </c>
      <c r="Q232" s="550">
        <f>C232</f>
        <v/>
      </c>
      <c r="R232" s="545">
        <f>D232</f>
        <v/>
      </c>
      <c r="S232" s="546">
        <f>E232</f>
        <v/>
      </c>
      <c r="T232" s="547">
        <f>F232</f>
        <v/>
      </c>
      <c r="U232" s="548">
        <f>((M232*R232)*12)</f>
        <v/>
      </c>
      <c r="W232" s="545">
        <f>B232</f>
        <v/>
      </c>
      <c r="X232" s="550">
        <f>C232</f>
        <v/>
      </c>
      <c r="Y232" s="545">
        <f>D232</f>
        <v/>
      </c>
      <c r="Z232" s="546">
        <f>E232</f>
        <v/>
      </c>
      <c r="AA232" s="547">
        <f>F232</f>
        <v/>
      </c>
      <c r="AB232" s="549">
        <f>((H232*Y232)*12)</f>
        <v/>
      </c>
      <c r="AD232" s="545">
        <f>B232</f>
        <v/>
      </c>
      <c r="AE232" s="550">
        <f>C232</f>
        <v/>
      </c>
      <c r="AF232" s="545">
        <f>D232</f>
        <v/>
      </c>
      <c r="AG232" s="546">
        <f>E232</f>
        <v/>
      </c>
      <c r="AH232" s="547">
        <f>F232</f>
        <v/>
      </c>
      <c r="AI232" s="548">
        <f>+MAX(U232,AB232)</f>
        <v/>
      </c>
      <c r="AK232" s="545">
        <f>B232</f>
        <v/>
      </c>
      <c r="AL232" s="550">
        <f>C232</f>
        <v/>
      </c>
      <c r="AM232" s="545">
        <f>D232</f>
        <v/>
      </c>
      <c r="AN232" s="546">
        <f>E232</f>
        <v/>
      </c>
      <c r="AO232" s="547">
        <f>F232</f>
        <v/>
      </c>
      <c r="AP232" s="548">
        <f>IF(G232&gt;0,MAX(U232,AB232),N232)</f>
        <v/>
      </c>
    </row>
    <row r="233" ht="15.75" customFormat="1" customHeight="1" s="120">
      <c r="B233" s="198" t="inlineStr">
        <is>
          <t>Total (Pre-Vacancy)</t>
        </is>
      </c>
      <c r="C233" s="122" t="n"/>
      <c r="D233" s="166">
        <f>SUM(D214:D232)</f>
        <v/>
      </c>
      <c r="E233" s="166">
        <f>+SUMPRODUCT(E214:E232,$D214:$D232)</f>
        <v/>
      </c>
      <c r="F233" s="165">
        <f>+SUMPRODUCT(F214:F232,$D214:$D232)</f>
        <v/>
      </c>
      <c r="G233" s="165">
        <f>+SUMPRODUCT(G214:G232,$D214:$D232)</f>
        <v/>
      </c>
      <c r="H233" s="165">
        <f>+SUMPRODUCT(H214:H232,$D214:$D232)</f>
        <v/>
      </c>
      <c r="I233" s="165">
        <f>+SUMPRODUCT(I214:I232,$D214:$D232)</f>
        <v/>
      </c>
      <c r="J233" s="165">
        <f>+SUMPRODUCT(J214:J232,$D214:$D232)</f>
        <v/>
      </c>
      <c r="K233" s="165">
        <f>+SUMPRODUCT(K214:K232,$D214:$D232)</f>
        <v/>
      </c>
      <c r="L233" s="165">
        <f>+SUMPRODUCT(L214:L232,$D214:$D232)</f>
        <v/>
      </c>
      <c r="M233" s="165">
        <f>+SUMPRODUCT(M214:M232,$D214:$D232)</f>
        <v/>
      </c>
      <c r="N233" s="165">
        <f>SUM(N214:N232)</f>
        <v/>
      </c>
      <c r="P233" s="198" t="inlineStr">
        <is>
          <t>Total (Pre-Vacancy)</t>
        </is>
      </c>
      <c r="Q233" s="122" t="n"/>
      <c r="R233" s="560">
        <f>SUM(R214:R232)</f>
        <v/>
      </c>
      <c r="S233" s="560">
        <f>+SUMPRODUCT(S214:S232,$R214:$R232)</f>
        <v/>
      </c>
      <c r="T233" s="165">
        <f>+SUMPRODUCT(T214:T232,$R214:$R232)</f>
        <v/>
      </c>
      <c r="U233" s="165">
        <f>SUM(U214:U232)</f>
        <v/>
      </c>
      <c r="W233" s="198" t="inlineStr">
        <is>
          <t>Total (Pre-Vacancy)</t>
        </is>
      </c>
      <c r="X233" s="122" t="n"/>
      <c r="Y233" s="560">
        <f>SUM(Y214:Y232)</f>
        <v/>
      </c>
      <c r="Z233" s="560">
        <f>+SUMPRODUCT(Z214:Z232,$Y214:$Y232)</f>
        <v/>
      </c>
      <c r="AA233" s="165">
        <f>+SUMPRODUCT(AA214:AA232,$Y214:$Y232)</f>
        <v/>
      </c>
      <c r="AB233" s="165">
        <f>SUM(AB214:AB232)</f>
        <v/>
      </c>
      <c r="AC233" s="122" t="n"/>
      <c r="AD233" s="198" t="inlineStr">
        <is>
          <t>Total (Pre-Vacancy)</t>
        </is>
      </c>
      <c r="AE233" s="122" t="n"/>
      <c r="AF233" s="560">
        <f>SUM(AF214:AF232)</f>
        <v/>
      </c>
      <c r="AG233" s="560">
        <f>+SUMPRODUCT(AG214:AG232,$AF214:$AF232)</f>
        <v/>
      </c>
      <c r="AH233" s="165">
        <f>+SUMPRODUCT(AH214:AH232,$AF214:$AF232)</f>
        <v/>
      </c>
      <c r="AI233" s="165">
        <f>SUM(AI214:AI232)</f>
        <v/>
      </c>
      <c r="AK233" s="198" t="inlineStr">
        <is>
          <t>Total (Pre-Vacancy)</t>
        </is>
      </c>
      <c r="AL233" s="122" t="n"/>
      <c r="AM233" s="560">
        <f>SUM(AF214:AF232)</f>
        <v/>
      </c>
      <c r="AN233" s="560">
        <f>+SUMPRODUCT(AG214:AG232,$AF214:$AF232)</f>
        <v/>
      </c>
      <c r="AO233" s="165">
        <f>+SUMPRODUCT(AH214:AH232,$AF214:$AF232)</f>
        <v/>
      </c>
      <c r="AP233" s="165">
        <f>SUM(AP214:AP232)</f>
        <v/>
      </c>
    </row>
  </sheetData>
  <pageMargins left="0.25" right="0.25" top="0.75" bottom="0.75" header="0.3" footer="0.3"/>
  <pageSetup orientation="landscape" scale="61" fitToHeight="0" firstPageNumber="0"/>
  <headerFooter alignWithMargins="0">
    <oddHeader>&amp;C&amp;A</oddHeader>
    <oddFooter>&amp;CPage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364"/>
  <sheetViews>
    <sheetView showGridLines="1" view="normal" zoomScale="85" zoomScaleNormal="85" workbookViewId="0">
      <selection activeCell="G55" sqref="G55"/>
    </sheetView>
  </sheetViews>
  <sheetFormatPr baseColWidth="8" defaultColWidth="9.140625" defaultRowHeight="12.75"/>
  <cols>
    <col width="13.28515625" customWidth="1" style="121" min="1" max="1"/>
    <col width="15.7109375" customWidth="1" style="608" min="2" max="8"/>
    <col width="15.7109375" customWidth="1" style="132" min="9" max="16"/>
    <col width="9.140625" customWidth="1" style="132" min="17" max="16384"/>
  </cols>
  <sheetData>
    <row r="1"/>
    <row r="2"/>
    <row r="3">
      <c r="B3" s="138" t="inlineStr">
        <is>
          <t>Unit Statistics</t>
        </is>
      </c>
      <c r="C3" s="139" t="n"/>
      <c r="D3" s="140" t="n"/>
      <c r="F3" s="138" t="inlineStr">
        <is>
          <t>Unit Types</t>
        </is>
      </c>
      <c r="G3" s="139" t="n"/>
      <c r="H3" s="140" t="n"/>
      <c r="J3" s="138" t="inlineStr">
        <is>
          <t>AMI / S8 Breakdown</t>
        </is>
      </c>
      <c r="K3" s="139" t="n"/>
      <c r="L3" s="140" t="n"/>
      <c r="N3" s="144" t="inlineStr">
        <is>
          <t>Total SF</t>
        </is>
      </c>
      <c r="O3" s="145" t="inlineStr">
        <is>
          <t>Avg Gross Rent</t>
        </is>
      </c>
      <c r="P3" s="142" t="inlineStr">
        <is>
          <t>Avg Net Rent</t>
        </is>
      </c>
    </row>
    <row r="4">
      <c r="B4" s="126" t="inlineStr">
        <is>
          <t>Occupied</t>
        </is>
      </c>
      <c r="C4" s="120">
        <f>C6-C5</f>
        <v/>
      </c>
      <c r="D4" s="127">
        <f>+C4/C6</f>
        <v/>
      </c>
      <c r="F4" s="195">
        <f>+C13</f>
        <v/>
      </c>
      <c r="G4" s="120">
        <f>SUMIF(C$13:E$32,F4,E$13:E$32)</f>
        <v/>
      </c>
      <c r="H4" s="134">
        <f>G4/G$10</f>
        <v/>
      </c>
      <c r="J4" s="539">
        <f>+D17</f>
        <v/>
      </c>
      <c r="K4" s="120">
        <f>SUMIF(D$13:E$32,J4,E$13:E$32)</f>
        <v/>
      </c>
      <c r="L4" s="134">
        <f>K4/K$10</f>
        <v/>
      </c>
      <c r="N4" s="143">
        <f>+SUMPRODUCT(E13:E31,F13:F31)</f>
        <v/>
      </c>
      <c r="O4" s="609">
        <f>L33/C$6</f>
        <v/>
      </c>
      <c r="P4" s="610">
        <f>J33/C6</f>
        <v/>
      </c>
    </row>
    <row r="5">
      <c r="B5" s="126" t="inlineStr">
        <is>
          <t>Vacant</t>
        </is>
      </c>
      <c r="C5" s="120">
        <f>+ROUND(D5*$C$6,0)</f>
        <v/>
      </c>
      <c r="D5" s="127">
        <f>+Dashboard!P10</f>
        <v/>
      </c>
      <c r="F5" s="195">
        <f>+C17</f>
        <v/>
      </c>
      <c r="G5" s="120">
        <f>SUMIF(C$13:E$32,F5,E$13:E$32)</f>
        <v/>
      </c>
      <c r="H5" s="134">
        <f>G5/G$10</f>
        <v/>
      </c>
      <c r="J5" s="539">
        <f>+D13</f>
        <v/>
      </c>
      <c r="K5" s="120">
        <f>SUMIF(D$13:E$32,J5,E$13:E$32)</f>
        <v/>
      </c>
      <c r="L5" s="134">
        <f>K5/K$10</f>
        <v/>
      </c>
    </row>
    <row r="6">
      <c r="B6" s="130" t="inlineStr">
        <is>
          <t>Total Units</t>
        </is>
      </c>
      <c r="C6" s="128">
        <f>+SUM(E13:E31)</f>
        <v/>
      </c>
      <c r="D6" s="129">
        <f>SUM(D4:D5)</f>
        <v/>
      </c>
      <c r="F6" s="196">
        <f>+C20</f>
        <v/>
      </c>
      <c r="G6" s="120">
        <f>SUMIF(C$13:E$32,F6,E$13:E$32)</f>
        <v/>
      </c>
      <c r="H6" s="134">
        <f>G6/G$10</f>
        <v/>
      </c>
      <c r="J6" s="539">
        <f>+D14</f>
        <v/>
      </c>
      <c r="K6" s="120">
        <f>SUMIF(D$13:E$32,J6,E$13:E$32)</f>
        <v/>
      </c>
      <c r="L6" s="134">
        <f>K6/K$10</f>
        <v/>
      </c>
    </row>
    <row r="7">
      <c r="B7" s="131" t="n"/>
      <c r="C7" s="537" t="n"/>
      <c r="D7" s="538" t="n"/>
      <c r="F7" s="196">
        <f>+C23</f>
        <v/>
      </c>
      <c r="G7" s="120">
        <f>SUMIF(C$13:E$32,F7,E$13:E$32)</f>
        <v/>
      </c>
      <c r="H7" s="134">
        <f>G7/G$10</f>
        <v/>
      </c>
      <c r="J7" s="539">
        <f>+D22</f>
        <v/>
      </c>
      <c r="K7" s="120">
        <f>SUMIF(D$13:E$32,J7,E$13:E$32)</f>
        <v/>
      </c>
      <c r="L7" s="134">
        <f>K7/K$10</f>
        <v/>
      </c>
    </row>
    <row r="8">
      <c r="B8" s="131" t="n"/>
      <c r="C8" s="537" t="n"/>
      <c r="D8" s="538" t="n"/>
      <c r="F8" s="196">
        <f>+C27</f>
        <v/>
      </c>
      <c r="G8" s="120">
        <f>SUMIF(C$13:E$32,F8,E$13:E$32)</f>
        <v/>
      </c>
      <c r="H8" s="134">
        <f>G8/G$10</f>
        <v/>
      </c>
      <c r="J8" s="539">
        <f>+D27</f>
        <v/>
      </c>
      <c r="K8" s="120">
        <f>SUMIF(D$13:E$32,J8,E$13:E$32)</f>
        <v/>
      </c>
      <c r="L8" s="134">
        <f>K8/K$10</f>
        <v/>
      </c>
    </row>
    <row r="9">
      <c r="B9" s="131" t="n"/>
      <c r="C9" s="537" t="n"/>
      <c r="D9" s="538" t="n"/>
      <c r="F9" s="196">
        <f>+C28</f>
        <v/>
      </c>
      <c r="G9" s="120">
        <f>SUMIF(C$13:E$32,F9,E$13:E$32)</f>
        <v/>
      </c>
      <c r="H9" s="134">
        <f>G9/G$10</f>
        <v/>
      </c>
      <c r="J9" s="133" t="n"/>
      <c r="K9" s="120" t="n"/>
      <c r="L9" s="134" t="n"/>
    </row>
    <row r="10">
      <c r="F10" s="135" t="inlineStr">
        <is>
          <t>Total</t>
        </is>
      </c>
      <c r="G10" s="136">
        <f>SUM(G4:G9)</f>
        <v/>
      </c>
      <c r="H10" s="137">
        <f>SUM(H4:H9)</f>
        <v/>
      </c>
      <c r="J10" s="135" t="inlineStr">
        <is>
          <t>Total</t>
        </is>
      </c>
      <c r="K10" s="136">
        <f>SUM(K4:K9)</f>
        <v/>
      </c>
      <c r="L10" s="137">
        <f>SUM(L4:L8)</f>
        <v/>
      </c>
    </row>
    <row r="11"/>
    <row r="12">
      <c r="A12" s="132" t="n"/>
      <c r="B12" s="141" t="inlineStr">
        <is>
          <t>Unit Set #</t>
        </is>
      </c>
      <c r="C12" s="141" t="inlineStr">
        <is>
          <t>Unit Types</t>
        </is>
      </c>
      <c r="D12" s="141" t="inlineStr">
        <is>
          <t>AMI / S8</t>
        </is>
      </c>
      <c r="E12" s="141" t="inlineStr">
        <is>
          <t># of Units</t>
        </is>
      </c>
      <c r="F12" s="141" t="inlineStr">
        <is>
          <t>Avg. SF</t>
        </is>
      </c>
      <c r="G12" s="141" t="inlineStr">
        <is>
          <t>Avg. Market Rent</t>
        </is>
      </c>
      <c r="H12" s="141" t="inlineStr">
        <is>
          <t>Avg. Resident Rent</t>
        </is>
      </c>
      <c r="I12" s="141" t="inlineStr">
        <is>
          <t>Avg. Subsidy</t>
        </is>
      </c>
      <c r="J12" s="141" t="inlineStr">
        <is>
          <t xml:space="preserve">Avg. Current Rent </t>
        </is>
      </c>
      <c r="K12" s="141" t="inlineStr">
        <is>
          <t xml:space="preserve">Avg. Utilities </t>
        </is>
      </c>
      <c r="L12" s="141" t="inlineStr">
        <is>
          <t>Gross Rent</t>
        </is>
      </c>
      <c r="M12" s="141" t="inlineStr">
        <is>
          <t>Avg. Max LIHTC</t>
        </is>
      </c>
      <c r="N12" s="141" t="inlineStr">
        <is>
          <t>Net LIHTC</t>
        </is>
      </c>
      <c r="O12" s="141" t="inlineStr">
        <is>
          <t>Avg. Max FMR</t>
        </is>
      </c>
      <c r="P12" s="141" t="inlineStr">
        <is>
          <t>Net FMR</t>
        </is>
      </c>
    </row>
    <row r="13">
      <c r="A13" s="132" t="n"/>
      <c r="B13" s="120" t="n">
        <v>1</v>
      </c>
      <c r="C13" s="187" t="inlineStr">
        <is>
          <t>1x1</t>
        </is>
      </c>
      <c r="D13" s="188" t="inlineStr">
        <is>
          <t>50% AMI</t>
        </is>
      </c>
      <c r="E13" s="186" t="n">
        <v>2</v>
      </c>
      <c r="F13" s="189" t="n">
        <v>701</v>
      </c>
      <c r="G13" s="611" t="n"/>
      <c r="H13" s="611" t="n">
        <v>527</v>
      </c>
      <c r="I13" s="611" t="n"/>
      <c r="J13" s="612">
        <f>+(I13+H13)</f>
        <v/>
      </c>
      <c r="K13" s="611" t="n">
        <v>65</v>
      </c>
      <c r="L13" s="612">
        <f>J13+K13</f>
        <v/>
      </c>
      <c r="M13" s="611" t="n">
        <v>651</v>
      </c>
      <c r="N13" s="612">
        <f>M13-$K13</f>
        <v/>
      </c>
      <c r="O13" s="611" t="n">
        <v>683</v>
      </c>
      <c r="P13" s="612">
        <f>O13-$K13</f>
        <v/>
      </c>
    </row>
    <row r="14">
      <c r="A14" s="132" t="n"/>
      <c r="B14" s="120">
        <f>+B13+1</f>
        <v/>
      </c>
      <c r="C14" s="187" t="inlineStr">
        <is>
          <t>1x1</t>
        </is>
      </c>
      <c r="D14" s="188" t="inlineStr">
        <is>
          <t>60% AMI</t>
        </is>
      </c>
      <c r="E14" s="186" t="n">
        <v>0</v>
      </c>
      <c r="F14" s="189" t="n">
        <v>701</v>
      </c>
      <c r="G14" s="192" t="n"/>
      <c r="H14" s="192" t="n">
        <v>0</v>
      </c>
      <c r="I14" s="192" t="n"/>
      <c r="J14" s="193">
        <f>+(I14+H14)</f>
        <v/>
      </c>
      <c r="K14" s="192" t="n">
        <v>65</v>
      </c>
      <c r="L14" s="193">
        <f>J14+K14</f>
        <v/>
      </c>
      <c r="M14" s="192" t="n">
        <v>781</v>
      </c>
      <c r="N14" s="193">
        <f>M14-$K14</f>
        <v/>
      </c>
      <c r="O14" s="611" t="n">
        <v>683</v>
      </c>
      <c r="P14" s="612">
        <f>O14-$K14</f>
        <v/>
      </c>
    </row>
    <row r="15">
      <c r="A15" s="132" t="n"/>
      <c r="B15" s="120">
        <f>+B14+1</f>
        <v/>
      </c>
      <c r="C15" s="187" t="inlineStr">
        <is>
          <t>1x1</t>
        </is>
      </c>
      <c r="D15" s="188" t="inlineStr">
        <is>
          <t>Market</t>
        </is>
      </c>
      <c r="E15" s="194" t="n">
        <v>1</v>
      </c>
      <c r="F15" s="189" t="n">
        <v>701</v>
      </c>
      <c r="G15" s="192" t="n"/>
      <c r="H15" s="192" t="n">
        <v>593</v>
      </c>
      <c r="I15" s="192" t="n"/>
      <c r="J15" s="193">
        <f>+(I15+H15)</f>
        <v/>
      </c>
      <c r="K15" s="192" t="n">
        <v>0</v>
      </c>
      <c r="L15" s="193">
        <f>J15+K15</f>
        <v/>
      </c>
      <c r="M15" s="192" t="n">
        <v>0</v>
      </c>
      <c r="N15" s="193">
        <f>M15-$K15</f>
        <v/>
      </c>
      <c r="O15" s="611" t="n">
        <v>683</v>
      </c>
      <c r="P15" s="612">
        <f>O15-$K15</f>
        <v/>
      </c>
    </row>
    <row r="16">
      <c r="A16" s="132" t="n"/>
      <c r="B16" s="120">
        <f>+B15+1</f>
        <v/>
      </c>
      <c r="C16" s="187" t="inlineStr">
        <is>
          <t>1x1</t>
        </is>
      </c>
      <c r="D16" s="188" t="inlineStr">
        <is>
          <t>S8 Voucher</t>
        </is>
      </c>
      <c r="E16" s="194" t="n">
        <v>3</v>
      </c>
      <c r="F16" s="189" t="n">
        <v>701</v>
      </c>
      <c r="G16" s="192" t="n"/>
      <c r="H16" s="192" t="n">
        <v>523</v>
      </c>
      <c r="I16" s="192" t="n"/>
      <c r="J16" s="193">
        <f>+(I16+H16)</f>
        <v/>
      </c>
      <c r="K16" s="192" t="n">
        <v>65</v>
      </c>
      <c r="L16" s="193">
        <f>J16+K16</f>
        <v/>
      </c>
      <c r="M16" s="192" t="n">
        <v>781</v>
      </c>
      <c r="N16" s="193">
        <f>M16-$K16</f>
        <v/>
      </c>
      <c r="O16" s="611" t="n">
        <v>683</v>
      </c>
      <c r="P16" s="612">
        <f>O16-$K16</f>
        <v/>
      </c>
    </row>
    <row r="17">
      <c r="A17" s="132" t="n"/>
      <c r="B17" s="120">
        <f>+B16+1</f>
        <v/>
      </c>
      <c r="C17" s="187" t="inlineStr">
        <is>
          <t>2x1.5</t>
        </is>
      </c>
      <c r="D17" s="188" t="inlineStr">
        <is>
          <t>40% AMI</t>
        </is>
      </c>
      <c r="E17" s="194" t="n">
        <v>1</v>
      </c>
      <c r="F17" s="189" t="n">
        <v>940</v>
      </c>
      <c r="G17" s="192" t="n"/>
      <c r="H17" s="192" t="n">
        <v>465</v>
      </c>
      <c r="I17" s="192" t="n"/>
      <c r="J17" s="193">
        <f>+(I17+H17)</f>
        <v/>
      </c>
      <c r="K17" s="192" t="n">
        <v>86</v>
      </c>
      <c r="L17" s="193">
        <f>J17+K17</f>
        <v/>
      </c>
      <c r="M17" s="192" t="n">
        <v>539</v>
      </c>
      <c r="N17" s="193">
        <f>M17-$K17</f>
        <v/>
      </c>
      <c r="O17" s="611" t="n">
        <v>778</v>
      </c>
      <c r="P17" s="612">
        <f>O17-$K17</f>
        <v/>
      </c>
    </row>
    <row r="18">
      <c r="A18" s="132" t="n"/>
      <c r="B18" s="120">
        <f>+B17+1</f>
        <v/>
      </c>
      <c r="C18" s="187" t="inlineStr">
        <is>
          <t>2x1.5</t>
        </is>
      </c>
      <c r="D18" s="188">
        <f>+D13</f>
        <v/>
      </c>
      <c r="E18" s="194" t="n">
        <v>3</v>
      </c>
      <c r="F18" s="189" t="n">
        <v>990</v>
      </c>
      <c r="G18" s="192" t="n"/>
      <c r="H18" s="192" t="n">
        <v>580</v>
      </c>
      <c r="I18" s="192" t="n"/>
      <c r="J18" s="193">
        <f>+(I18+H18)</f>
        <v/>
      </c>
      <c r="K18" s="192" t="n">
        <v>86</v>
      </c>
      <c r="L18" s="193">
        <f>J18+K18</f>
        <v/>
      </c>
      <c r="M18" s="192" t="n">
        <v>695</v>
      </c>
      <c r="N18" s="193">
        <f>M18-$K18</f>
        <v/>
      </c>
      <c r="O18" s="192" t="n">
        <v>778</v>
      </c>
      <c r="P18" s="612">
        <f>O18-$K18</f>
        <v/>
      </c>
    </row>
    <row r="19">
      <c r="A19" s="132" t="n"/>
      <c r="B19" s="120">
        <f>+B18+1</f>
        <v/>
      </c>
      <c r="C19" s="187" t="inlineStr">
        <is>
          <t>2x1.5</t>
        </is>
      </c>
      <c r="D19" s="188">
        <f>+D14</f>
        <v/>
      </c>
      <c r="E19" s="194" t="n">
        <v>2</v>
      </c>
      <c r="F19" s="189" t="n">
        <v>980</v>
      </c>
      <c r="G19" s="192" t="n"/>
      <c r="H19" s="192" t="n">
        <v>642</v>
      </c>
      <c r="I19" s="192" t="n"/>
      <c r="J19" s="193">
        <f>+(I19+H19)</f>
        <v/>
      </c>
      <c r="K19" s="192" t="n">
        <v>86</v>
      </c>
      <c r="L19" s="193">
        <f>J19+K19</f>
        <v/>
      </c>
      <c r="M19" s="192" t="n">
        <v>851</v>
      </c>
      <c r="N19" s="193">
        <f>M19-$K19</f>
        <v/>
      </c>
      <c r="O19" s="192" t="n">
        <v>778</v>
      </c>
      <c r="P19" s="612">
        <f>O19-$K19</f>
        <v/>
      </c>
    </row>
    <row r="20">
      <c r="A20" s="132" t="n"/>
      <c r="B20" s="120">
        <f>+B19+1</f>
        <v/>
      </c>
      <c r="C20" s="187" t="inlineStr">
        <is>
          <t>2x2</t>
        </is>
      </c>
      <c r="D20" s="188">
        <f>+D18</f>
        <v/>
      </c>
      <c r="E20" s="194" t="n">
        <v>1</v>
      </c>
      <c r="F20" s="189" t="n">
        <v>968</v>
      </c>
      <c r="G20" s="192" t="n"/>
      <c r="H20" s="192" t="n">
        <v>610</v>
      </c>
      <c r="I20" s="192" t="n"/>
      <c r="J20" s="193">
        <f>+(I20+H20)</f>
        <v/>
      </c>
      <c r="K20" s="192" t="n">
        <v>86</v>
      </c>
      <c r="L20" s="193">
        <f>J20+K20</f>
        <v/>
      </c>
      <c r="M20" s="192" t="n">
        <v>695</v>
      </c>
      <c r="N20" s="193">
        <f>M20-$K20</f>
        <v/>
      </c>
      <c r="O20" s="192" t="n">
        <v>778</v>
      </c>
      <c r="P20" s="612">
        <f>O20-$K20</f>
        <v/>
      </c>
    </row>
    <row r="21">
      <c r="A21" s="132" t="n"/>
      <c r="B21" s="120">
        <f>+B20+1</f>
        <v/>
      </c>
      <c r="C21" s="187" t="inlineStr">
        <is>
          <t>2x2</t>
        </is>
      </c>
      <c r="D21" s="188">
        <f>+D19</f>
        <v/>
      </c>
      <c r="E21" s="194" t="n">
        <v>2</v>
      </c>
      <c r="F21" s="189" t="n">
        <v>968</v>
      </c>
      <c r="G21" s="192" t="n"/>
      <c r="H21" s="192" t="n">
        <v>635</v>
      </c>
      <c r="I21" s="192" t="n"/>
      <c r="J21" s="193">
        <f>+(I21+H21)</f>
        <v/>
      </c>
      <c r="K21" s="192" t="n">
        <v>86</v>
      </c>
      <c r="L21" s="193">
        <f>J21+K21</f>
        <v/>
      </c>
      <c r="M21" s="192" t="n">
        <v>851</v>
      </c>
      <c r="N21" s="193">
        <f>M21-$K21</f>
        <v/>
      </c>
      <c r="O21" s="192" t="n">
        <v>778</v>
      </c>
      <c r="P21" s="612">
        <f>O21-$K21</f>
        <v/>
      </c>
    </row>
    <row r="22">
      <c r="A22" s="132" t="n"/>
      <c r="B22" s="120">
        <f>+B21+1</f>
        <v/>
      </c>
      <c r="C22" s="187" t="inlineStr">
        <is>
          <t>2x2</t>
        </is>
      </c>
      <c r="D22" s="188">
        <f>+D15</f>
        <v/>
      </c>
      <c r="E22" s="194" t="n">
        <v>0</v>
      </c>
      <c r="F22" s="189" t="n">
        <v>968</v>
      </c>
      <c r="G22" s="192" t="n"/>
      <c r="H22" s="192" t="n">
        <v>0</v>
      </c>
      <c r="I22" s="192" t="n"/>
      <c r="J22" s="193">
        <f>+(I22+H22)</f>
        <v/>
      </c>
      <c r="K22" s="192" t="n">
        <v>0</v>
      </c>
      <c r="L22" s="193">
        <f>J22+K22</f>
        <v/>
      </c>
      <c r="M22" s="192" t="n">
        <v>0</v>
      </c>
      <c r="N22" s="193">
        <f>M22-$K22</f>
        <v/>
      </c>
      <c r="O22" s="192" t="n">
        <v>778</v>
      </c>
      <c r="P22" s="612">
        <f>O22-$K22</f>
        <v/>
      </c>
    </row>
    <row r="23">
      <c r="A23" s="132" t="n"/>
      <c r="B23" s="120">
        <f>+B22+1</f>
        <v/>
      </c>
      <c r="C23" s="187" t="inlineStr">
        <is>
          <t>2x2 (TH)</t>
        </is>
      </c>
      <c r="D23" s="188">
        <f>+D17</f>
        <v/>
      </c>
      <c r="E23" s="194" t="n">
        <v>1</v>
      </c>
      <c r="F23" s="189" t="n">
        <v>1058</v>
      </c>
      <c r="G23" s="192" t="n"/>
      <c r="H23" s="192" t="n">
        <v>450</v>
      </c>
      <c r="I23" s="192" t="n"/>
      <c r="J23" s="193">
        <f>+(I23+H23)</f>
        <v/>
      </c>
      <c r="K23" s="192" t="n">
        <v>86</v>
      </c>
      <c r="L23" s="193">
        <f>J23+K23</f>
        <v/>
      </c>
      <c r="M23" s="192" t="n">
        <v>539</v>
      </c>
      <c r="N23" s="193">
        <f>M23-$K23</f>
        <v/>
      </c>
      <c r="O23" s="192" t="n">
        <v>778</v>
      </c>
      <c r="P23" s="612">
        <f>O23-$K23</f>
        <v/>
      </c>
    </row>
    <row r="24">
      <c r="A24" s="132" t="n"/>
      <c r="B24" s="120">
        <f>+B23+1</f>
        <v/>
      </c>
      <c r="C24" s="187" t="inlineStr">
        <is>
          <t>2x2 (TH)</t>
        </is>
      </c>
      <c r="D24" s="188">
        <f>+D18</f>
        <v/>
      </c>
      <c r="E24" s="194" t="n">
        <v>1</v>
      </c>
      <c r="F24" s="189" t="n">
        <v>1058</v>
      </c>
      <c r="G24" s="192" t="n"/>
      <c r="H24" s="192" t="n">
        <v>60</v>
      </c>
      <c r="I24" s="192" t="n"/>
      <c r="J24" s="193">
        <f>+(I24+H24)</f>
        <v/>
      </c>
      <c r="K24" s="192" t="n">
        <v>86</v>
      </c>
      <c r="L24" s="193">
        <f>J24+K24</f>
        <v/>
      </c>
      <c r="M24" s="192" t="n">
        <v>695</v>
      </c>
      <c r="N24" s="193">
        <f>M24-$K24</f>
        <v/>
      </c>
      <c r="O24" s="192" t="n">
        <v>778</v>
      </c>
      <c r="P24" s="612">
        <f>O24-$K24</f>
        <v/>
      </c>
    </row>
    <row r="25">
      <c r="A25" s="132" t="n"/>
      <c r="B25" s="120">
        <f>+B24+1</f>
        <v/>
      </c>
      <c r="C25" s="187" t="inlineStr">
        <is>
          <t>2x2 (TH)</t>
        </is>
      </c>
      <c r="D25" s="188">
        <f>+D19</f>
        <v/>
      </c>
      <c r="E25" s="194" t="n">
        <v>16</v>
      </c>
      <c r="F25" s="189" t="n">
        <v>1058</v>
      </c>
      <c r="G25" s="192" t="n"/>
      <c r="H25" s="192" t="n">
        <v>690</v>
      </c>
      <c r="I25" s="192" t="n"/>
      <c r="J25" s="193">
        <f>+(I25+H25)</f>
        <v/>
      </c>
      <c r="K25" s="192" t="n">
        <v>86</v>
      </c>
      <c r="L25" s="193">
        <f>J25+K25</f>
        <v/>
      </c>
      <c r="M25" s="192" t="n">
        <v>851</v>
      </c>
      <c r="N25" s="193">
        <f>M25-$K25</f>
        <v/>
      </c>
      <c r="O25" s="192" t="n">
        <v>778</v>
      </c>
      <c r="P25" s="612">
        <f>O25-$K25</f>
        <v/>
      </c>
    </row>
    <row r="26" ht="13.5" customHeight="1">
      <c r="A26" s="132" t="n"/>
      <c r="B26" s="120">
        <f>+B25+1</f>
        <v/>
      </c>
      <c r="C26" s="187" t="inlineStr">
        <is>
          <t>2x2 (TH)</t>
        </is>
      </c>
      <c r="D26" s="188">
        <f>+D15</f>
        <v/>
      </c>
      <c r="E26" s="194" t="n">
        <v>1</v>
      </c>
      <c r="F26" s="189" t="n">
        <v>1058</v>
      </c>
      <c r="G26" s="192" t="n"/>
      <c r="H26" s="192" t="n">
        <v>750</v>
      </c>
      <c r="I26" s="192" t="n"/>
      <c r="J26" s="193">
        <f>+(I26+H26)</f>
        <v/>
      </c>
      <c r="K26" s="192" t="n">
        <v>0</v>
      </c>
      <c r="L26" s="193">
        <f>J26+K26</f>
        <v/>
      </c>
      <c r="M26" s="192" t="n">
        <v>0</v>
      </c>
      <c r="N26" s="193">
        <f>M26-$K26</f>
        <v/>
      </c>
      <c r="O26" s="192" t="n">
        <v>778</v>
      </c>
      <c r="P26" s="612">
        <f>O26-$K26</f>
        <v/>
      </c>
    </row>
    <row r="27">
      <c r="A27" s="132" t="n"/>
      <c r="B27" s="120">
        <f>+B26+1</f>
        <v/>
      </c>
      <c r="C27" s="187" t="inlineStr">
        <is>
          <t xml:space="preserve">2x1.5-2x2 </t>
        </is>
      </c>
      <c r="D27" s="188">
        <f>+D16</f>
        <v/>
      </c>
      <c r="E27" s="194" t="n">
        <v>18</v>
      </c>
      <c r="F27" s="189" t="n"/>
      <c r="G27" s="192" t="n"/>
      <c r="H27" s="192" t="n">
        <v>736</v>
      </c>
      <c r="I27" s="192" t="n"/>
      <c r="J27" s="193">
        <f>+(I27+H27)</f>
        <v/>
      </c>
      <c r="K27" s="192" t="n">
        <v>86</v>
      </c>
      <c r="L27" s="193">
        <f>J27+K27</f>
        <v/>
      </c>
      <c r="M27" s="192" t="n">
        <v>851</v>
      </c>
      <c r="N27" s="193">
        <f>M27-$K27</f>
        <v/>
      </c>
      <c r="O27" s="192" t="n">
        <v>778</v>
      </c>
      <c r="P27" s="612">
        <f>O27-$K27</f>
        <v/>
      </c>
    </row>
    <row r="28">
      <c r="A28" s="132" t="n"/>
      <c r="B28" s="120">
        <f>+B27+1</f>
        <v/>
      </c>
      <c r="C28" s="187" t="inlineStr">
        <is>
          <t>3x2 (TH)</t>
        </is>
      </c>
      <c r="D28" s="188">
        <f>+D24</f>
        <v/>
      </c>
      <c r="E28" s="194" t="n">
        <v>2</v>
      </c>
      <c r="F28" s="189" t="n">
        <v>1296</v>
      </c>
      <c r="G28" s="192" t="n"/>
      <c r="H28" s="192" t="n">
        <v>680</v>
      </c>
      <c r="I28" s="192" t="n"/>
      <c r="J28" s="193">
        <f>+(I28+H28)</f>
        <v/>
      </c>
      <c r="K28" s="192" t="n">
        <v>107</v>
      </c>
      <c r="L28" s="193">
        <f>J28+K28</f>
        <v/>
      </c>
      <c r="M28" s="192" t="n">
        <v>795</v>
      </c>
      <c r="N28" s="193">
        <f>M28-$K28</f>
        <v/>
      </c>
      <c r="O28" s="192" t="n">
        <v>1023</v>
      </c>
      <c r="P28" s="612">
        <f>O28-$K28</f>
        <v/>
      </c>
    </row>
    <row r="29">
      <c r="A29" s="132" t="n"/>
      <c r="B29" s="120">
        <f>+B28+1</f>
        <v/>
      </c>
      <c r="C29" s="187" t="inlineStr">
        <is>
          <t>3x2 (TH)</t>
        </is>
      </c>
      <c r="D29" s="188">
        <f>+D25</f>
        <v/>
      </c>
      <c r="E29" s="194" t="n">
        <v>7</v>
      </c>
      <c r="F29" s="189" t="n">
        <v>1296</v>
      </c>
      <c r="G29" s="192" t="n"/>
      <c r="H29" s="192" t="n">
        <v>696</v>
      </c>
      <c r="I29" s="192" t="n"/>
      <c r="J29" s="193">
        <f>+(I29+H29)</f>
        <v/>
      </c>
      <c r="K29" s="192" t="n">
        <v>107</v>
      </c>
      <c r="L29" s="193">
        <f>J29+K29</f>
        <v/>
      </c>
      <c r="M29" s="192" t="n">
        <v>976</v>
      </c>
      <c r="N29" s="193">
        <f>M29-$K29</f>
        <v/>
      </c>
      <c r="O29" s="192" t="n">
        <v>1023</v>
      </c>
      <c r="P29" s="612">
        <f>O29-$K29</f>
        <v/>
      </c>
    </row>
    <row r="30">
      <c r="A30" s="132" t="n"/>
      <c r="B30" s="120">
        <f>+B29+1</f>
        <v/>
      </c>
      <c r="C30" s="187" t="inlineStr">
        <is>
          <t>3x2 (TH)</t>
        </is>
      </c>
      <c r="D30" s="188">
        <f>+D26</f>
        <v/>
      </c>
      <c r="E30" s="194" t="n">
        <v>0</v>
      </c>
      <c r="F30" s="189" t="n">
        <v>1296</v>
      </c>
      <c r="G30" s="192" t="n"/>
      <c r="H30" s="192" t="n">
        <v>0</v>
      </c>
      <c r="I30" s="192" t="n"/>
      <c r="J30" s="193">
        <f>+(I30+H30)</f>
        <v/>
      </c>
      <c r="K30" s="192" t="n">
        <v>0</v>
      </c>
      <c r="L30" s="193">
        <f>J30+K30</f>
        <v/>
      </c>
      <c r="M30" s="192" t="n">
        <v>0</v>
      </c>
      <c r="N30" s="193">
        <f>M30-$K30</f>
        <v/>
      </c>
      <c r="O30" s="192" t="n">
        <v>1023</v>
      </c>
      <c r="P30" s="612">
        <f>O30-$K30</f>
        <v/>
      </c>
    </row>
    <row r="31">
      <c r="A31" s="132" t="n"/>
      <c r="B31" s="120">
        <f>+B30+1</f>
        <v/>
      </c>
      <c r="C31" s="187" t="inlineStr">
        <is>
          <t>3x2 (TH)</t>
        </is>
      </c>
      <c r="D31" s="188">
        <f>+D27</f>
        <v/>
      </c>
      <c r="E31" s="194" t="n">
        <v>11</v>
      </c>
      <c r="F31" s="189" t="n">
        <v>1296</v>
      </c>
      <c r="G31" s="192" t="n"/>
      <c r="H31" s="192" t="n">
        <v>828</v>
      </c>
      <c r="I31" s="192" t="n"/>
      <c r="J31" s="193">
        <f>+(I31+H31)</f>
        <v/>
      </c>
      <c r="K31" s="192" t="n">
        <v>107</v>
      </c>
      <c r="L31" s="193">
        <f>J31+K31</f>
        <v/>
      </c>
      <c r="M31" s="192" t="n">
        <v>976</v>
      </c>
      <c r="N31" s="193">
        <f>M31-$K31</f>
        <v/>
      </c>
      <c r="O31" s="192" t="n">
        <v>1023</v>
      </c>
      <c r="P31" s="612">
        <f>O31-$K31</f>
        <v/>
      </c>
    </row>
    <row r="32">
      <c r="A32" s="132" t="n"/>
      <c r="B32" s="171" t="inlineStr">
        <is>
          <t>Add Rows by Inserting Row Above This Row</t>
        </is>
      </c>
      <c r="C32" s="172" t="n"/>
      <c r="D32" s="173" t="n"/>
      <c r="E32" s="174" t="n"/>
      <c r="F32" s="175" t="n"/>
      <c r="G32" s="176" t="n"/>
      <c r="H32" s="176" t="n"/>
      <c r="I32" s="176" t="n"/>
      <c r="J32" s="176" t="n"/>
      <c r="K32" s="176" t="n"/>
      <c r="L32" s="176" t="n"/>
      <c r="M32" s="176" t="n"/>
      <c r="N32" s="176" t="n"/>
      <c r="O32" s="176" t="n"/>
      <c r="P32" s="176" t="n"/>
    </row>
    <row r="33" customFormat="1" s="132">
      <c r="B33" s="146" t="inlineStr">
        <is>
          <t>Monthly Total</t>
        </is>
      </c>
      <c r="C33" s="147" t="n"/>
      <c r="D33" s="147" t="n"/>
      <c r="E33" s="147" t="n"/>
      <c r="F33" s="162" t="inlineStr">
        <is>
          <t>---</t>
        </is>
      </c>
      <c r="G33" s="613">
        <f>+SUMPRODUCT($E$13:$E$32,G13:G32)</f>
        <v/>
      </c>
      <c r="H33" s="613">
        <f>+SUMPRODUCT($E$13:$E$32,H13:H32)</f>
        <v/>
      </c>
      <c r="I33" s="613">
        <f>+SUMPRODUCT($E$13:$E$32,I13:I32)</f>
        <v/>
      </c>
      <c r="J33" s="613">
        <f>+SUMPRODUCT($E$13:$E$32,J13:J32)</f>
        <v/>
      </c>
      <c r="K33" s="613">
        <f>+SUMPRODUCT($E$13:$E$32,K13:K32)</f>
        <v/>
      </c>
      <c r="L33" s="613">
        <f>+SUMPRODUCT($E$13:$E$32,L13:L32)</f>
        <v/>
      </c>
      <c r="M33" s="613">
        <f>+SUMPRODUCT($E$13:$E$32,M13:M32)</f>
        <v/>
      </c>
      <c r="N33" s="613">
        <f>+SUMPRODUCT($E$13:$E$32,N13:N32)</f>
        <v/>
      </c>
      <c r="O33" s="613">
        <f>+SUMPRODUCT($E$13:$E$32,O13:O32)</f>
        <v/>
      </c>
      <c r="P33" s="614">
        <f>+SUMPRODUCT($E$13:$E$32,P13:P32)</f>
        <v/>
      </c>
    </row>
    <row r="34" customFormat="1" s="132">
      <c r="B34" s="148" t="inlineStr">
        <is>
          <t>Yearly Total</t>
        </is>
      </c>
      <c r="C34" s="149" t="n"/>
      <c r="D34" s="149" t="n"/>
      <c r="E34" s="149" t="n"/>
      <c r="F34" s="163" t="inlineStr">
        <is>
          <t>---</t>
        </is>
      </c>
      <c r="G34" s="615">
        <f>G33*12</f>
        <v/>
      </c>
      <c r="H34" s="615">
        <f>H33*12</f>
        <v/>
      </c>
      <c r="I34" s="615">
        <f>I33*12</f>
        <v/>
      </c>
      <c r="J34" s="615">
        <f>J33*12</f>
        <v/>
      </c>
      <c r="K34" s="615">
        <f>K33*12</f>
        <v/>
      </c>
      <c r="L34" s="615">
        <f>L33*12</f>
        <v/>
      </c>
      <c r="M34" s="615">
        <f>M33*12</f>
        <v/>
      </c>
      <c r="N34" s="615">
        <f>N33*12</f>
        <v/>
      </c>
      <c r="O34" s="615">
        <f>O33*12</f>
        <v/>
      </c>
      <c r="P34" s="616">
        <f>P33*12</f>
        <v/>
      </c>
    </row>
    <row r="35" ht="5.1" customFormat="1" customHeight="1" s="132">
      <c r="B35" s="150" t="n"/>
      <c r="C35" s="149" t="n"/>
      <c r="D35" s="149" t="n"/>
      <c r="E35" s="149" t="n"/>
      <c r="F35" s="149" t="n"/>
      <c r="G35" s="617" t="n"/>
      <c r="H35" s="617" t="n"/>
      <c r="I35" s="617" t="n"/>
      <c r="J35" s="617" t="n"/>
      <c r="K35" s="617" t="n"/>
      <c r="L35" s="617" t="n"/>
      <c r="M35" s="617" t="n"/>
      <c r="N35" s="617" t="n"/>
      <c r="O35" s="617" t="n"/>
      <c r="P35" s="618" t="n"/>
    </row>
    <row r="36" customFormat="1" s="132">
      <c r="B36" s="153" t="inlineStr">
        <is>
          <t>Weighted Average</t>
        </is>
      </c>
      <c r="C36" s="154" t="n"/>
      <c r="D36" s="154" t="n"/>
      <c r="E36" s="154" t="n"/>
      <c r="F36" s="155">
        <f>+SUMPRODUCT(F13:F32,$E$13:$E$32)/$C$6</f>
        <v/>
      </c>
      <c r="G36" s="619">
        <f>+SUMPRODUCT(G13:G32,$E$13:$E$32)/$C$6</f>
        <v/>
      </c>
      <c r="H36" s="619">
        <f>+SUMPRODUCT(H13:H32,$E$13:$E$32)/$C$6</f>
        <v/>
      </c>
      <c r="I36" s="619" t="n"/>
      <c r="J36" s="619">
        <f>+SUMPRODUCT(J13:J32,$E$13:$E$32)/$C$6</f>
        <v/>
      </c>
      <c r="K36" s="619">
        <f>+SUMPRODUCT(K13:K32,$E$13:$E$32)/$C$6</f>
        <v/>
      </c>
      <c r="L36" s="619">
        <f>+SUMPRODUCT(L13:L32,$E$13:$E$32)/$C$6</f>
        <v/>
      </c>
      <c r="M36" s="619">
        <f>+SUMPRODUCT(M13:M32,$E$13:$E$32)/$C$6</f>
        <v/>
      </c>
      <c r="N36" s="619">
        <f>+SUMPRODUCT(N13:N32,$E$13:$E$32)/$C$6</f>
        <v/>
      </c>
      <c r="O36" s="619">
        <f>+SUMPRODUCT(O13:O32,$E$13:$E$32)/$C$6</f>
        <v/>
      </c>
      <c r="P36" s="620">
        <f>+SUMPRODUCT(P13:P32,$E$13:$E$32)/$C$6</f>
        <v/>
      </c>
    </row>
    <row r="37" customFormat="1" s="132">
      <c r="C37" s="121" t="n"/>
      <c r="D37" s="121" t="n"/>
      <c r="E37" s="121" t="n"/>
      <c r="F37" s="121" t="n"/>
      <c r="G37" s="608" t="n"/>
      <c r="H37" s="608" t="n"/>
      <c r="I37" s="608" t="n"/>
      <c r="J37" s="608" t="n"/>
      <c r="K37" s="608" t="n"/>
      <c r="L37" s="608" t="n"/>
      <c r="M37" s="608" t="n"/>
    </row>
    <row r="38" customFormat="1" s="132">
      <c r="C38" s="121" t="n"/>
      <c r="D38" s="121" t="n"/>
      <c r="E38" s="121" t="n"/>
      <c r="F38" s="121" t="n"/>
      <c r="G38" s="608" t="n"/>
      <c r="H38" s="608" t="n"/>
      <c r="I38" s="608" t="n"/>
      <c r="J38" s="608" t="n"/>
      <c r="K38" s="608" t="n"/>
      <c r="L38" s="608" t="n"/>
      <c r="M38" s="608" t="n"/>
    </row>
    <row r="39" ht="12.75" customFormat="1" customHeight="1" s="132"/>
    <row r="40" ht="12.75" customFormat="1" customHeight="1" s="132"/>
    <row r="41" ht="12.75" customFormat="1" customHeight="1" s="132"/>
    <row r="42" ht="12.75" customFormat="1" customHeight="1" s="132"/>
    <row r="43" ht="12.75" customFormat="1" customHeight="1" s="132"/>
    <row r="44" ht="12.75" customFormat="1" customHeight="1" s="132"/>
    <row r="45" ht="12.75" customFormat="1" customHeight="1" s="132"/>
    <row r="46" ht="12.75" customFormat="1" customHeight="1" s="132"/>
    <row r="47" ht="12.75" customFormat="1" customHeight="1" s="132"/>
    <row r="48" ht="12.75" customFormat="1" customHeight="1" s="132"/>
    <row r="49" ht="12.75" customHeight="1">
      <c r="A49" s="621" t="n"/>
      <c r="B49" s="621" t="n"/>
      <c r="C49" s="621" t="n"/>
      <c r="D49" s="621" t="n"/>
      <c r="E49" s="621" t="n"/>
      <c r="F49" s="621" t="n"/>
      <c r="G49" s="621" t="n"/>
      <c r="H49" s="132" t="n"/>
    </row>
    <row r="50" ht="12.75" customHeight="1">
      <c r="A50" s="131" t="n"/>
      <c r="B50" s="621" t="n"/>
      <c r="C50" s="621" t="n"/>
      <c r="D50" s="621" t="n"/>
      <c r="E50" s="621" t="n"/>
      <c r="F50" s="621" t="n"/>
      <c r="G50" s="621" t="n"/>
      <c r="H50" s="621" t="n"/>
    </row>
    <row r="51" ht="12.75" customHeight="1">
      <c r="A51" s="132" t="n"/>
      <c r="B51" s="132" t="n"/>
      <c r="C51" s="132" t="n"/>
      <c r="D51" s="132" t="n"/>
      <c r="E51" s="622" t="n"/>
      <c r="F51" s="622" t="n"/>
      <c r="H51" s="621" t="n"/>
    </row>
    <row r="52">
      <c r="A52" s="132" t="n"/>
      <c r="B52" s="132" t="n"/>
      <c r="C52" s="132" t="n"/>
      <c r="D52" s="132" t="n"/>
      <c r="E52" s="622" t="n"/>
    </row>
    <row r="53">
      <c r="A53" s="132" t="n"/>
      <c r="B53" s="132" t="n"/>
      <c r="C53" s="132" t="n"/>
      <c r="D53" s="132" t="n"/>
      <c r="E53" s="622" t="n"/>
      <c r="H53" s="132" t="n"/>
    </row>
    <row r="54">
      <c r="A54" s="132" t="n"/>
      <c r="B54" s="132" t="n"/>
      <c r="C54" s="132" t="n"/>
      <c r="D54" s="132" t="n"/>
      <c r="E54" s="622" t="n"/>
      <c r="F54" s="622" t="n"/>
      <c r="H54" s="132" t="n"/>
    </row>
    <row r="55">
      <c r="A55" s="132" t="n"/>
      <c r="B55" s="132" t="n"/>
      <c r="C55" s="132" t="n"/>
      <c r="D55" s="132" t="n"/>
      <c r="E55" s="622" t="n"/>
      <c r="F55" s="622" t="n"/>
    </row>
    <row r="56">
      <c r="A56" s="132" t="n"/>
      <c r="B56" s="132" t="n"/>
      <c r="C56" s="132" t="n"/>
      <c r="D56" s="132" t="n"/>
      <c r="E56" s="622" t="n"/>
      <c r="F56" s="622" t="n"/>
    </row>
    <row r="57">
      <c r="A57" s="132" t="n"/>
      <c r="B57" s="132" t="n"/>
      <c r="C57" s="132" t="n"/>
      <c r="D57" s="132" t="n"/>
      <c r="E57" s="622" t="n"/>
      <c r="F57" s="622" t="n"/>
    </row>
    <row r="58">
      <c r="A58" s="132" t="n"/>
      <c r="B58" s="132" t="n"/>
      <c r="C58" s="132" t="n"/>
      <c r="D58" s="132" t="n"/>
      <c r="E58" s="622" t="n"/>
      <c r="F58" s="622" t="n"/>
    </row>
    <row r="59">
      <c r="E59" s="622" t="n"/>
      <c r="F59" s="622" t="n"/>
    </row>
    <row r="60">
      <c r="E60" s="622" t="n"/>
      <c r="F60" s="622" t="n"/>
    </row>
    <row r="61">
      <c r="E61" s="622" t="n"/>
      <c r="F61" s="622" t="n"/>
    </row>
    <row r="62">
      <c r="E62" s="622" t="n"/>
      <c r="F62" s="622" t="n"/>
    </row>
    <row r="63">
      <c r="E63" s="622" t="n"/>
      <c r="F63" s="622" t="n"/>
    </row>
    <row r="64">
      <c r="E64" s="622" t="n"/>
      <c r="F64" s="622" t="n"/>
    </row>
    <row r="65">
      <c r="E65" s="622" t="n"/>
      <c r="F65" s="622" t="n"/>
    </row>
    <row r="66">
      <c r="E66" s="622" t="n"/>
      <c r="F66" s="622" t="n"/>
    </row>
    <row r="67">
      <c r="E67" s="622" t="n"/>
      <c r="F67" s="622" t="n"/>
    </row>
    <row r="68">
      <c r="E68" s="622" t="n"/>
      <c r="F68" s="622" t="n"/>
    </row>
    <row r="69">
      <c r="E69" s="622" t="n"/>
      <c r="F69" s="622" t="n"/>
    </row>
    <row r="70">
      <c r="E70" s="622" t="n"/>
      <c r="F70" s="622" t="n"/>
    </row>
    <row r="71">
      <c r="E71" s="622" t="n"/>
      <c r="F71" s="622" t="n"/>
    </row>
    <row r="72">
      <c r="E72" s="622" t="n"/>
      <c r="F72" s="622" t="n"/>
    </row>
    <row r="73">
      <c r="E73" s="622" t="n"/>
      <c r="F73" s="622" t="n"/>
    </row>
    <row r="74">
      <c r="E74" s="622" t="n"/>
      <c r="F74" s="622" t="n"/>
    </row>
    <row r="75">
      <c r="E75" s="622" t="n"/>
      <c r="F75" s="622" t="n"/>
    </row>
    <row r="76">
      <c r="E76" s="622" t="n"/>
      <c r="F76" s="622" t="n"/>
    </row>
    <row r="77">
      <c r="E77" s="622" t="n"/>
      <c r="F77" s="622" t="n"/>
    </row>
    <row r="78">
      <c r="E78" s="622" t="n"/>
      <c r="F78" s="622" t="n"/>
    </row>
    <row r="79">
      <c r="E79" s="622" t="n"/>
      <c r="F79" s="622" t="n"/>
    </row>
    <row r="80">
      <c r="E80" s="622" t="n"/>
      <c r="F80" s="622" t="n"/>
    </row>
    <row r="81">
      <c r="E81" s="622" t="n"/>
      <c r="F81" s="622" t="n"/>
    </row>
    <row r="82">
      <c r="E82" s="622" t="n"/>
      <c r="F82" s="622" t="n"/>
    </row>
    <row r="83">
      <c r="E83" s="622" t="n"/>
      <c r="F83" s="622" t="n"/>
    </row>
    <row r="84">
      <c r="E84" s="622" t="n"/>
      <c r="F84" s="622" t="n"/>
    </row>
    <row r="85">
      <c r="E85" s="622" t="n"/>
      <c r="F85" s="622" t="n"/>
    </row>
    <row r="86">
      <c r="E86" s="622" t="n"/>
      <c r="F86" s="622" t="n"/>
    </row>
    <row r="87">
      <c r="E87" s="622" t="n"/>
      <c r="F87" s="622" t="n"/>
    </row>
    <row r="88">
      <c r="E88" s="622" t="n"/>
      <c r="F88" s="622" t="n"/>
    </row>
    <row r="89">
      <c r="E89" s="622" t="n"/>
      <c r="F89" s="622" t="n"/>
    </row>
    <row r="90">
      <c r="E90" s="622" t="n"/>
      <c r="F90" s="622" t="n"/>
    </row>
    <row r="91">
      <c r="E91" s="622" t="n"/>
      <c r="F91" s="622" t="n"/>
    </row>
    <row r="92">
      <c r="E92" s="622" t="n"/>
      <c r="F92" s="622" t="n"/>
    </row>
    <row r="93">
      <c r="E93" s="622" t="n"/>
      <c r="F93" s="622" t="n"/>
    </row>
    <row r="94">
      <c r="E94" s="622" t="n"/>
      <c r="F94" s="622" t="n"/>
    </row>
    <row r="95">
      <c r="E95" s="622" t="n"/>
      <c r="F95" s="622" t="n"/>
    </row>
    <row r="96">
      <c r="E96" s="622" t="n"/>
      <c r="F96" s="622" t="n"/>
    </row>
    <row r="97">
      <c r="E97" s="622" t="n"/>
      <c r="F97" s="622" t="n"/>
    </row>
    <row r="98">
      <c r="E98" s="622" t="n"/>
      <c r="F98" s="622" t="n"/>
    </row>
    <row r="99">
      <c r="E99" s="622" t="n"/>
      <c r="F99" s="622" t="n"/>
    </row>
    <row r="100">
      <c r="E100" s="622" t="n"/>
      <c r="F100" s="622" t="n"/>
    </row>
    <row r="101">
      <c r="E101" s="622" t="n"/>
      <c r="F101" s="622" t="n"/>
      <c r="I101" s="120" t="n"/>
      <c r="J101" s="120" t="n"/>
      <c r="K101" s="120" t="n"/>
    </row>
    <row r="102">
      <c r="E102" s="622" t="n"/>
      <c r="F102" s="622" t="n"/>
      <c r="I102" s="120" t="n"/>
      <c r="J102" s="120" t="n"/>
      <c r="K102" s="120" t="n"/>
    </row>
    <row r="103">
      <c r="E103" s="622" t="n"/>
      <c r="F103" s="622" t="n"/>
    </row>
    <row r="104">
      <c r="E104" s="622" t="n"/>
      <c r="F104" s="622" t="n"/>
    </row>
    <row r="105" customFormat="1" s="120">
      <c r="A105" s="121" t="n"/>
      <c r="B105" s="608" t="n"/>
      <c r="C105" s="608" t="n"/>
      <c r="D105" s="608" t="n"/>
      <c r="E105" s="622" t="n"/>
      <c r="F105" s="622" t="n"/>
      <c r="G105" s="608" t="n"/>
      <c r="H105" s="608" t="n"/>
      <c r="I105" s="132" t="n"/>
      <c r="J105" s="132" t="n"/>
      <c r="K105" s="132" t="n"/>
    </row>
    <row r="106" customFormat="1" s="120">
      <c r="A106" s="121" t="n"/>
      <c r="B106" s="608" t="n"/>
      <c r="C106" s="608" t="n"/>
      <c r="D106" s="608" t="n"/>
      <c r="E106" s="622" t="n"/>
      <c r="F106" s="622" t="n"/>
      <c r="G106" s="608" t="n"/>
      <c r="H106" s="608" t="n"/>
      <c r="I106" s="132" t="n"/>
      <c r="J106" s="132" t="n"/>
      <c r="K106" s="132" t="n"/>
    </row>
    <row r="107">
      <c r="E107" s="622" t="n"/>
      <c r="F107" s="622" t="n"/>
    </row>
    <row r="108">
      <c r="E108" s="622" t="n"/>
      <c r="F108" s="622" t="n"/>
    </row>
    <row r="109">
      <c r="E109" s="622" t="n"/>
      <c r="F109" s="622" t="n"/>
    </row>
    <row r="110">
      <c r="E110" s="622" t="n"/>
      <c r="F110" s="622" t="n"/>
    </row>
    <row r="111">
      <c r="E111" s="622" t="n"/>
      <c r="F111" s="622" t="n"/>
    </row>
    <row r="112">
      <c r="E112" s="622" t="n"/>
      <c r="F112" s="622" t="n"/>
    </row>
    <row r="113">
      <c r="E113" s="622" t="n"/>
      <c r="F113" s="622" t="n"/>
    </row>
    <row r="114">
      <c r="E114" s="622" t="n"/>
      <c r="F114" s="622" t="n"/>
    </row>
    <row r="115">
      <c r="E115" s="622" t="n"/>
      <c r="F115" s="622" t="n"/>
    </row>
    <row r="116">
      <c r="E116" s="622" t="n"/>
      <c r="F116" s="622" t="n"/>
    </row>
    <row r="117">
      <c r="E117" s="622" t="n"/>
      <c r="F117" s="622" t="n"/>
    </row>
    <row r="118">
      <c r="E118" s="622" t="n"/>
      <c r="F118" s="622" t="n"/>
    </row>
    <row r="119">
      <c r="E119" s="622" t="n"/>
      <c r="F119" s="622" t="n"/>
    </row>
    <row r="120">
      <c r="E120" s="622" t="n"/>
      <c r="F120" s="622" t="n"/>
    </row>
    <row r="121">
      <c r="E121" s="622" t="n"/>
      <c r="F121" s="622" t="n"/>
    </row>
    <row r="122">
      <c r="E122" s="622" t="n"/>
      <c r="F122" s="622" t="n"/>
    </row>
    <row r="123">
      <c r="E123" s="622" t="n"/>
      <c r="F123" s="622" t="n"/>
    </row>
    <row r="124">
      <c r="E124" s="622" t="n"/>
      <c r="F124" s="622" t="n"/>
    </row>
    <row r="125">
      <c r="E125" s="622" t="n"/>
      <c r="F125" s="622" t="n"/>
    </row>
    <row r="126">
      <c r="E126" s="622" t="n"/>
      <c r="F126" s="622" t="n"/>
    </row>
    <row r="127">
      <c r="E127" s="622" t="n"/>
      <c r="F127" s="622" t="n"/>
    </row>
    <row r="128">
      <c r="E128" s="622" t="n"/>
      <c r="F128" s="622" t="n"/>
    </row>
    <row r="129">
      <c r="E129" s="622" t="n"/>
      <c r="F129" s="622" t="n"/>
    </row>
    <row r="130">
      <c r="E130" s="622" t="n"/>
      <c r="F130" s="622" t="n"/>
    </row>
    <row r="131">
      <c r="E131" s="622" t="n"/>
      <c r="F131" s="622" t="n"/>
    </row>
    <row r="132">
      <c r="E132" s="622" t="n"/>
      <c r="F132" s="622" t="n"/>
    </row>
    <row r="133">
      <c r="E133" s="622" t="n"/>
      <c r="F133" s="622" t="n"/>
    </row>
    <row r="134">
      <c r="E134" s="622" t="n"/>
      <c r="F134" s="622" t="n"/>
    </row>
    <row r="135">
      <c r="E135" s="622" t="n"/>
      <c r="F135" s="622" t="n"/>
    </row>
    <row r="136">
      <c r="E136" s="622" t="n"/>
      <c r="F136" s="622" t="n"/>
    </row>
    <row r="137">
      <c r="E137" s="622" t="n"/>
      <c r="F137" s="622" t="n"/>
    </row>
    <row r="138">
      <c r="E138" s="622" t="n"/>
      <c r="F138" s="622" t="n"/>
    </row>
    <row r="139">
      <c r="E139" s="622" t="n"/>
      <c r="F139" s="622" t="n"/>
    </row>
    <row r="140">
      <c r="E140" s="622" t="n"/>
      <c r="F140" s="622" t="n"/>
    </row>
    <row r="141">
      <c r="E141" s="622" t="n"/>
      <c r="F141" s="622" t="n"/>
    </row>
    <row r="142">
      <c r="E142" s="622" t="n"/>
      <c r="F142" s="622" t="n"/>
    </row>
    <row r="143">
      <c r="E143" s="622" t="n"/>
      <c r="F143" s="622" t="n"/>
    </row>
    <row r="144">
      <c r="E144" s="622" t="n"/>
      <c r="F144" s="622" t="n"/>
    </row>
    <row r="145">
      <c r="E145" s="622" t="n"/>
      <c r="F145" s="622" t="n"/>
    </row>
    <row r="146">
      <c r="E146" s="622" t="n"/>
      <c r="F146" s="622" t="n"/>
    </row>
    <row r="147">
      <c r="E147" s="622" t="n"/>
      <c r="F147" s="622" t="n"/>
    </row>
    <row r="148">
      <c r="E148" s="622" t="n"/>
      <c r="F148" s="622" t="n"/>
    </row>
    <row r="149">
      <c r="E149" s="622" t="n"/>
      <c r="F149" s="622" t="n"/>
    </row>
    <row r="150">
      <c r="E150" s="622" t="n"/>
      <c r="F150" s="622" t="n"/>
    </row>
    <row r="151">
      <c r="E151" s="622" t="n"/>
      <c r="F151" s="622" t="n"/>
    </row>
    <row r="152">
      <c r="E152" s="622" t="n"/>
      <c r="F152" s="622" t="n"/>
    </row>
    <row r="153">
      <c r="E153" s="622" t="n"/>
      <c r="F153" s="622" t="n"/>
    </row>
    <row r="154">
      <c r="E154" s="622" t="n"/>
      <c r="F154" s="622" t="n"/>
    </row>
    <row r="155">
      <c r="E155" s="622" t="n"/>
      <c r="F155" s="622" t="n"/>
    </row>
    <row r="156">
      <c r="E156" s="622" t="n"/>
      <c r="F156" s="622" t="n"/>
    </row>
    <row r="157">
      <c r="E157" s="622" t="n"/>
      <c r="F157" s="622" t="n"/>
    </row>
    <row r="158">
      <c r="E158" s="622" t="n"/>
      <c r="F158" s="622" t="n"/>
    </row>
    <row r="159">
      <c r="E159" s="622" t="n"/>
      <c r="F159" s="622" t="n"/>
    </row>
    <row r="160">
      <c r="E160" s="622" t="n"/>
      <c r="F160" s="622" t="n"/>
    </row>
    <row r="161">
      <c r="E161" s="622" t="n"/>
      <c r="F161" s="622" t="n"/>
    </row>
    <row r="162">
      <c r="E162" s="622" t="n"/>
      <c r="F162" s="622" t="n"/>
    </row>
    <row r="163">
      <c r="E163" s="622" t="n"/>
      <c r="F163" s="622" t="n"/>
    </row>
    <row r="164">
      <c r="E164" s="622" t="n"/>
      <c r="F164" s="622" t="n"/>
    </row>
    <row r="165">
      <c r="E165" s="622" t="n"/>
      <c r="F165" s="622" t="n"/>
    </row>
    <row r="166">
      <c r="E166" s="622" t="n"/>
      <c r="F166" s="622" t="n"/>
    </row>
    <row r="167">
      <c r="E167" s="622" t="n"/>
      <c r="F167" s="622" t="n"/>
    </row>
    <row r="168">
      <c r="E168" s="622" t="n"/>
      <c r="F168" s="622" t="n"/>
    </row>
    <row r="169">
      <c r="E169" s="622" t="n"/>
      <c r="F169" s="622" t="n"/>
    </row>
    <row r="170">
      <c r="E170" s="622" t="n"/>
      <c r="F170" s="622" t="n"/>
    </row>
    <row r="171">
      <c r="E171" s="622" t="n"/>
      <c r="F171" s="622" t="n"/>
    </row>
    <row r="172">
      <c r="E172" s="622" t="n"/>
      <c r="F172" s="622" t="n"/>
    </row>
    <row r="173">
      <c r="E173" s="622" t="n"/>
      <c r="F173" s="622" t="n"/>
    </row>
    <row r="174">
      <c r="E174" s="622" t="n"/>
      <c r="F174" s="622" t="n"/>
    </row>
    <row r="175">
      <c r="E175" s="622" t="n"/>
      <c r="F175" s="622" t="n"/>
    </row>
    <row r="176">
      <c r="E176" s="622" t="n"/>
      <c r="F176" s="622" t="n"/>
    </row>
    <row r="177">
      <c r="E177" s="622" t="n"/>
      <c r="F177" s="622" t="n"/>
    </row>
    <row r="178">
      <c r="E178" s="622" t="n"/>
      <c r="F178" s="622" t="n"/>
    </row>
    <row r="179">
      <c r="E179" s="622" t="n"/>
      <c r="F179" s="622" t="n"/>
    </row>
    <row r="180">
      <c r="E180" s="622" t="n"/>
      <c r="F180" s="622" t="n"/>
    </row>
    <row r="181">
      <c r="E181" s="622" t="n"/>
      <c r="F181" s="622" t="n"/>
    </row>
    <row r="182">
      <c r="E182" s="622" t="n"/>
      <c r="F182" s="622" t="n"/>
    </row>
    <row r="183">
      <c r="E183" s="622" t="n"/>
      <c r="F183" s="622" t="n"/>
    </row>
    <row r="184">
      <c r="E184" s="622" t="n"/>
      <c r="F184" s="622" t="n"/>
    </row>
    <row r="185">
      <c r="E185" s="622" t="n"/>
      <c r="F185" s="622" t="n"/>
    </row>
    <row r="186">
      <c r="E186" s="622" t="n"/>
      <c r="F186" s="622" t="n"/>
    </row>
    <row r="187">
      <c r="E187" s="622" t="n"/>
      <c r="F187" s="622" t="n"/>
    </row>
    <row r="188">
      <c r="E188" s="622" t="n"/>
      <c r="F188" s="622" t="n"/>
    </row>
    <row r="189">
      <c r="E189" s="622" t="n"/>
      <c r="F189" s="622" t="n"/>
    </row>
    <row r="190">
      <c r="E190" s="622" t="n"/>
      <c r="F190" s="622" t="n"/>
    </row>
    <row r="191">
      <c r="E191" s="622" t="n"/>
      <c r="F191" s="622" t="n"/>
    </row>
    <row r="192">
      <c r="E192" s="622" t="n"/>
      <c r="F192" s="622" t="n"/>
    </row>
    <row r="193">
      <c r="E193" s="622" t="n"/>
      <c r="F193" s="622" t="n"/>
    </row>
    <row r="194">
      <c r="E194" s="622" t="n"/>
      <c r="F194" s="622" t="n"/>
    </row>
    <row r="195">
      <c r="E195" s="622" t="n"/>
      <c r="F195" s="622" t="n"/>
    </row>
    <row r="196">
      <c r="E196" s="622" t="n"/>
      <c r="F196" s="622" t="n"/>
    </row>
    <row r="197">
      <c r="E197" s="622" t="n"/>
      <c r="F197" s="622" t="n"/>
    </row>
    <row r="198">
      <c r="E198" s="622" t="n"/>
      <c r="F198" s="622" t="n"/>
    </row>
    <row r="199">
      <c r="E199" s="622" t="n"/>
      <c r="F199" s="622" t="n"/>
    </row>
    <row r="200">
      <c r="E200" s="622" t="n"/>
      <c r="F200" s="622" t="n"/>
    </row>
    <row r="201">
      <c r="E201" s="622" t="n"/>
      <c r="F201" s="622" t="n"/>
    </row>
    <row r="202">
      <c r="E202" s="622" t="n"/>
      <c r="F202" s="622" t="n"/>
    </row>
    <row r="203">
      <c r="E203" s="622" t="n"/>
      <c r="F203" s="622" t="n"/>
    </row>
    <row r="204">
      <c r="E204" s="622" t="n"/>
      <c r="F204" s="622" t="n"/>
    </row>
    <row r="205">
      <c r="E205" s="622" t="n"/>
      <c r="F205" s="622" t="n"/>
    </row>
    <row r="206">
      <c r="E206" s="622" t="n"/>
      <c r="F206" s="622" t="n"/>
    </row>
    <row r="207">
      <c r="E207" s="622" t="n"/>
      <c r="F207" s="622" t="n"/>
    </row>
    <row r="208">
      <c r="E208" s="622" t="n"/>
      <c r="F208" s="622" t="n"/>
    </row>
    <row r="209">
      <c r="E209" s="622" t="n"/>
      <c r="F209" s="622" t="n"/>
    </row>
    <row r="210">
      <c r="E210" s="622" t="n"/>
      <c r="F210" s="622" t="n"/>
    </row>
    <row r="211">
      <c r="E211" s="622" t="n"/>
      <c r="F211" s="622" t="n"/>
    </row>
    <row r="212">
      <c r="E212" s="622" t="n"/>
      <c r="F212" s="622" t="n"/>
    </row>
    <row r="213">
      <c r="E213" s="622" t="n"/>
      <c r="F213" s="622" t="n"/>
    </row>
    <row r="214">
      <c r="E214" s="622" t="n"/>
      <c r="F214" s="622" t="n"/>
    </row>
    <row r="215">
      <c r="E215" s="622" t="n"/>
      <c r="F215" s="622" t="n"/>
    </row>
    <row r="216">
      <c r="E216" s="622" t="n"/>
      <c r="F216" s="622" t="n"/>
    </row>
    <row r="217">
      <c r="E217" s="622" t="n"/>
      <c r="F217" s="622" t="n"/>
    </row>
    <row r="218">
      <c r="E218" s="622" t="n"/>
      <c r="F218" s="622" t="n"/>
    </row>
    <row r="219">
      <c r="E219" s="622" t="n"/>
      <c r="F219" s="622" t="n"/>
    </row>
    <row r="220">
      <c r="E220" s="622" t="n"/>
      <c r="F220" s="622" t="n"/>
    </row>
    <row r="221">
      <c r="E221" s="622" t="n"/>
      <c r="F221" s="622" t="n"/>
    </row>
    <row r="222">
      <c r="E222" s="622" t="n"/>
      <c r="F222" s="622" t="n"/>
    </row>
    <row r="223">
      <c r="E223" s="622" t="n"/>
      <c r="F223" s="622" t="n"/>
    </row>
    <row r="224">
      <c r="E224" s="622" t="n"/>
      <c r="F224" s="622" t="n"/>
    </row>
    <row r="225">
      <c r="E225" s="622" t="n"/>
      <c r="F225" s="622" t="n"/>
    </row>
    <row r="226">
      <c r="E226" s="622" t="n"/>
      <c r="F226" s="622" t="n"/>
    </row>
    <row r="227">
      <c r="E227" s="622" t="n"/>
      <c r="F227" s="622" t="n"/>
    </row>
    <row r="228">
      <c r="E228" s="622" t="n"/>
      <c r="F228" s="622" t="n"/>
    </row>
    <row r="229">
      <c r="E229" s="622" t="n"/>
      <c r="F229" s="622" t="n"/>
    </row>
    <row r="230">
      <c r="E230" s="622" t="n"/>
      <c r="F230" s="622" t="n"/>
    </row>
    <row r="231">
      <c r="E231" s="622" t="n"/>
      <c r="F231" s="622" t="n"/>
    </row>
    <row r="232">
      <c r="E232" s="622" t="n"/>
      <c r="F232" s="622" t="n"/>
    </row>
    <row r="233">
      <c r="E233" s="622" t="n"/>
      <c r="F233" s="622" t="n"/>
    </row>
    <row r="234">
      <c r="E234" s="622" t="n"/>
      <c r="F234" s="622" t="n"/>
    </row>
    <row r="235">
      <c r="E235" s="622" t="n"/>
      <c r="F235" s="622" t="n"/>
    </row>
    <row r="236">
      <c r="E236" s="622" t="n"/>
      <c r="F236" s="622" t="n"/>
    </row>
    <row r="237">
      <c r="E237" s="622" t="n"/>
      <c r="F237" s="622" t="n"/>
    </row>
    <row r="238">
      <c r="E238" s="622" t="n"/>
      <c r="F238" s="622" t="n"/>
    </row>
    <row r="239">
      <c r="E239" s="622" t="n"/>
      <c r="F239" s="622" t="n"/>
    </row>
    <row r="240">
      <c r="E240" s="622" t="n"/>
      <c r="F240" s="622" t="n"/>
    </row>
    <row r="241">
      <c r="E241" s="622" t="n"/>
      <c r="F241" s="622" t="n"/>
    </row>
    <row r="242">
      <c r="E242" s="622" t="n"/>
      <c r="F242" s="622" t="n"/>
    </row>
    <row r="243">
      <c r="E243" s="622" t="n"/>
      <c r="F243" s="622" t="n"/>
    </row>
    <row r="244">
      <c r="E244" s="622" t="n"/>
      <c r="F244" s="622" t="n"/>
    </row>
    <row r="245">
      <c r="E245" s="622" t="n"/>
      <c r="F245" s="622" t="n"/>
    </row>
    <row r="246">
      <c r="E246" s="622" t="n"/>
      <c r="F246" s="622" t="n"/>
    </row>
    <row r="247">
      <c r="E247" s="622" t="n"/>
      <c r="F247" s="622" t="n"/>
    </row>
    <row r="248">
      <c r="E248" s="622" t="n"/>
      <c r="F248" s="622" t="n"/>
    </row>
    <row r="249">
      <c r="E249" s="622" t="n"/>
      <c r="F249" s="622" t="n"/>
    </row>
    <row r="250">
      <c r="E250" s="622" t="n"/>
      <c r="F250" s="622" t="n"/>
    </row>
    <row r="251">
      <c r="E251" s="622" t="n"/>
      <c r="F251" s="622" t="n"/>
    </row>
    <row r="252">
      <c r="E252" s="622" t="n"/>
      <c r="F252" s="622" t="n"/>
    </row>
    <row r="253">
      <c r="E253" s="622" t="n"/>
      <c r="F253" s="622" t="n"/>
    </row>
    <row r="254">
      <c r="E254" s="622" t="n"/>
      <c r="F254" s="622" t="n"/>
    </row>
    <row r="255">
      <c r="E255" s="622" t="n"/>
      <c r="F255" s="622" t="n"/>
    </row>
    <row r="256">
      <c r="E256" s="622" t="n"/>
      <c r="F256" s="622" t="n"/>
    </row>
    <row r="257">
      <c r="E257" s="622" t="n"/>
      <c r="F257" s="622" t="n"/>
    </row>
    <row r="258">
      <c r="E258" s="622" t="n"/>
      <c r="F258" s="622" t="n"/>
    </row>
    <row r="259">
      <c r="E259" s="622" t="n"/>
      <c r="F259" s="622" t="n"/>
    </row>
    <row r="260">
      <c r="E260" s="622" t="n"/>
      <c r="F260" s="622" t="n"/>
    </row>
    <row r="261">
      <c r="E261" s="622" t="n"/>
      <c r="F261" s="622" t="n"/>
    </row>
    <row r="262">
      <c r="E262" s="622" t="n"/>
      <c r="F262" s="622" t="n"/>
    </row>
    <row r="263">
      <c r="E263" s="622" t="n"/>
      <c r="F263" s="622" t="n"/>
    </row>
    <row r="264">
      <c r="E264" s="622" t="n"/>
      <c r="F264" s="622" t="n"/>
    </row>
    <row r="265">
      <c r="E265" s="622" t="n"/>
      <c r="F265" s="622" t="n"/>
    </row>
    <row r="266">
      <c r="E266" s="622" t="n"/>
      <c r="F266" s="622" t="n"/>
    </row>
    <row r="267">
      <c r="E267" s="622" t="n"/>
      <c r="F267" s="622" t="n"/>
    </row>
    <row r="268">
      <c r="E268" s="622" t="n"/>
      <c r="F268" s="622" t="n"/>
    </row>
    <row r="269">
      <c r="E269" s="622" t="n"/>
      <c r="F269" s="622" t="n"/>
    </row>
    <row r="270">
      <c r="E270" s="622" t="n"/>
      <c r="F270" s="622" t="n"/>
    </row>
    <row r="271">
      <c r="E271" s="622" t="n"/>
      <c r="F271" s="622" t="n"/>
    </row>
    <row r="272">
      <c r="E272" s="622" t="n"/>
      <c r="F272" s="622" t="n"/>
    </row>
    <row r="273">
      <c r="E273" s="622" t="n"/>
      <c r="F273" s="622" t="n"/>
    </row>
    <row r="274">
      <c r="E274" s="622" t="n"/>
      <c r="F274" s="622" t="n"/>
    </row>
    <row r="275">
      <c r="E275" s="622" t="n"/>
      <c r="F275" s="622" t="n"/>
    </row>
    <row r="276">
      <c r="E276" s="622" t="n"/>
      <c r="F276" s="622" t="n"/>
    </row>
    <row r="277">
      <c r="E277" s="622" t="n"/>
      <c r="F277" s="622" t="n"/>
    </row>
    <row r="278">
      <c r="E278" s="622" t="n"/>
      <c r="F278" s="622" t="n"/>
    </row>
    <row r="279">
      <c r="E279" s="622" t="n"/>
      <c r="F279" s="622" t="n"/>
    </row>
    <row r="280">
      <c r="E280" s="622" t="n"/>
      <c r="F280" s="622" t="n"/>
    </row>
    <row r="281">
      <c r="E281" s="622" t="n"/>
      <c r="F281" s="622" t="n"/>
    </row>
    <row r="282">
      <c r="E282" s="622" t="n"/>
      <c r="F282" s="622" t="n"/>
    </row>
    <row r="283">
      <c r="E283" s="622" t="n"/>
      <c r="F283" s="622" t="n"/>
    </row>
    <row r="284">
      <c r="E284" s="622" t="n"/>
      <c r="F284" s="622" t="n"/>
    </row>
    <row r="285">
      <c r="E285" s="622" t="n"/>
      <c r="F285" s="622" t="n"/>
    </row>
    <row r="286">
      <c r="E286" s="622" t="n"/>
      <c r="F286" s="622" t="n"/>
    </row>
    <row r="287">
      <c r="E287" s="622" t="n"/>
      <c r="F287" s="622" t="n"/>
    </row>
    <row r="288">
      <c r="E288" s="622" t="n"/>
      <c r="F288" s="622" t="n"/>
    </row>
    <row r="289">
      <c r="E289" s="622" t="n"/>
      <c r="F289" s="622" t="n"/>
    </row>
    <row r="290">
      <c r="E290" s="622" t="n"/>
      <c r="F290" s="622" t="n"/>
    </row>
    <row r="291">
      <c r="E291" s="622" t="n"/>
      <c r="F291" s="622" t="n"/>
    </row>
    <row r="292">
      <c r="E292" s="622" t="n"/>
      <c r="F292" s="622" t="n"/>
    </row>
    <row r="293">
      <c r="E293" s="622" t="n"/>
      <c r="F293" s="622" t="n"/>
    </row>
    <row r="294">
      <c r="E294" s="622" t="n"/>
      <c r="F294" s="622" t="n"/>
    </row>
    <row r="295">
      <c r="E295" s="622" t="n"/>
      <c r="F295" s="622" t="n"/>
    </row>
    <row r="296">
      <c r="E296" s="622" t="n"/>
      <c r="F296" s="622" t="n"/>
    </row>
    <row r="297">
      <c r="E297" s="622" t="n"/>
      <c r="F297" s="622" t="n"/>
    </row>
    <row r="298">
      <c r="E298" s="622" t="n"/>
      <c r="F298" s="622" t="n"/>
    </row>
    <row r="299">
      <c r="E299" s="622" t="n"/>
      <c r="F299" s="622" t="n"/>
    </row>
    <row r="300">
      <c r="E300" s="622" t="n"/>
      <c r="F300" s="622" t="n"/>
    </row>
    <row r="301">
      <c r="E301" s="622" t="n"/>
      <c r="F301" s="622" t="n"/>
    </row>
    <row r="302">
      <c r="E302" s="622" t="n"/>
      <c r="F302" s="622" t="n"/>
    </row>
    <row r="303">
      <c r="E303" s="622" t="n"/>
      <c r="F303" s="622" t="n"/>
    </row>
    <row r="304">
      <c r="E304" s="622" t="n"/>
      <c r="F304" s="622" t="n"/>
    </row>
    <row r="305">
      <c r="E305" s="622" t="n"/>
      <c r="F305" s="622" t="n"/>
    </row>
    <row r="306">
      <c r="E306" s="622" t="n"/>
      <c r="F306" s="622" t="n"/>
    </row>
    <row r="307">
      <c r="E307" s="622" t="n"/>
      <c r="F307" s="622" t="n"/>
    </row>
    <row r="308">
      <c r="E308" s="622" t="n"/>
      <c r="F308" s="622" t="n"/>
    </row>
    <row r="309">
      <c r="E309" s="622" t="n"/>
      <c r="F309" s="622" t="n"/>
    </row>
    <row r="310">
      <c r="E310" s="622" t="n"/>
      <c r="F310" s="622" t="n"/>
    </row>
    <row r="311">
      <c r="E311" s="622" t="n"/>
      <c r="F311" s="622" t="n"/>
    </row>
    <row r="312">
      <c r="E312" s="622" t="n"/>
      <c r="F312" s="622" t="n"/>
    </row>
    <row r="313">
      <c r="E313" s="622" t="n"/>
      <c r="F313" s="622" t="n"/>
    </row>
    <row r="314">
      <c r="E314" s="622" t="n"/>
      <c r="F314" s="622" t="n"/>
    </row>
    <row r="315">
      <c r="E315" s="622" t="n"/>
      <c r="F315" s="622" t="n"/>
    </row>
    <row r="316">
      <c r="E316" s="622" t="n"/>
      <c r="F316" s="622" t="n"/>
    </row>
    <row r="317">
      <c r="E317" s="622" t="n"/>
      <c r="F317" s="622" t="n"/>
    </row>
    <row r="318">
      <c r="E318" s="622" t="n"/>
      <c r="F318" s="622" t="n"/>
    </row>
    <row r="319">
      <c r="E319" s="622" t="n"/>
      <c r="F319" s="622" t="n"/>
    </row>
    <row r="320">
      <c r="E320" s="622" t="n"/>
      <c r="F320" s="622" t="n"/>
    </row>
    <row r="321">
      <c r="E321" s="622" t="n"/>
      <c r="F321" s="622" t="n"/>
    </row>
    <row r="322">
      <c r="E322" s="622" t="n"/>
      <c r="F322" s="622" t="n"/>
    </row>
    <row r="323">
      <c r="E323" s="622" t="n"/>
      <c r="F323" s="622" t="n"/>
    </row>
    <row r="324">
      <c r="E324" s="622" t="n"/>
      <c r="F324" s="622" t="n"/>
    </row>
    <row r="325">
      <c r="E325" s="622" t="n"/>
      <c r="F325" s="622" t="n"/>
    </row>
    <row r="326">
      <c r="E326" s="622" t="n"/>
      <c r="F326" s="622" t="n"/>
    </row>
    <row r="327">
      <c r="E327" s="622" t="n"/>
      <c r="F327" s="622" t="n"/>
    </row>
    <row r="328">
      <c r="E328" s="622" t="n"/>
      <c r="F328" s="622" t="n"/>
    </row>
    <row r="329">
      <c r="E329" s="622" t="n"/>
      <c r="F329" s="622" t="n"/>
    </row>
    <row r="330">
      <c r="E330" s="622" t="n"/>
      <c r="F330" s="622" t="n"/>
    </row>
    <row r="331">
      <c r="E331" s="622" t="n"/>
      <c r="F331" s="622" t="n"/>
    </row>
    <row r="332">
      <c r="E332" s="622" t="n"/>
      <c r="F332" s="622" t="n"/>
    </row>
    <row r="333">
      <c r="E333" s="622" t="n"/>
      <c r="F333" s="622" t="n"/>
    </row>
    <row r="334">
      <c r="E334" s="622" t="n"/>
      <c r="F334" s="622" t="n"/>
    </row>
    <row r="335">
      <c r="E335" s="622" t="n"/>
      <c r="F335" s="622" t="n"/>
    </row>
    <row r="336">
      <c r="E336" s="622" t="n"/>
      <c r="F336" s="622" t="n"/>
    </row>
    <row r="337">
      <c r="E337" s="622" t="n"/>
      <c r="F337" s="622" t="n"/>
    </row>
    <row r="338">
      <c r="E338" s="622" t="n"/>
      <c r="F338" s="622" t="n"/>
    </row>
    <row r="339">
      <c r="E339" s="622" t="n"/>
      <c r="F339" s="622" t="n"/>
    </row>
    <row r="340">
      <c r="E340" s="622" t="n"/>
      <c r="F340" s="622" t="n"/>
    </row>
    <row r="341">
      <c r="E341" s="622" t="n"/>
      <c r="F341" s="622" t="n"/>
    </row>
    <row r="342">
      <c r="E342" s="622" t="n"/>
      <c r="F342" s="622" t="n"/>
    </row>
    <row r="343">
      <c r="E343" s="622" t="n"/>
      <c r="F343" s="622" t="n"/>
    </row>
    <row r="344">
      <c r="E344" s="622" t="n"/>
      <c r="F344" s="622" t="n"/>
    </row>
    <row r="345">
      <c r="E345" s="622" t="n"/>
      <c r="F345" s="622" t="n"/>
    </row>
    <row r="346">
      <c r="E346" s="622" t="n"/>
      <c r="F346" s="622" t="n"/>
    </row>
    <row r="347">
      <c r="E347" s="622" t="n"/>
      <c r="F347" s="622" t="n"/>
    </row>
    <row r="348">
      <c r="E348" s="622" t="n"/>
      <c r="F348" s="622" t="n"/>
    </row>
    <row r="349">
      <c r="E349" s="622" t="n"/>
      <c r="F349" s="622" t="n"/>
    </row>
    <row r="350">
      <c r="E350" s="622" t="n"/>
      <c r="F350" s="622" t="n"/>
    </row>
    <row r="351">
      <c r="E351" s="622" t="n"/>
      <c r="F351" s="622" t="n"/>
    </row>
    <row r="352">
      <c r="E352" s="622" t="n"/>
      <c r="F352" s="622" t="n"/>
    </row>
    <row r="353">
      <c r="E353" s="622" t="n"/>
      <c r="F353" s="622" t="n"/>
    </row>
    <row r="354">
      <c r="E354" s="622" t="n"/>
      <c r="F354" s="622" t="n"/>
    </row>
    <row r="355">
      <c r="E355" s="622" t="n"/>
      <c r="F355" s="622" t="n"/>
    </row>
    <row r="356">
      <c r="E356" s="622" t="n"/>
      <c r="F356" s="622" t="n"/>
    </row>
    <row r="357">
      <c r="E357" s="622" t="n"/>
      <c r="F357" s="622" t="n"/>
    </row>
    <row r="358">
      <c r="E358" s="622" t="n"/>
      <c r="F358" s="622" t="n"/>
    </row>
    <row r="359">
      <c r="E359" s="622" t="n"/>
      <c r="F359" s="622" t="n"/>
    </row>
    <row r="360">
      <c r="E360" s="622" t="n"/>
      <c r="F360" s="622" t="n"/>
    </row>
    <row r="361">
      <c r="E361" s="622" t="n"/>
      <c r="F361" s="622" t="n"/>
    </row>
    <row r="362">
      <c r="E362" s="622" t="n"/>
      <c r="F362" s="622" t="n"/>
    </row>
    <row r="363">
      <c r="E363" s="622" t="n"/>
      <c r="F363" s="622" t="n"/>
    </row>
    <row r="364">
      <c r="E364" s="622" t="n"/>
      <c r="F364" s="622" t="n"/>
    </row>
  </sheetData>
  <pageMargins left="0.25" right="0.25" top="0.75" bottom="0.75" header="0.3" footer="0.3"/>
  <pageSetup orientation="portrait" scale="50" fitToHeight="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A1:A1"/>
  <sheetViews>
    <sheetView showGridLines="1" view="normal" zoomScale="60" zoomScaleNormal="100"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68"/>
  <sheetViews>
    <sheetView showGridLines="1" view="normal" workbookViewId="0">
      <selection activeCell="B44" sqref="B44"/>
    </sheetView>
  </sheetViews>
  <sheetFormatPr baseColWidth="8" defaultColWidth="9.140625" defaultRowHeight="12.75"/>
  <cols>
    <col width="9.140625" customWidth="1" style="13" min="1" max="1"/>
    <col width="36" customWidth="1" style="13" min="2" max="2"/>
    <col width="9.28515625" customWidth="1" style="13" min="3" max="13"/>
    <col width="9.140625" customWidth="1" style="13" min="14" max="14"/>
    <col width="36" customWidth="1" style="13" min="15" max="15"/>
    <col width="9.28515625" customWidth="1" style="13" min="16" max="26"/>
    <col width="9.140625" customWidth="1" style="13" min="27" max="16384"/>
  </cols>
  <sheetData>
    <row r="1"/>
    <row r="2"/>
    <row r="3">
      <c r="B3" s="209" t="inlineStr">
        <is>
          <t>Total Operating Expenses</t>
        </is>
      </c>
      <c r="C3" s="37" t="n"/>
      <c r="D3" s="583" t="n"/>
      <c r="E3" s="583" t="n"/>
      <c r="F3" s="583" t="n"/>
      <c r="G3" s="583" t="n"/>
      <c r="H3" s="583" t="n"/>
      <c r="I3" s="583" t="n"/>
      <c r="J3" s="583" t="n"/>
      <c r="K3" s="583" t="n"/>
      <c r="L3" s="583" t="n"/>
      <c r="M3" s="583" t="n"/>
      <c r="O3" s="209" t="inlineStr">
        <is>
          <t>Operating Expenses Cost Per Unit</t>
        </is>
      </c>
      <c r="P3" s="37" t="n"/>
      <c r="Q3" s="583" t="n"/>
      <c r="R3" s="583" t="n"/>
      <c r="S3" s="583" t="n"/>
      <c r="T3" s="583" t="n"/>
      <c r="U3" s="583" t="n"/>
      <c r="V3" s="583" t="n"/>
      <c r="W3" s="583" t="n"/>
      <c r="X3" s="583" t="n"/>
      <c r="Y3" s="583" t="n"/>
      <c r="Z3" s="583" t="n"/>
    </row>
    <row r="4" ht="5.1" customHeight="1">
      <c r="B4" s="245" t="n"/>
      <c r="C4" s="246" t="n"/>
      <c r="D4" s="623" t="n"/>
      <c r="E4" s="623" t="n"/>
      <c r="F4" s="623" t="n"/>
      <c r="G4" s="623" t="n"/>
      <c r="H4" s="623" t="n"/>
      <c r="I4" s="623" t="n"/>
      <c r="J4" s="623" t="n"/>
      <c r="K4" s="623" t="n"/>
      <c r="L4" s="623" t="n"/>
      <c r="M4" s="623" t="n"/>
      <c r="O4" s="245" t="n"/>
      <c r="P4" s="246" t="n"/>
      <c r="Q4" s="623" t="n"/>
      <c r="R4" s="623" t="n"/>
      <c r="S4" s="623" t="n"/>
      <c r="T4" s="623" t="n"/>
      <c r="U4" s="623" t="n"/>
      <c r="V4" s="623" t="n"/>
      <c r="W4" s="623" t="n"/>
      <c r="X4" s="623" t="n"/>
      <c r="Y4" s="623" t="n"/>
      <c r="Z4" s="623" t="n"/>
    </row>
    <row r="5">
      <c r="B5" s="211" t="inlineStr">
        <is>
          <t>Income Statement</t>
        </is>
      </c>
      <c r="C5" s="584" t="inlineStr">
        <is>
          <t>T12</t>
        </is>
      </c>
      <c r="D5" s="584" t="n">
        <v>1</v>
      </c>
      <c r="E5" s="584">
        <f>+D5+1</f>
        <v/>
      </c>
      <c r="F5" s="584">
        <f>+E5+1</f>
        <v/>
      </c>
      <c r="G5" s="584">
        <f>+F5+1</f>
        <v/>
      </c>
      <c r="H5" s="584">
        <f>+G5+1</f>
        <v/>
      </c>
      <c r="I5" s="584">
        <f>+H5+1</f>
        <v/>
      </c>
      <c r="J5" s="584">
        <f>+I5+1</f>
        <v/>
      </c>
      <c r="K5" s="584">
        <f>+J5+1</f>
        <v/>
      </c>
      <c r="L5" s="584">
        <f>+K5+1</f>
        <v/>
      </c>
      <c r="M5" s="584">
        <f>+L5+1</f>
        <v/>
      </c>
      <c r="O5" s="211" t="inlineStr">
        <is>
          <t>Income Statement</t>
        </is>
      </c>
      <c r="P5" s="584" t="inlineStr">
        <is>
          <t>T12</t>
        </is>
      </c>
      <c r="Q5" s="584" t="n">
        <v>1</v>
      </c>
      <c r="R5" s="584">
        <f>+Q5+1</f>
        <v/>
      </c>
      <c r="S5" s="584">
        <f>+R5+1</f>
        <v/>
      </c>
      <c r="T5" s="584">
        <f>+S5+1</f>
        <v/>
      </c>
      <c r="U5" s="584">
        <f>+T5+1</f>
        <v/>
      </c>
      <c r="V5" s="584">
        <f>+U5+1</f>
        <v/>
      </c>
      <c r="W5" s="584">
        <f>+V5+1</f>
        <v/>
      </c>
      <c r="X5" s="584">
        <f>+W5+1</f>
        <v/>
      </c>
      <c r="Y5" s="584">
        <f>+X5+1</f>
        <v/>
      </c>
      <c r="Z5" s="584">
        <f>+Y5+1</f>
        <v/>
      </c>
    </row>
    <row r="6" ht="5.1" customHeight="1">
      <c r="B6" s="244" t="n"/>
      <c r="C6" s="603" t="n"/>
      <c r="D6" s="603" t="n"/>
      <c r="E6" s="603" t="n"/>
      <c r="F6" s="603" t="n"/>
      <c r="G6" s="603" t="n"/>
      <c r="H6" s="603" t="n"/>
      <c r="I6" s="603" t="n"/>
      <c r="J6" s="603" t="n"/>
      <c r="K6" s="603" t="n"/>
      <c r="L6" s="603" t="n"/>
      <c r="M6" s="603" t="n"/>
      <c r="O6" s="244" t="n"/>
      <c r="P6" s="603" t="n"/>
      <c r="Q6" s="603" t="n"/>
      <c r="R6" s="603" t="n"/>
      <c r="S6" s="603" t="n"/>
      <c r="T6" s="603" t="n"/>
      <c r="U6" s="603" t="n"/>
      <c r="V6" s="603" t="n"/>
      <c r="W6" s="603" t="n"/>
      <c r="X6" s="603" t="n"/>
      <c r="Y6" s="603" t="n"/>
      <c r="Z6" s="603" t="n"/>
    </row>
    <row r="7">
      <c r="B7" s="206" t="inlineStr">
        <is>
          <t>Bad Debt</t>
        </is>
      </c>
      <c r="C7" s="248">
        <f>+'Scenario 0'!E17</f>
        <v/>
      </c>
      <c r="D7" s="200">
        <f>+'Scenario 0'!F17</f>
        <v/>
      </c>
      <c r="E7" s="200">
        <f>+'Scenario 0'!G17</f>
        <v/>
      </c>
      <c r="F7" s="200">
        <f>+'Scenario 0'!H17</f>
        <v/>
      </c>
      <c r="G7" s="200">
        <f>+'Scenario 0'!I17</f>
        <v/>
      </c>
      <c r="H7" s="200">
        <f>+'Scenario 0'!J17</f>
        <v/>
      </c>
      <c r="I7" s="200">
        <f>+'Scenario 0'!K17</f>
        <v/>
      </c>
      <c r="J7" s="200">
        <f>+'Scenario 0'!L17</f>
        <v/>
      </c>
      <c r="K7" s="200">
        <f>+'Scenario 0'!M17</f>
        <v/>
      </c>
      <c r="L7" s="200">
        <f>+'Scenario 0'!N17</f>
        <v/>
      </c>
      <c r="M7" s="200">
        <f>+'Scenario 0'!O17</f>
        <v/>
      </c>
      <c r="O7" s="206" t="inlineStr">
        <is>
          <t>Bad Debt</t>
        </is>
      </c>
      <c r="P7" s="248">
        <f>+'Scenario 0'!E17/Dashboard!$E$16</f>
        <v/>
      </c>
      <c r="Q7" s="200">
        <f>+'Scenario 0'!F17/Dashboard!$E$16</f>
        <v/>
      </c>
      <c r="R7" s="200">
        <f>+'Scenario 0'!G17/Dashboard!$E$16</f>
        <v/>
      </c>
      <c r="S7" s="200">
        <f>+'Scenario 0'!H17/Dashboard!$E$16</f>
        <v/>
      </c>
      <c r="T7" s="200">
        <f>+'Scenario 0'!I17/Dashboard!$E$16</f>
        <v/>
      </c>
      <c r="U7" s="200">
        <f>+'Scenario 0'!J17/Dashboard!$E$16</f>
        <v/>
      </c>
      <c r="V7" s="200">
        <f>+'Scenario 0'!K17/Dashboard!$E$16</f>
        <v/>
      </c>
      <c r="W7" s="200">
        <f>+'Scenario 0'!L17/Dashboard!$E$16</f>
        <v/>
      </c>
      <c r="X7" s="200">
        <f>+'Scenario 0'!M17/Dashboard!$E$16</f>
        <v/>
      </c>
      <c r="Y7" s="200">
        <f>+'Scenario 0'!N17/Dashboard!$E$16</f>
        <v/>
      </c>
      <c r="Z7" s="200">
        <f>+'Scenario 0'!O17/Dashboard!$E$16</f>
        <v/>
      </c>
    </row>
    <row r="8">
      <c r="B8" s="28" t="inlineStr">
        <is>
          <t>Total Bad Debt</t>
        </is>
      </c>
      <c r="C8" s="255">
        <f>+'Scenario 0'!E18</f>
        <v/>
      </c>
      <c r="D8" s="256">
        <f>+'Scenario 0'!F18</f>
        <v/>
      </c>
      <c r="E8" s="256">
        <f>+'Scenario 0'!G18</f>
        <v/>
      </c>
      <c r="F8" s="256">
        <f>+'Scenario 0'!H18</f>
        <v/>
      </c>
      <c r="G8" s="256">
        <f>+'Scenario 0'!I18</f>
        <v/>
      </c>
      <c r="H8" s="256">
        <f>+'Scenario 0'!J18</f>
        <v/>
      </c>
      <c r="I8" s="256">
        <f>+'Scenario 0'!K18</f>
        <v/>
      </c>
      <c r="J8" s="256">
        <f>+'Scenario 0'!L18</f>
        <v/>
      </c>
      <c r="K8" s="256">
        <f>+'Scenario 0'!M18</f>
        <v/>
      </c>
      <c r="L8" s="256">
        <f>+'Scenario 0'!N18</f>
        <v/>
      </c>
      <c r="M8" s="256">
        <f>+'Scenario 0'!O18</f>
        <v/>
      </c>
      <c r="O8" s="28" t="inlineStr">
        <is>
          <t>Total Bad Debt</t>
        </is>
      </c>
      <c r="P8" s="255">
        <f>+'Scenario 0'!E18/Dashboard!$E$16</f>
        <v/>
      </c>
      <c r="Q8" s="256">
        <f>+'Scenario 0'!F18/Dashboard!$E$16</f>
        <v/>
      </c>
      <c r="R8" s="256">
        <f>+'Scenario 0'!G18/Dashboard!$E$16</f>
        <v/>
      </c>
      <c r="S8" s="256">
        <f>+'Scenario 0'!H18/Dashboard!$E$16</f>
        <v/>
      </c>
      <c r="T8" s="256">
        <f>+'Scenario 0'!I18/Dashboard!$E$16</f>
        <v/>
      </c>
      <c r="U8" s="256">
        <f>+'Scenario 0'!J18/Dashboard!$E$16</f>
        <v/>
      </c>
      <c r="V8" s="256">
        <f>+'Scenario 0'!K18/Dashboard!$E$16</f>
        <v/>
      </c>
      <c r="W8" s="256">
        <f>+'Scenario 0'!L18/Dashboard!$E$16</f>
        <v/>
      </c>
      <c r="X8" s="256">
        <f>+'Scenario 0'!M18/Dashboard!$E$16</f>
        <v/>
      </c>
      <c r="Y8" s="256">
        <f>+'Scenario 0'!N18/Dashboard!$E$16</f>
        <v/>
      </c>
      <c r="Z8" s="256">
        <f>+'Scenario 0'!O18/Dashboard!$E$16</f>
        <v/>
      </c>
    </row>
    <row r="9" ht="5.1" customHeight="1">
      <c r="C9" s="249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P9" s="249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</row>
    <row r="10">
      <c r="B10" s="206" t="inlineStr">
        <is>
          <t>Replacement Reserves</t>
        </is>
      </c>
      <c r="C10" s="248">
        <f>+'Scenario 0'!E20</f>
        <v/>
      </c>
      <c r="D10" s="200">
        <f>+'Scenario 0'!F20</f>
        <v/>
      </c>
      <c r="E10" s="200">
        <f>+'Scenario 0'!G20</f>
        <v/>
      </c>
      <c r="F10" s="200">
        <f>+'Scenario 0'!H20</f>
        <v/>
      </c>
      <c r="G10" s="200">
        <f>+'Scenario 0'!I20</f>
        <v/>
      </c>
      <c r="H10" s="200">
        <f>+'Scenario 0'!J20</f>
        <v/>
      </c>
      <c r="I10" s="200">
        <f>+'Scenario 0'!K20</f>
        <v/>
      </c>
      <c r="J10" s="200">
        <f>+'Scenario 0'!L20</f>
        <v/>
      </c>
      <c r="K10" s="200">
        <f>+'Scenario 0'!M20</f>
        <v/>
      </c>
      <c r="L10" s="200">
        <f>+'Scenario 0'!N20</f>
        <v/>
      </c>
      <c r="M10" s="200">
        <f>+'Scenario 0'!O20</f>
        <v/>
      </c>
      <c r="O10" s="206" t="inlineStr">
        <is>
          <t>Replacement Reserves</t>
        </is>
      </c>
      <c r="P10" s="248">
        <f>+'Scenario 0'!E20/Dashboard!$E$16</f>
        <v/>
      </c>
      <c r="Q10" s="200">
        <f>+'Scenario 0'!F20/Dashboard!$E$16</f>
        <v/>
      </c>
      <c r="R10" s="200">
        <f>+'Scenario 0'!G20/Dashboard!$E$16</f>
        <v/>
      </c>
      <c r="S10" s="200">
        <f>+'Scenario 0'!H20/Dashboard!$E$16</f>
        <v/>
      </c>
      <c r="T10" s="200">
        <f>+'Scenario 0'!I20/Dashboard!$E$16</f>
        <v/>
      </c>
      <c r="U10" s="200">
        <f>+'Scenario 0'!J20/Dashboard!$E$16</f>
        <v/>
      </c>
      <c r="V10" s="200">
        <f>+'Scenario 0'!K20/Dashboard!$E$16</f>
        <v/>
      </c>
      <c r="W10" s="200">
        <f>+'Scenario 0'!L20/Dashboard!$E$16</f>
        <v/>
      </c>
      <c r="X10" s="200">
        <f>+'Scenario 0'!M20/Dashboard!$E$16</f>
        <v/>
      </c>
      <c r="Y10" s="200">
        <f>+'Scenario 0'!N20/Dashboard!$E$16</f>
        <v/>
      </c>
      <c r="Z10" s="200">
        <f>+'Scenario 0'!O20/Dashboard!$E$16</f>
        <v/>
      </c>
    </row>
    <row r="11">
      <c r="B11" s="207" t="inlineStr">
        <is>
          <t>Compliance Fee</t>
        </is>
      </c>
      <c r="C11" s="606">
        <f>+'Scenario 0'!E21</f>
        <v/>
      </c>
      <c r="D11" s="587">
        <f>+'Scenario 0'!F21</f>
        <v/>
      </c>
      <c r="E11" s="587">
        <f>+'Scenario 0'!G21</f>
        <v/>
      </c>
      <c r="F11" s="587">
        <f>+'Scenario 0'!H21</f>
        <v/>
      </c>
      <c r="G11" s="587">
        <f>+'Scenario 0'!I21</f>
        <v/>
      </c>
      <c r="H11" s="587">
        <f>+'Scenario 0'!J21</f>
        <v/>
      </c>
      <c r="I11" s="587">
        <f>+'Scenario 0'!K21</f>
        <v/>
      </c>
      <c r="J11" s="587">
        <f>+'Scenario 0'!L21</f>
        <v/>
      </c>
      <c r="K11" s="587">
        <f>+'Scenario 0'!M21</f>
        <v/>
      </c>
      <c r="L11" s="587">
        <f>+'Scenario 0'!N21</f>
        <v/>
      </c>
      <c r="M11" s="587">
        <f>+'Scenario 0'!O21</f>
        <v/>
      </c>
      <c r="O11" s="207" t="inlineStr">
        <is>
          <t>Compliance Fee</t>
        </is>
      </c>
      <c r="P11" s="606">
        <f>+'Scenario 0'!E21/Dashboard!$E$16</f>
        <v/>
      </c>
      <c r="Q11" s="587">
        <f>+'Scenario 0'!F21/Dashboard!$E$16</f>
        <v/>
      </c>
      <c r="R11" s="587">
        <f>+'Scenario 0'!G21/Dashboard!$E$16</f>
        <v/>
      </c>
      <c r="S11" s="587">
        <f>+'Scenario 0'!H21/Dashboard!$E$16</f>
        <v/>
      </c>
      <c r="T11" s="587">
        <f>+'Scenario 0'!I21/Dashboard!$E$16</f>
        <v/>
      </c>
      <c r="U11" s="587">
        <f>+'Scenario 0'!J21/Dashboard!$E$16</f>
        <v/>
      </c>
      <c r="V11" s="587">
        <f>+'Scenario 0'!K21/Dashboard!$E$16</f>
        <v/>
      </c>
      <c r="W11" s="587">
        <f>+'Scenario 0'!L21/Dashboard!$E$16</f>
        <v/>
      </c>
      <c r="X11" s="587">
        <f>+'Scenario 0'!M21/Dashboard!$E$16</f>
        <v/>
      </c>
      <c r="Y11" s="587">
        <f>+'Scenario 0'!N21/Dashboard!$E$16</f>
        <v/>
      </c>
      <c r="Z11" s="587">
        <f>+'Scenario 0'!O21/Dashboard!$E$16</f>
        <v/>
      </c>
    </row>
    <row r="12">
      <c r="B12" s="13" t="inlineStr">
        <is>
          <t>Total Replacement Reserves</t>
        </is>
      </c>
      <c r="C12" s="592">
        <f>+'Scenario 0'!E22</f>
        <v/>
      </c>
      <c r="D12" s="593">
        <f>+'Scenario 0'!F22</f>
        <v/>
      </c>
      <c r="E12" s="593">
        <f>+'Scenario 0'!G22</f>
        <v/>
      </c>
      <c r="F12" s="593">
        <f>+'Scenario 0'!H22</f>
        <v/>
      </c>
      <c r="G12" s="593">
        <f>+'Scenario 0'!I22</f>
        <v/>
      </c>
      <c r="H12" s="593">
        <f>+'Scenario 0'!J22</f>
        <v/>
      </c>
      <c r="I12" s="593">
        <f>+'Scenario 0'!K22</f>
        <v/>
      </c>
      <c r="J12" s="593">
        <f>+'Scenario 0'!L22</f>
        <v/>
      </c>
      <c r="K12" s="593">
        <f>+'Scenario 0'!M22</f>
        <v/>
      </c>
      <c r="L12" s="593">
        <f>+'Scenario 0'!N22</f>
        <v/>
      </c>
      <c r="M12" s="593">
        <f>+'Scenario 0'!O22</f>
        <v/>
      </c>
      <c r="O12" s="13" t="inlineStr">
        <is>
          <t>Total Replacement Reserves</t>
        </is>
      </c>
      <c r="P12" s="592">
        <f>+'Scenario 0'!E22/Dashboard!$E$16</f>
        <v/>
      </c>
      <c r="Q12" s="593">
        <f>+'Scenario 0'!F22/Dashboard!$E$16</f>
        <v/>
      </c>
      <c r="R12" s="593">
        <f>+'Scenario 0'!G22/Dashboard!$E$16</f>
        <v/>
      </c>
      <c r="S12" s="593">
        <f>+'Scenario 0'!H22/Dashboard!$E$16</f>
        <v/>
      </c>
      <c r="T12" s="593">
        <f>+'Scenario 0'!I22/Dashboard!$E$16</f>
        <v/>
      </c>
      <c r="U12" s="593">
        <f>+'Scenario 0'!J22/Dashboard!$E$16</f>
        <v/>
      </c>
      <c r="V12" s="593">
        <f>+'Scenario 0'!K22/Dashboard!$E$16</f>
        <v/>
      </c>
      <c r="W12" s="593">
        <f>+'Scenario 0'!L22/Dashboard!$E$16</f>
        <v/>
      </c>
      <c r="X12" s="593">
        <f>+'Scenario 0'!M22/Dashboard!$E$16</f>
        <v/>
      </c>
      <c r="Y12" s="593">
        <f>+'Scenario 0'!N22/Dashboard!$E$16</f>
        <v/>
      </c>
      <c r="Z12" s="593">
        <f>+'Scenario 0'!O22/Dashboard!$E$16</f>
        <v/>
      </c>
    </row>
    <row r="13" ht="5.1" customHeight="1">
      <c r="C13" s="592" t="n"/>
      <c r="D13" s="593" t="n"/>
      <c r="E13" s="593" t="n"/>
      <c r="F13" s="593" t="n"/>
      <c r="G13" s="593" t="n"/>
      <c r="H13" s="593" t="n"/>
      <c r="I13" s="593" t="n"/>
      <c r="J13" s="593" t="n"/>
      <c r="K13" s="593" t="n"/>
      <c r="L13" s="593" t="n"/>
      <c r="M13" s="593" t="n"/>
      <c r="P13" s="592" t="n"/>
      <c r="Q13" s="593" t="n"/>
      <c r="R13" s="593" t="n"/>
      <c r="S13" s="593" t="n"/>
      <c r="T13" s="593" t="n"/>
      <c r="U13" s="593" t="n"/>
      <c r="V13" s="593" t="n"/>
      <c r="W13" s="593" t="n"/>
      <c r="X13" s="593" t="n"/>
      <c r="Y13" s="593" t="n"/>
      <c r="Z13" s="593" t="n"/>
    </row>
    <row r="14">
      <c r="B14" s="206" t="inlineStr">
        <is>
          <t>Property Manager Salary</t>
        </is>
      </c>
      <c r="C14" s="248">
        <f>+'Scenario 0'!E25</f>
        <v/>
      </c>
      <c r="D14" s="200">
        <f>+'Scenario 0'!F25</f>
        <v/>
      </c>
      <c r="E14" s="200">
        <f>+'Scenario 0'!G25</f>
        <v/>
      </c>
      <c r="F14" s="200">
        <f>+'Scenario 0'!H25</f>
        <v/>
      </c>
      <c r="G14" s="200">
        <f>+'Scenario 0'!I25</f>
        <v/>
      </c>
      <c r="H14" s="200">
        <f>+'Scenario 0'!J25</f>
        <v/>
      </c>
      <c r="I14" s="200">
        <f>+'Scenario 0'!K25</f>
        <v/>
      </c>
      <c r="J14" s="200">
        <f>+'Scenario 0'!L25</f>
        <v/>
      </c>
      <c r="K14" s="200">
        <f>+'Scenario 0'!M25</f>
        <v/>
      </c>
      <c r="L14" s="200">
        <f>+'Scenario 0'!N25</f>
        <v/>
      </c>
      <c r="M14" s="200">
        <f>+'Scenario 0'!O25</f>
        <v/>
      </c>
      <c r="O14" s="206" t="inlineStr">
        <is>
          <t>Property Manager Salary</t>
        </is>
      </c>
      <c r="P14" s="248">
        <f>+'Scenario 0'!E25/Dashboard!$E$16</f>
        <v/>
      </c>
      <c r="Q14" s="200">
        <f>+'Scenario 0'!F25/Dashboard!$E$16</f>
        <v/>
      </c>
      <c r="R14" s="200">
        <f>+'Scenario 0'!G25/Dashboard!$E$16</f>
        <v/>
      </c>
      <c r="S14" s="200">
        <f>+'Scenario 0'!H25/Dashboard!$E$16</f>
        <v/>
      </c>
      <c r="T14" s="200">
        <f>+'Scenario 0'!I25/Dashboard!$E$16</f>
        <v/>
      </c>
      <c r="U14" s="200">
        <f>+'Scenario 0'!J25/Dashboard!$E$16</f>
        <v/>
      </c>
      <c r="V14" s="200">
        <f>+'Scenario 0'!K25/Dashboard!$E$16</f>
        <v/>
      </c>
      <c r="W14" s="200">
        <f>+'Scenario 0'!L25/Dashboard!$E$16</f>
        <v/>
      </c>
      <c r="X14" s="200">
        <f>+'Scenario 0'!M25/Dashboard!$E$16</f>
        <v/>
      </c>
      <c r="Y14" s="200">
        <f>+'Scenario 0'!N25/Dashboard!$E$16</f>
        <v/>
      </c>
      <c r="Z14" s="200">
        <f>+'Scenario 0'!O25/Dashboard!$E$16</f>
        <v/>
      </c>
    </row>
    <row r="15">
      <c r="B15" s="207" t="inlineStr">
        <is>
          <t>Assistant Manager (over 160 units)</t>
        </is>
      </c>
      <c r="C15" s="606">
        <f>+'Scenario 0'!E26</f>
        <v/>
      </c>
      <c r="D15" s="587">
        <f>+'Scenario 0'!F26</f>
        <v/>
      </c>
      <c r="E15" s="587">
        <f>+'Scenario 0'!G26</f>
        <v/>
      </c>
      <c r="F15" s="587">
        <f>+'Scenario 0'!H26</f>
        <v/>
      </c>
      <c r="G15" s="587">
        <f>+'Scenario 0'!I26</f>
        <v/>
      </c>
      <c r="H15" s="587">
        <f>+'Scenario 0'!J26</f>
        <v/>
      </c>
      <c r="I15" s="587">
        <f>+'Scenario 0'!K26</f>
        <v/>
      </c>
      <c r="J15" s="587">
        <f>+'Scenario 0'!L26</f>
        <v/>
      </c>
      <c r="K15" s="587">
        <f>+'Scenario 0'!M26</f>
        <v/>
      </c>
      <c r="L15" s="587">
        <f>+'Scenario 0'!N26</f>
        <v/>
      </c>
      <c r="M15" s="587">
        <f>+'Scenario 0'!O26</f>
        <v/>
      </c>
      <c r="O15" s="207" t="inlineStr">
        <is>
          <t>Assistant Manager (over 160 units)</t>
        </is>
      </c>
      <c r="P15" s="606">
        <f>+'Scenario 0'!E26/Dashboard!$E$16</f>
        <v/>
      </c>
      <c r="Q15" s="587">
        <f>+'Scenario 0'!F26/Dashboard!$E$16</f>
        <v/>
      </c>
      <c r="R15" s="587">
        <f>+'Scenario 0'!G26/Dashboard!$E$16</f>
        <v/>
      </c>
      <c r="S15" s="587">
        <f>+'Scenario 0'!H26/Dashboard!$E$16</f>
        <v/>
      </c>
      <c r="T15" s="587">
        <f>+'Scenario 0'!I26/Dashboard!$E$16</f>
        <v/>
      </c>
      <c r="U15" s="587">
        <f>+'Scenario 0'!J26/Dashboard!$E$16</f>
        <v/>
      </c>
      <c r="V15" s="587">
        <f>+'Scenario 0'!K26/Dashboard!$E$16</f>
        <v/>
      </c>
      <c r="W15" s="587">
        <f>+'Scenario 0'!L26/Dashboard!$E$16</f>
        <v/>
      </c>
      <c r="X15" s="587">
        <f>+'Scenario 0'!M26/Dashboard!$E$16</f>
        <v/>
      </c>
      <c r="Y15" s="587">
        <f>+'Scenario 0'!N26/Dashboard!$E$16</f>
        <v/>
      </c>
      <c r="Z15" s="587">
        <f>+'Scenario 0'!O26/Dashboard!$E$16</f>
        <v/>
      </c>
    </row>
    <row r="16">
      <c r="B16" s="207" t="inlineStr">
        <is>
          <t>Commissions/Bonuses</t>
        </is>
      </c>
      <c r="C16" s="606">
        <f>+'Scenario 0'!E27</f>
        <v/>
      </c>
      <c r="D16" s="587">
        <f>+'Scenario 0'!F27</f>
        <v/>
      </c>
      <c r="E16" s="587">
        <f>+'Scenario 0'!G27</f>
        <v/>
      </c>
      <c r="F16" s="587">
        <f>+'Scenario 0'!H27</f>
        <v/>
      </c>
      <c r="G16" s="587">
        <f>+'Scenario 0'!I27</f>
        <v/>
      </c>
      <c r="H16" s="587">
        <f>+'Scenario 0'!J27</f>
        <v/>
      </c>
      <c r="I16" s="587">
        <f>+'Scenario 0'!K27</f>
        <v/>
      </c>
      <c r="J16" s="587">
        <f>+'Scenario 0'!L27</f>
        <v/>
      </c>
      <c r="K16" s="587">
        <f>+'Scenario 0'!M27</f>
        <v/>
      </c>
      <c r="L16" s="587">
        <f>+'Scenario 0'!N27</f>
        <v/>
      </c>
      <c r="M16" s="587">
        <f>+'Scenario 0'!O27</f>
        <v/>
      </c>
      <c r="O16" s="207" t="inlineStr">
        <is>
          <t>Commissions/Bonuses</t>
        </is>
      </c>
      <c r="P16" s="606">
        <f>+'Scenario 0'!E27/Dashboard!$E$16</f>
        <v/>
      </c>
      <c r="Q16" s="587">
        <f>+'Scenario 0'!F27/Dashboard!$E$16</f>
        <v/>
      </c>
      <c r="R16" s="587">
        <f>+'Scenario 0'!G27/Dashboard!$E$16</f>
        <v/>
      </c>
      <c r="S16" s="587">
        <f>+'Scenario 0'!H27/Dashboard!$E$16</f>
        <v/>
      </c>
      <c r="T16" s="587">
        <f>+'Scenario 0'!I27/Dashboard!$E$16</f>
        <v/>
      </c>
      <c r="U16" s="587">
        <f>+'Scenario 0'!J27/Dashboard!$E$16</f>
        <v/>
      </c>
      <c r="V16" s="587">
        <f>+'Scenario 0'!K27/Dashboard!$E$16</f>
        <v/>
      </c>
      <c r="W16" s="587">
        <f>+'Scenario 0'!L27/Dashboard!$E$16</f>
        <v/>
      </c>
      <c r="X16" s="587">
        <f>+'Scenario 0'!M27/Dashboard!$E$16</f>
        <v/>
      </c>
      <c r="Y16" s="587">
        <f>+'Scenario 0'!N27/Dashboard!$E$16</f>
        <v/>
      </c>
      <c r="Z16" s="587">
        <f>+'Scenario 0'!O27/Dashboard!$E$16</f>
        <v/>
      </c>
    </row>
    <row r="17">
      <c r="B17" s="207" t="inlineStr">
        <is>
          <t>Maintenance Salary</t>
        </is>
      </c>
      <c r="C17" s="606">
        <f>+'Scenario 0'!E28</f>
        <v/>
      </c>
      <c r="D17" s="587">
        <f>+'Scenario 0'!F28</f>
        <v/>
      </c>
      <c r="E17" s="587">
        <f>+'Scenario 0'!G28</f>
        <v/>
      </c>
      <c r="F17" s="587">
        <f>+'Scenario 0'!H28</f>
        <v/>
      </c>
      <c r="G17" s="587">
        <f>+'Scenario 0'!I28</f>
        <v/>
      </c>
      <c r="H17" s="587">
        <f>+'Scenario 0'!J28</f>
        <v/>
      </c>
      <c r="I17" s="587">
        <f>+'Scenario 0'!K28</f>
        <v/>
      </c>
      <c r="J17" s="587">
        <f>+'Scenario 0'!L28</f>
        <v/>
      </c>
      <c r="K17" s="587">
        <f>+'Scenario 0'!M28</f>
        <v/>
      </c>
      <c r="L17" s="587">
        <f>+'Scenario 0'!N28</f>
        <v/>
      </c>
      <c r="M17" s="587">
        <f>+'Scenario 0'!O28</f>
        <v/>
      </c>
      <c r="O17" s="207" t="inlineStr">
        <is>
          <t>Maintenance Salary</t>
        </is>
      </c>
      <c r="P17" s="606">
        <f>+'Scenario 0'!E28/Dashboard!$E$16</f>
        <v/>
      </c>
      <c r="Q17" s="587">
        <f>+'Scenario 0'!F28/Dashboard!$E$16</f>
        <v/>
      </c>
      <c r="R17" s="587">
        <f>+'Scenario 0'!G28/Dashboard!$E$16</f>
        <v/>
      </c>
      <c r="S17" s="587">
        <f>+'Scenario 0'!H28/Dashboard!$E$16</f>
        <v/>
      </c>
      <c r="T17" s="587">
        <f>+'Scenario 0'!I28/Dashboard!$E$16</f>
        <v/>
      </c>
      <c r="U17" s="587">
        <f>+'Scenario 0'!J28/Dashboard!$E$16</f>
        <v/>
      </c>
      <c r="V17" s="587">
        <f>+'Scenario 0'!K28/Dashboard!$E$16</f>
        <v/>
      </c>
      <c r="W17" s="587">
        <f>+'Scenario 0'!L28/Dashboard!$E$16</f>
        <v/>
      </c>
      <c r="X17" s="587">
        <f>+'Scenario 0'!M28/Dashboard!$E$16</f>
        <v/>
      </c>
      <c r="Y17" s="587">
        <f>+'Scenario 0'!N28/Dashboard!$E$16</f>
        <v/>
      </c>
      <c r="Z17" s="587">
        <f>+'Scenario 0'!O28/Dashboard!$E$16</f>
        <v/>
      </c>
    </row>
    <row r="18">
      <c r="B18" s="28" t="inlineStr">
        <is>
          <t>Total Payroll</t>
        </is>
      </c>
      <c r="C18" s="624">
        <f>+'Scenario 0'!E29</f>
        <v/>
      </c>
      <c r="D18" s="625">
        <f>+'Scenario 0'!F29</f>
        <v/>
      </c>
      <c r="E18" s="625">
        <f>+'Scenario 0'!G29</f>
        <v/>
      </c>
      <c r="F18" s="625">
        <f>+'Scenario 0'!H29</f>
        <v/>
      </c>
      <c r="G18" s="625">
        <f>+'Scenario 0'!I29</f>
        <v/>
      </c>
      <c r="H18" s="625">
        <f>+'Scenario 0'!J29</f>
        <v/>
      </c>
      <c r="I18" s="625">
        <f>+'Scenario 0'!K29</f>
        <v/>
      </c>
      <c r="J18" s="625">
        <f>+'Scenario 0'!L29</f>
        <v/>
      </c>
      <c r="K18" s="625">
        <f>+'Scenario 0'!M29</f>
        <v/>
      </c>
      <c r="L18" s="625">
        <f>+'Scenario 0'!N29</f>
        <v/>
      </c>
      <c r="M18" s="625">
        <f>+'Scenario 0'!O29</f>
        <v/>
      </c>
      <c r="O18" s="28" t="inlineStr">
        <is>
          <t>Total Payroll</t>
        </is>
      </c>
      <c r="P18" s="624">
        <f>+'Scenario 0'!E29/Dashboard!$E$16</f>
        <v/>
      </c>
      <c r="Q18" s="625">
        <f>+'Scenario 0'!F29/Dashboard!$E$16</f>
        <v/>
      </c>
      <c r="R18" s="625">
        <f>+'Scenario 0'!G29/Dashboard!$E$16</f>
        <v/>
      </c>
      <c r="S18" s="625">
        <f>+'Scenario 0'!H29/Dashboard!$E$16</f>
        <v/>
      </c>
      <c r="T18" s="625">
        <f>+'Scenario 0'!I29/Dashboard!$E$16</f>
        <v/>
      </c>
      <c r="U18" s="625">
        <f>+'Scenario 0'!J29/Dashboard!$E$16</f>
        <v/>
      </c>
      <c r="V18" s="625">
        <f>+'Scenario 0'!K29/Dashboard!$E$16</f>
        <v/>
      </c>
      <c r="W18" s="625">
        <f>+'Scenario 0'!L29/Dashboard!$E$16</f>
        <v/>
      </c>
      <c r="X18" s="625">
        <f>+'Scenario 0'!M29/Dashboard!$E$16</f>
        <v/>
      </c>
      <c r="Y18" s="625">
        <f>+'Scenario 0'!N29/Dashboard!$E$16</f>
        <v/>
      </c>
      <c r="Z18" s="625">
        <f>+'Scenario 0'!O29/Dashboard!$E$16</f>
        <v/>
      </c>
    </row>
    <row r="19" ht="5.1" customHeight="1">
      <c r="C19" s="592" t="n"/>
      <c r="D19" s="593" t="n"/>
      <c r="E19" s="593" t="n"/>
      <c r="F19" s="593" t="n"/>
      <c r="G19" s="593" t="n"/>
      <c r="H19" s="593" t="n"/>
      <c r="I19" s="593" t="n"/>
      <c r="J19" s="593" t="n"/>
      <c r="K19" s="593" t="n"/>
      <c r="L19" s="593" t="n"/>
      <c r="M19" s="593" t="n"/>
      <c r="P19" s="592" t="n"/>
      <c r="Q19" s="593" t="n"/>
      <c r="R19" s="593" t="n"/>
      <c r="S19" s="593" t="n"/>
      <c r="T19" s="593" t="n"/>
      <c r="U19" s="593" t="n"/>
      <c r="V19" s="593" t="n"/>
      <c r="W19" s="593" t="n"/>
      <c r="X19" s="593" t="n"/>
      <c r="Y19" s="593" t="n"/>
      <c r="Z19" s="593" t="n"/>
    </row>
    <row r="20">
      <c r="B20" s="208" t="inlineStr">
        <is>
          <t>Management Fee</t>
        </is>
      </c>
      <c r="C20" s="248">
        <f>+'Scenario 0'!E31</f>
        <v/>
      </c>
      <c r="D20" s="200">
        <f>+'Scenario 0'!F31</f>
        <v/>
      </c>
      <c r="E20" s="200">
        <f>+'Scenario 0'!G31</f>
        <v/>
      </c>
      <c r="F20" s="200">
        <f>+'Scenario 0'!H31</f>
        <v/>
      </c>
      <c r="G20" s="200">
        <f>+'Scenario 0'!I31</f>
        <v/>
      </c>
      <c r="H20" s="200">
        <f>+'Scenario 0'!J31</f>
        <v/>
      </c>
      <c r="I20" s="200">
        <f>+'Scenario 0'!K31</f>
        <v/>
      </c>
      <c r="J20" s="200">
        <f>+'Scenario 0'!L31</f>
        <v/>
      </c>
      <c r="K20" s="200">
        <f>+'Scenario 0'!M31</f>
        <v/>
      </c>
      <c r="L20" s="200">
        <f>+'Scenario 0'!N31</f>
        <v/>
      </c>
      <c r="M20" s="200">
        <f>+'Scenario 0'!O31</f>
        <v/>
      </c>
      <c r="O20" s="208" t="inlineStr">
        <is>
          <t>Management Fee</t>
        </is>
      </c>
      <c r="P20" s="248">
        <f>+'Scenario 0'!E31/Dashboard!$E$16</f>
        <v/>
      </c>
      <c r="Q20" s="200">
        <f>+'Scenario 0'!F31/Dashboard!$E$16</f>
        <v/>
      </c>
      <c r="R20" s="200">
        <f>+'Scenario 0'!G31/Dashboard!$E$16</f>
        <v/>
      </c>
      <c r="S20" s="200">
        <f>+'Scenario 0'!H31/Dashboard!$E$16</f>
        <v/>
      </c>
      <c r="T20" s="200">
        <f>+'Scenario 0'!I31/Dashboard!$E$16</f>
        <v/>
      </c>
      <c r="U20" s="200">
        <f>+'Scenario 0'!J31/Dashboard!$E$16</f>
        <v/>
      </c>
      <c r="V20" s="200">
        <f>+'Scenario 0'!K31/Dashboard!$E$16</f>
        <v/>
      </c>
      <c r="W20" s="200">
        <f>+'Scenario 0'!L31/Dashboard!$E$16</f>
        <v/>
      </c>
      <c r="X20" s="200">
        <f>+'Scenario 0'!M31/Dashboard!$E$16</f>
        <v/>
      </c>
      <c r="Y20" s="200">
        <f>+'Scenario 0'!N31/Dashboard!$E$16</f>
        <v/>
      </c>
      <c r="Z20" s="200">
        <f>+'Scenario 0'!O31/Dashboard!$E$16</f>
        <v/>
      </c>
    </row>
    <row r="21">
      <c r="B21" s="208" t="inlineStr">
        <is>
          <t>Legal Expense</t>
        </is>
      </c>
      <c r="C21" s="606">
        <f>+'Scenario 0'!E32</f>
        <v/>
      </c>
      <c r="D21" s="591">
        <f>+'Scenario 0'!F32</f>
        <v/>
      </c>
      <c r="E21" s="587">
        <f>+'Scenario 0'!G32</f>
        <v/>
      </c>
      <c r="F21" s="587">
        <f>+'Scenario 0'!H32</f>
        <v/>
      </c>
      <c r="G21" s="587">
        <f>+'Scenario 0'!I32</f>
        <v/>
      </c>
      <c r="H21" s="587">
        <f>+'Scenario 0'!J32</f>
        <v/>
      </c>
      <c r="I21" s="587">
        <f>+'Scenario 0'!K32</f>
        <v/>
      </c>
      <c r="J21" s="587">
        <f>+'Scenario 0'!L32</f>
        <v/>
      </c>
      <c r="K21" s="587">
        <f>+'Scenario 0'!M32</f>
        <v/>
      </c>
      <c r="L21" s="587">
        <f>+'Scenario 0'!N32</f>
        <v/>
      </c>
      <c r="M21" s="587">
        <f>+'Scenario 0'!O32</f>
        <v/>
      </c>
      <c r="O21" s="208" t="inlineStr">
        <is>
          <t>Legal Expense</t>
        </is>
      </c>
      <c r="P21" s="606">
        <f>+'Scenario 0'!E32/Dashboard!$E$16</f>
        <v/>
      </c>
      <c r="Q21" s="591">
        <f>+'Scenario 0'!F32/Dashboard!$E$16</f>
        <v/>
      </c>
      <c r="R21" s="587">
        <f>+'Scenario 0'!G32/Dashboard!$E$16</f>
        <v/>
      </c>
      <c r="S21" s="587">
        <f>+'Scenario 0'!H32/Dashboard!$E$16</f>
        <v/>
      </c>
      <c r="T21" s="587">
        <f>+'Scenario 0'!I32/Dashboard!$E$16</f>
        <v/>
      </c>
      <c r="U21" s="587">
        <f>+'Scenario 0'!J32/Dashboard!$E$16</f>
        <v/>
      </c>
      <c r="V21" s="587">
        <f>+'Scenario 0'!K32/Dashboard!$E$16</f>
        <v/>
      </c>
      <c r="W21" s="587">
        <f>+'Scenario 0'!L32/Dashboard!$E$16</f>
        <v/>
      </c>
      <c r="X21" s="587">
        <f>+'Scenario 0'!M32/Dashboard!$E$16</f>
        <v/>
      </c>
      <c r="Y21" s="587">
        <f>+'Scenario 0'!N32/Dashboard!$E$16</f>
        <v/>
      </c>
      <c r="Z21" s="587">
        <f>+'Scenario 0'!O32/Dashboard!$E$16</f>
        <v/>
      </c>
    </row>
    <row r="22">
      <c r="B22" s="208" t="inlineStr">
        <is>
          <t>Office Expense</t>
        </is>
      </c>
      <c r="C22" s="606">
        <f>+'Scenario 0'!E33</f>
        <v/>
      </c>
      <c r="D22" s="591">
        <f>+'Scenario 0'!F33</f>
        <v/>
      </c>
      <c r="E22" s="587">
        <f>+'Scenario 0'!G33</f>
        <v/>
      </c>
      <c r="F22" s="587">
        <f>+'Scenario 0'!H33</f>
        <v/>
      </c>
      <c r="G22" s="587">
        <f>+'Scenario 0'!I33</f>
        <v/>
      </c>
      <c r="H22" s="587">
        <f>+'Scenario 0'!J33</f>
        <v/>
      </c>
      <c r="I22" s="587">
        <f>+'Scenario 0'!K33</f>
        <v/>
      </c>
      <c r="J22" s="587">
        <f>+'Scenario 0'!L33</f>
        <v/>
      </c>
      <c r="K22" s="587">
        <f>+'Scenario 0'!M33</f>
        <v/>
      </c>
      <c r="L22" s="587">
        <f>+'Scenario 0'!N33</f>
        <v/>
      </c>
      <c r="M22" s="587">
        <f>+'Scenario 0'!O33</f>
        <v/>
      </c>
      <c r="O22" s="208" t="inlineStr">
        <is>
          <t>Office Expense</t>
        </is>
      </c>
      <c r="P22" s="606">
        <f>+'Scenario 0'!E33/Dashboard!$E$16</f>
        <v/>
      </c>
      <c r="Q22" s="591">
        <f>+'Scenario 0'!F33/Dashboard!$E$16</f>
        <v/>
      </c>
      <c r="R22" s="587">
        <f>+'Scenario 0'!G33/Dashboard!$E$16</f>
        <v/>
      </c>
      <c r="S22" s="587">
        <f>+'Scenario 0'!H33/Dashboard!$E$16</f>
        <v/>
      </c>
      <c r="T22" s="587">
        <f>+'Scenario 0'!I33/Dashboard!$E$16</f>
        <v/>
      </c>
      <c r="U22" s="587">
        <f>+'Scenario 0'!J33/Dashboard!$E$16</f>
        <v/>
      </c>
      <c r="V22" s="587">
        <f>+'Scenario 0'!K33/Dashboard!$E$16</f>
        <v/>
      </c>
      <c r="W22" s="587">
        <f>+'Scenario 0'!L33/Dashboard!$E$16</f>
        <v/>
      </c>
      <c r="X22" s="587">
        <f>+'Scenario 0'!M33/Dashboard!$E$16</f>
        <v/>
      </c>
      <c r="Y22" s="587">
        <f>+'Scenario 0'!N33/Dashboard!$E$16</f>
        <v/>
      </c>
      <c r="Z22" s="587">
        <f>+'Scenario 0'!O33/Dashboard!$E$16</f>
        <v/>
      </c>
    </row>
    <row r="23">
      <c r="B23" s="208" t="inlineStr">
        <is>
          <t>Travel Cost</t>
        </is>
      </c>
      <c r="C23" s="606">
        <f>+'Scenario 0'!E34</f>
        <v/>
      </c>
      <c r="D23" s="591">
        <f>+'Scenario 0'!F34</f>
        <v/>
      </c>
      <c r="E23" s="587">
        <f>+'Scenario 0'!G34</f>
        <v/>
      </c>
      <c r="F23" s="587">
        <f>+'Scenario 0'!H34</f>
        <v/>
      </c>
      <c r="G23" s="587">
        <f>+'Scenario 0'!I34</f>
        <v/>
      </c>
      <c r="H23" s="587">
        <f>+'Scenario 0'!J34</f>
        <v/>
      </c>
      <c r="I23" s="587">
        <f>+'Scenario 0'!K34</f>
        <v/>
      </c>
      <c r="J23" s="587">
        <f>+'Scenario 0'!L34</f>
        <v/>
      </c>
      <c r="K23" s="587">
        <f>+'Scenario 0'!M34</f>
        <v/>
      </c>
      <c r="L23" s="587">
        <f>+'Scenario 0'!N34</f>
        <v/>
      </c>
      <c r="M23" s="587">
        <f>+'Scenario 0'!O34</f>
        <v/>
      </c>
      <c r="O23" s="208" t="inlineStr">
        <is>
          <t>Travel Cost</t>
        </is>
      </c>
      <c r="P23" s="606">
        <f>+'Scenario 0'!E34/Dashboard!$E$16</f>
        <v/>
      </c>
      <c r="Q23" s="591">
        <f>+'Scenario 0'!F34/Dashboard!$E$16</f>
        <v/>
      </c>
      <c r="R23" s="587">
        <f>+'Scenario 0'!G34/Dashboard!$E$16</f>
        <v/>
      </c>
      <c r="S23" s="587">
        <f>+'Scenario 0'!H34/Dashboard!$E$16</f>
        <v/>
      </c>
      <c r="T23" s="587">
        <f>+'Scenario 0'!I34/Dashboard!$E$16</f>
        <v/>
      </c>
      <c r="U23" s="587">
        <f>+'Scenario 0'!J34/Dashboard!$E$16</f>
        <v/>
      </c>
      <c r="V23" s="587">
        <f>+'Scenario 0'!K34/Dashboard!$E$16</f>
        <v/>
      </c>
      <c r="W23" s="587">
        <f>+'Scenario 0'!L34/Dashboard!$E$16</f>
        <v/>
      </c>
      <c r="X23" s="587">
        <f>+'Scenario 0'!M34/Dashboard!$E$16</f>
        <v/>
      </c>
      <c r="Y23" s="587">
        <f>+'Scenario 0'!N34/Dashboard!$E$16</f>
        <v/>
      </c>
      <c r="Z23" s="587">
        <f>+'Scenario 0'!O34/Dashboard!$E$16</f>
        <v/>
      </c>
    </row>
    <row r="24">
      <c r="B24" s="208" t="inlineStr">
        <is>
          <t>Audit Expense</t>
        </is>
      </c>
      <c r="C24" s="606">
        <f>+'Scenario 0'!E35</f>
        <v/>
      </c>
      <c r="D24" s="591">
        <f>+'Scenario 0'!F35</f>
        <v/>
      </c>
      <c r="E24" s="587">
        <f>+'Scenario 0'!G35</f>
        <v/>
      </c>
      <c r="F24" s="587">
        <f>+'Scenario 0'!H35</f>
        <v/>
      </c>
      <c r="G24" s="587">
        <f>+'Scenario 0'!I35</f>
        <v/>
      </c>
      <c r="H24" s="587">
        <f>+'Scenario 0'!J35</f>
        <v/>
      </c>
      <c r="I24" s="587">
        <f>+'Scenario 0'!K35</f>
        <v/>
      </c>
      <c r="J24" s="587">
        <f>+'Scenario 0'!L35</f>
        <v/>
      </c>
      <c r="K24" s="587">
        <f>+'Scenario 0'!M35</f>
        <v/>
      </c>
      <c r="L24" s="587">
        <f>+'Scenario 0'!N35</f>
        <v/>
      </c>
      <c r="M24" s="587">
        <f>+'Scenario 0'!O35</f>
        <v/>
      </c>
      <c r="O24" s="208" t="inlineStr">
        <is>
          <t>Audit Expense</t>
        </is>
      </c>
      <c r="P24" s="606">
        <f>+'Scenario 0'!E35/Dashboard!$E$16</f>
        <v/>
      </c>
      <c r="Q24" s="591">
        <f>+'Scenario 0'!F35/Dashboard!$E$16</f>
        <v/>
      </c>
      <c r="R24" s="587">
        <f>+'Scenario 0'!G35/Dashboard!$E$16</f>
        <v/>
      </c>
      <c r="S24" s="587">
        <f>+'Scenario 0'!H35/Dashboard!$E$16</f>
        <v/>
      </c>
      <c r="T24" s="587">
        <f>+'Scenario 0'!I35/Dashboard!$E$16</f>
        <v/>
      </c>
      <c r="U24" s="587">
        <f>+'Scenario 0'!J35/Dashboard!$E$16</f>
        <v/>
      </c>
      <c r="V24" s="587">
        <f>+'Scenario 0'!K35/Dashboard!$E$16</f>
        <v/>
      </c>
      <c r="W24" s="587">
        <f>+'Scenario 0'!L35/Dashboard!$E$16</f>
        <v/>
      </c>
      <c r="X24" s="587">
        <f>+'Scenario 0'!M35/Dashboard!$E$16</f>
        <v/>
      </c>
      <c r="Y24" s="587">
        <f>+'Scenario 0'!N35/Dashboard!$E$16</f>
        <v/>
      </c>
      <c r="Z24" s="587">
        <f>+'Scenario 0'!O35/Dashboard!$E$16</f>
        <v/>
      </c>
    </row>
    <row r="25">
      <c r="B25" s="208" t="inlineStr">
        <is>
          <t>Advertising</t>
        </is>
      </c>
      <c r="C25" s="606">
        <f>+'Scenario 0'!E36</f>
        <v/>
      </c>
      <c r="D25" s="591">
        <f>+'Scenario 0'!F36</f>
        <v/>
      </c>
      <c r="E25" s="587">
        <f>+'Scenario 0'!G36</f>
        <v/>
      </c>
      <c r="F25" s="587">
        <f>+'Scenario 0'!H36</f>
        <v/>
      </c>
      <c r="G25" s="587">
        <f>+'Scenario 0'!I36</f>
        <v/>
      </c>
      <c r="H25" s="587">
        <f>+'Scenario 0'!J36</f>
        <v/>
      </c>
      <c r="I25" s="587">
        <f>+'Scenario 0'!K36</f>
        <v/>
      </c>
      <c r="J25" s="587">
        <f>+'Scenario 0'!L36</f>
        <v/>
      </c>
      <c r="K25" s="587">
        <f>+'Scenario 0'!M36</f>
        <v/>
      </c>
      <c r="L25" s="587">
        <f>+'Scenario 0'!N36</f>
        <v/>
      </c>
      <c r="M25" s="587">
        <f>+'Scenario 0'!O36</f>
        <v/>
      </c>
      <c r="O25" s="208" t="inlineStr">
        <is>
          <t>Advertising</t>
        </is>
      </c>
      <c r="P25" s="606">
        <f>+'Scenario 0'!E36/Dashboard!$E$16</f>
        <v/>
      </c>
      <c r="Q25" s="591">
        <f>+'Scenario 0'!F36/Dashboard!$E$16</f>
        <v/>
      </c>
      <c r="R25" s="587">
        <f>+'Scenario 0'!G36/Dashboard!$E$16</f>
        <v/>
      </c>
      <c r="S25" s="587">
        <f>+'Scenario 0'!H36/Dashboard!$E$16</f>
        <v/>
      </c>
      <c r="T25" s="587">
        <f>+'Scenario 0'!I36/Dashboard!$E$16</f>
        <v/>
      </c>
      <c r="U25" s="587">
        <f>+'Scenario 0'!J36/Dashboard!$E$16</f>
        <v/>
      </c>
      <c r="V25" s="587">
        <f>+'Scenario 0'!K36/Dashboard!$E$16</f>
        <v/>
      </c>
      <c r="W25" s="587">
        <f>+'Scenario 0'!L36/Dashboard!$E$16</f>
        <v/>
      </c>
      <c r="X25" s="587">
        <f>+'Scenario 0'!M36/Dashboard!$E$16</f>
        <v/>
      </c>
      <c r="Y25" s="587">
        <f>+'Scenario 0'!N36/Dashboard!$E$16</f>
        <v/>
      </c>
      <c r="Z25" s="587">
        <f>+'Scenario 0'!O36/Dashboard!$E$16</f>
        <v/>
      </c>
    </row>
    <row r="26">
      <c r="B26" s="208" t="inlineStr">
        <is>
          <t>Training Charge</t>
        </is>
      </c>
      <c r="C26" s="606">
        <f>+'Scenario 0'!E37</f>
        <v/>
      </c>
      <c r="D26" s="591">
        <f>+'Scenario 0'!F37</f>
        <v/>
      </c>
      <c r="E26" s="587">
        <f>+'Scenario 0'!G37</f>
        <v/>
      </c>
      <c r="F26" s="587">
        <f>+'Scenario 0'!H37</f>
        <v/>
      </c>
      <c r="G26" s="587">
        <f>+'Scenario 0'!I37</f>
        <v/>
      </c>
      <c r="H26" s="587">
        <f>+'Scenario 0'!J37</f>
        <v/>
      </c>
      <c r="I26" s="587">
        <f>+'Scenario 0'!K37</f>
        <v/>
      </c>
      <c r="J26" s="587">
        <f>+'Scenario 0'!L37</f>
        <v/>
      </c>
      <c r="K26" s="587">
        <f>+'Scenario 0'!M37</f>
        <v/>
      </c>
      <c r="L26" s="587">
        <f>+'Scenario 0'!N37</f>
        <v/>
      </c>
      <c r="M26" s="587">
        <f>+'Scenario 0'!O37</f>
        <v/>
      </c>
      <c r="O26" s="208" t="inlineStr">
        <is>
          <t>Training Charge</t>
        </is>
      </c>
      <c r="P26" s="606">
        <f>+'Scenario 0'!E37/Dashboard!$E$16</f>
        <v/>
      </c>
      <c r="Q26" s="591">
        <f>+'Scenario 0'!F37/Dashboard!$E$16</f>
        <v/>
      </c>
      <c r="R26" s="587">
        <f>+'Scenario 0'!G37/Dashboard!$E$16</f>
        <v/>
      </c>
      <c r="S26" s="587">
        <f>+'Scenario 0'!H37/Dashboard!$E$16</f>
        <v/>
      </c>
      <c r="T26" s="587">
        <f>+'Scenario 0'!I37/Dashboard!$E$16</f>
        <v/>
      </c>
      <c r="U26" s="587">
        <f>+'Scenario 0'!J37/Dashboard!$E$16</f>
        <v/>
      </c>
      <c r="V26" s="587">
        <f>+'Scenario 0'!K37/Dashboard!$E$16</f>
        <v/>
      </c>
      <c r="W26" s="587">
        <f>+'Scenario 0'!L37/Dashboard!$E$16</f>
        <v/>
      </c>
      <c r="X26" s="587">
        <f>+'Scenario 0'!M37/Dashboard!$E$16</f>
        <v/>
      </c>
      <c r="Y26" s="587">
        <f>+'Scenario 0'!N37/Dashboard!$E$16</f>
        <v/>
      </c>
      <c r="Z26" s="587">
        <f>+'Scenario 0'!O37/Dashboard!$E$16</f>
        <v/>
      </c>
    </row>
    <row r="27">
      <c r="B27" s="208" t="inlineStr">
        <is>
          <t>Bank Charges</t>
        </is>
      </c>
      <c r="C27" s="606">
        <f>+'Scenario 0'!E38</f>
        <v/>
      </c>
      <c r="D27" s="591">
        <f>+'Scenario 0'!F38</f>
        <v/>
      </c>
      <c r="E27" s="587">
        <f>+'Scenario 0'!G38</f>
        <v/>
      </c>
      <c r="F27" s="587">
        <f>+'Scenario 0'!H38</f>
        <v/>
      </c>
      <c r="G27" s="587">
        <f>+'Scenario 0'!I38</f>
        <v/>
      </c>
      <c r="H27" s="587">
        <f>+'Scenario 0'!J38</f>
        <v/>
      </c>
      <c r="I27" s="587">
        <f>+'Scenario 0'!K38</f>
        <v/>
      </c>
      <c r="J27" s="587">
        <f>+'Scenario 0'!L38</f>
        <v/>
      </c>
      <c r="K27" s="587">
        <f>+'Scenario 0'!M38</f>
        <v/>
      </c>
      <c r="L27" s="587">
        <f>+'Scenario 0'!N38</f>
        <v/>
      </c>
      <c r="M27" s="587">
        <f>+'Scenario 0'!O38</f>
        <v/>
      </c>
      <c r="O27" s="208" t="inlineStr">
        <is>
          <t>Bank Charges</t>
        </is>
      </c>
      <c r="P27" s="606">
        <f>+'Scenario 0'!E38/Dashboard!$E$16</f>
        <v/>
      </c>
      <c r="Q27" s="591">
        <f>+'Scenario 0'!F38/Dashboard!$E$16</f>
        <v/>
      </c>
      <c r="R27" s="587">
        <f>+'Scenario 0'!G38/Dashboard!$E$16</f>
        <v/>
      </c>
      <c r="S27" s="587">
        <f>+'Scenario 0'!H38/Dashboard!$E$16</f>
        <v/>
      </c>
      <c r="T27" s="587">
        <f>+'Scenario 0'!I38/Dashboard!$E$16</f>
        <v/>
      </c>
      <c r="U27" s="587">
        <f>+'Scenario 0'!J38/Dashboard!$E$16</f>
        <v/>
      </c>
      <c r="V27" s="587">
        <f>+'Scenario 0'!K38/Dashboard!$E$16</f>
        <v/>
      </c>
      <c r="W27" s="587">
        <f>+'Scenario 0'!L38/Dashboard!$E$16</f>
        <v/>
      </c>
      <c r="X27" s="587">
        <f>+'Scenario 0'!M38/Dashboard!$E$16</f>
        <v/>
      </c>
      <c r="Y27" s="587">
        <f>+'Scenario 0'!N38/Dashboard!$E$16</f>
        <v/>
      </c>
      <c r="Z27" s="587">
        <f>+'Scenario 0'!O38/Dashboard!$E$16</f>
        <v/>
      </c>
    </row>
    <row r="28">
      <c r="B28" s="208" t="inlineStr">
        <is>
          <t>Bookkeeping</t>
        </is>
      </c>
      <c r="C28" s="606">
        <f>+'Scenario 0'!E39</f>
        <v/>
      </c>
      <c r="D28" s="591">
        <f>+'Scenario 0'!F39</f>
        <v/>
      </c>
      <c r="E28" s="587">
        <f>+'Scenario 0'!G39</f>
        <v/>
      </c>
      <c r="F28" s="587">
        <f>+'Scenario 0'!H39</f>
        <v/>
      </c>
      <c r="G28" s="587">
        <f>+'Scenario 0'!I39</f>
        <v/>
      </c>
      <c r="H28" s="587">
        <f>+'Scenario 0'!J39</f>
        <v/>
      </c>
      <c r="I28" s="587">
        <f>+'Scenario 0'!K39</f>
        <v/>
      </c>
      <c r="J28" s="587">
        <f>+'Scenario 0'!L39</f>
        <v/>
      </c>
      <c r="K28" s="587">
        <f>+'Scenario 0'!M39</f>
        <v/>
      </c>
      <c r="L28" s="587">
        <f>+'Scenario 0'!N39</f>
        <v/>
      </c>
      <c r="M28" s="587">
        <f>+'Scenario 0'!O39</f>
        <v/>
      </c>
      <c r="O28" s="208" t="inlineStr">
        <is>
          <t>Bookkeeping</t>
        </is>
      </c>
      <c r="P28" s="606">
        <f>+'Scenario 0'!E39/Dashboard!$E$16</f>
        <v/>
      </c>
      <c r="Q28" s="591">
        <f>+'Scenario 0'!F39/Dashboard!$E$16</f>
        <v/>
      </c>
      <c r="R28" s="587">
        <f>+'Scenario 0'!G39/Dashboard!$E$16</f>
        <v/>
      </c>
      <c r="S28" s="587">
        <f>+'Scenario 0'!H39/Dashboard!$E$16</f>
        <v/>
      </c>
      <c r="T28" s="587">
        <f>+'Scenario 0'!I39/Dashboard!$E$16</f>
        <v/>
      </c>
      <c r="U28" s="587">
        <f>+'Scenario 0'!J39/Dashboard!$E$16</f>
        <v/>
      </c>
      <c r="V28" s="587">
        <f>+'Scenario 0'!K39/Dashboard!$E$16</f>
        <v/>
      </c>
      <c r="W28" s="587">
        <f>+'Scenario 0'!L39/Dashboard!$E$16</f>
        <v/>
      </c>
      <c r="X28" s="587">
        <f>+'Scenario 0'!M39/Dashboard!$E$16</f>
        <v/>
      </c>
      <c r="Y28" s="587">
        <f>+'Scenario 0'!N39/Dashboard!$E$16</f>
        <v/>
      </c>
      <c r="Z28" s="587">
        <f>+'Scenario 0'!O39/Dashboard!$E$16</f>
        <v/>
      </c>
    </row>
    <row r="29">
      <c r="B29" s="208" t="inlineStr">
        <is>
          <t>Payroll Service</t>
        </is>
      </c>
      <c r="C29" s="606">
        <f>+'Scenario 0'!E40</f>
        <v/>
      </c>
      <c r="D29" s="591">
        <f>+'Scenario 0'!F40</f>
        <v/>
      </c>
      <c r="E29" s="587">
        <f>+'Scenario 0'!G40</f>
        <v/>
      </c>
      <c r="F29" s="587">
        <f>+'Scenario 0'!H40</f>
        <v/>
      </c>
      <c r="G29" s="587">
        <f>+'Scenario 0'!I40</f>
        <v/>
      </c>
      <c r="H29" s="587">
        <f>+'Scenario 0'!J40</f>
        <v/>
      </c>
      <c r="I29" s="587">
        <f>+'Scenario 0'!K40</f>
        <v/>
      </c>
      <c r="J29" s="587">
        <f>+'Scenario 0'!L40</f>
        <v/>
      </c>
      <c r="K29" s="587">
        <f>+'Scenario 0'!M40</f>
        <v/>
      </c>
      <c r="L29" s="587">
        <f>+'Scenario 0'!N40</f>
        <v/>
      </c>
      <c r="M29" s="587">
        <f>+'Scenario 0'!O40</f>
        <v/>
      </c>
      <c r="O29" s="208" t="inlineStr">
        <is>
          <t>Payroll Service</t>
        </is>
      </c>
      <c r="P29" s="606">
        <f>+'Scenario 0'!E40/Dashboard!$E$16</f>
        <v/>
      </c>
      <c r="Q29" s="591">
        <f>+'Scenario 0'!F40/Dashboard!$E$16</f>
        <v/>
      </c>
      <c r="R29" s="587">
        <f>+'Scenario 0'!G40/Dashboard!$E$16</f>
        <v/>
      </c>
      <c r="S29" s="587">
        <f>+'Scenario 0'!H40/Dashboard!$E$16</f>
        <v/>
      </c>
      <c r="T29" s="587">
        <f>+'Scenario 0'!I40/Dashboard!$E$16</f>
        <v/>
      </c>
      <c r="U29" s="587">
        <f>+'Scenario 0'!J40/Dashboard!$E$16</f>
        <v/>
      </c>
      <c r="V29" s="587">
        <f>+'Scenario 0'!K40/Dashboard!$E$16</f>
        <v/>
      </c>
      <c r="W29" s="587">
        <f>+'Scenario 0'!L40/Dashboard!$E$16</f>
        <v/>
      </c>
      <c r="X29" s="587">
        <f>+'Scenario 0'!M40/Dashboard!$E$16</f>
        <v/>
      </c>
      <c r="Y29" s="587">
        <f>+'Scenario 0'!N40/Dashboard!$E$16</f>
        <v/>
      </c>
      <c r="Z29" s="587">
        <f>+'Scenario 0'!O40/Dashboard!$E$16</f>
        <v/>
      </c>
    </row>
    <row r="30">
      <c r="B30" s="208" t="inlineStr">
        <is>
          <t>Manager Unit</t>
        </is>
      </c>
      <c r="C30" s="606">
        <f>+'Scenario 0'!E41</f>
        <v/>
      </c>
      <c r="D30" s="591">
        <f>+'Scenario 0'!F41</f>
        <v/>
      </c>
      <c r="E30" s="587">
        <f>+'Scenario 0'!G41</f>
        <v/>
      </c>
      <c r="F30" s="587">
        <f>+'Scenario 0'!H41</f>
        <v/>
      </c>
      <c r="G30" s="587">
        <f>+'Scenario 0'!I41</f>
        <v/>
      </c>
      <c r="H30" s="587">
        <f>+'Scenario 0'!J41</f>
        <v/>
      </c>
      <c r="I30" s="587">
        <f>+'Scenario 0'!K41</f>
        <v/>
      </c>
      <c r="J30" s="587">
        <f>+'Scenario 0'!L41</f>
        <v/>
      </c>
      <c r="K30" s="587">
        <f>+'Scenario 0'!M41</f>
        <v/>
      </c>
      <c r="L30" s="587">
        <f>+'Scenario 0'!N41</f>
        <v/>
      </c>
      <c r="M30" s="587">
        <f>+'Scenario 0'!O41</f>
        <v/>
      </c>
      <c r="O30" s="208" t="inlineStr">
        <is>
          <t>Manager Unit</t>
        </is>
      </c>
      <c r="P30" s="606">
        <f>+'Scenario 0'!E41/Dashboard!$E$16</f>
        <v/>
      </c>
      <c r="Q30" s="591">
        <f>+'Scenario 0'!F41/Dashboard!$E$16</f>
        <v/>
      </c>
      <c r="R30" s="587">
        <f>+'Scenario 0'!G41/Dashboard!$E$16</f>
        <v/>
      </c>
      <c r="S30" s="587">
        <f>+'Scenario 0'!H41/Dashboard!$E$16</f>
        <v/>
      </c>
      <c r="T30" s="587">
        <f>+'Scenario 0'!I41/Dashboard!$E$16</f>
        <v/>
      </c>
      <c r="U30" s="587">
        <f>+'Scenario 0'!J41/Dashboard!$E$16</f>
        <v/>
      </c>
      <c r="V30" s="587">
        <f>+'Scenario 0'!K41/Dashboard!$E$16</f>
        <v/>
      </c>
      <c r="W30" s="587">
        <f>+'Scenario 0'!L41/Dashboard!$E$16</f>
        <v/>
      </c>
      <c r="X30" s="587">
        <f>+'Scenario 0'!M41/Dashboard!$E$16</f>
        <v/>
      </c>
      <c r="Y30" s="587">
        <f>+'Scenario 0'!N41/Dashboard!$E$16</f>
        <v/>
      </c>
      <c r="Z30" s="587">
        <f>+'Scenario 0'!O41/Dashboard!$E$16</f>
        <v/>
      </c>
    </row>
    <row r="31">
      <c r="B31" s="208" t="inlineStr">
        <is>
          <t>Misc. Admin Expenses</t>
        </is>
      </c>
      <c r="C31" s="606">
        <f>+'Scenario 0'!E42</f>
        <v/>
      </c>
      <c r="D31" s="591">
        <f>+'Scenario 0'!F42</f>
        <v/>
      </c>
      <c r="E31" s="587">
        <f>+'Scenario 0'!G42</f>
        <v/>
      </c>
      <c r="F31" s="587">
        <f>+'Scenario 0'!H42</f>
        <v/>
      </c>
      <c r="G31" s="587">
        <f>+'Scenario 0'!I42</f>
        <v/>
      </c>
      <c r="H31" s="587">
        <f>+'Scenario 0'!J42</f>
        <v/>
      </c>
      <c r="I31" s="587">
        <f>+'Scenario 0'!K42</f>
        <v/>
      </c>
      <c r="J31" s="587">
        <f>+'Scenario 0'!L42</f>
        <v/>
      </c>
      <c r="K31" s="587">
        <f>+'Scenario 0'!M42</f>
        <v/>
      </c>
      <c r="L31" s="587">
        <f>+'Scenario 0'!N42</f>
        <v/>
      </c>
      <c r="M31" s="587">
        <f>+'Scenario 0'!O42</f>
        <v/>
      </c>
      <c r="O31" s="208" t="inlineStr">
        <is>
          <t>Misc. Admin Expenses</t>
        </is>
      </c>
      <c r="P31" s="606">
        <f>+'Scenario 0'!E42/Dashboard!$E$16</f>
        <v/>
      </c>
      <c r="Q31" s="591">
        <f>+'Scenario 0'!F42/Dashboard!$E$16</f>
        <v/>
      </c>
      <c r="R31" s="587">
        <f>+'Scenario 0'!G42/Dashboard!$E$16</f>
        <v/>
      </c>
      <c r="S31" s="587">
        <f>+'Scenario 0'!H42/Dashboard!$E$16</f>
        <v/>
      </c>
      <c r="T31" s="587">
        <f>+'Scenario 0'!I42/Dashboard!$E$16</f>
        <v/>
      </c>
      <c r="U31" s="587">
        <f>+'Scenario 0'!J42/Dashboard!$E$16</f>
        <v/>
      </c>
      <c r="V31" s="587">
        <f>+'Scenario 0'!K42/Dashboard!$E$16</f>
        <v/>
      </c>
      <c r="W31" s="587">
        <f>+'Scenario 0'!L42/Dashboard!$E$16</f>
        <v/>
      </c>
      <c r="X31" s="587">
        <f>+'Scenario 0'!M42/Dashboard!$E$16</f>
        <v/>
      </c>
      <c r="Y31" s="587">
        <f>+'Scenario 0'!N42/Dashboard!$E$16</f>
        <v/>
      </c>
      <c r="Z31" s="587">
        <f>+'Scenario 0'!O42/Dashboard!$E$16</f>
        <v/>
      </c>
    </row>
    <row r="32">
      <c r="B32" s="28" t="inlineStr">
        <is>
          <t>Total Admin Expenses</t>
        </is>
      </c>
      <c r="C32" s="624">
        <f>+'Scenario 0'!E43</f>
        <v/>
      </c>
      <c r="D32" s="625">
        <f>+'Scenario 0'!F43</f>
        <v/>
      </c>
      <c r="E32" s="625">
        <f>+'Scenario 0'!G43</f>
        <v/>
      </c>
      <c r="F32" s="625">
        <f>+'Scenario 0'!H43</f>
        <v/>
      </c>
      <c r="G32" s="625">
        <f>+'Scenario 0'!I43</f>
        <v/>
      </c>
      <c r="H32" s="625">
        <f>+'Scenario 0'!J43</f>
        <v/>
      </c>
      <c r="I32" s="625">
        <f>+'Scenario 0'!K43</f>
        <v/>
      </c>
      <c r="J32" s="625">
        <f>+'Scenario 0'!L43</f>
        <v/>
      </c>
      <c r="K32" s="625">
        <f>+'Scenario 0'!M43</f>
        <v/>
      </c>
      <c r="L32" s="625">
        <f>+'Scenario 0'!N43</f>
        <v/>
      </c>
      <c r="M32" s="625">
        <f>+'Scenario 0'!O43</f>
        <v/>
      </c>
      <c r="O32" s="28" t="inlineStr">
        <is>
          <t>Total Admin Expenses</t>
        </is>
      </c>
      <c r="P32" s="624">
        <f>+'Scenario 0'!E43/Dashboard!$E$16</f>
        <v/>
      </c>
      <c r="Q32" s="625">
        <f>+'Scenario 0'!F43/Dashboard!$E$16</f>
        <v/>
      </c>
      <c r="R32" s="625">
        <f>+'Scenario 0'!G43/Dashboard!$E$16</f>
        <v/>
      </c>
      <c r="S32" s="625">
        <f>+'Scenario 0'!H43/Dashboard!$E$16</f>
        <v/>
      </c>
      <c r="T32" s="625">
        <f>+'Scenario 0'!I43/Dashboard!$E$16</f>
        <v/>
      </c>
      <c r="U32" s="625">
        <f>+'Scenario 0'!J43/Dashboard!$E$16</f>
        <v/>
      </c>
      <c r="V32" s="625">
        <f>+'Scenario 0'!K43/Dashboard!$E$16</f>
        <v/>
      </c>
      <c r="W32" s="625">
        <f>+'Scenario 0'!L43/Dashboard!$E$16</f>
        <v/>
      </c>
      <c r="X32" s="625">
        <f>+'Scenario 0'!M43/Dashboard!$E$16</f>
        <v/>
      </c>
      <c r="Y32" s="625">
        <f>+'Scenario 0'!N43/Dashboard!$E$16</f>
        <v/>
      </c>
      <c r="Z32" s="625">
        <f>+'Scenario 0'!O43/Dashboard!$E$16</f>
        <v/>
      </c>
    </row>
    <row r="33" ht="5.1" customHeight="1">
      <c r="C33" s="592" t="n"/>
      <c r="D33" s="593" t="n"/>
      <c r="E33" s="593" t="n"/>
      <c r="F33" s="593" t="n"/>
      <c r="G33" s="593" t="n"/>
      <c r="H33" s="593" t="n"/>
      <c r="I33" s="593" t="n"/>
      <c r="J33" s="593" t="n"/>
      <c r="K33" s="593" t="n"/>
      <c r="L33" s="593" t="n"/>
      <c r="M33" s="593" t="n"/>
      <c r="P33" s="592" t="n"/>
      <c r="Q33" s="593" t="n"/>
      <c r="R33" s="593" t="n"/>
      <c r="S33" s="593" t="n"/>
      <c r="T33" s="593" t="n"/>
      <c r="U33" s="593" t="n"/>
      <c r="V33" s="593" t="n"/>
      <c r="W33" s="593" t="n"/>
      <c r="X33" s="593" t="n"/>
      <c r="Y33" s="593" t="n"/>
      <c r="Z33" s="593" t="n"/>
    </row>
    <row r="34">
      <c r="B34" s="206" t="inlineStr">
        <is>
          <t>Electric</t>
        </is>
      </c>
      <c r="C34" s="248">
        <f>+'Scenario 0'!E45</f>
        <v/>
      </c>
      <c r="D34" s="200">
        <f>+'Scenario 0'!F45</f>
        <v/>
      </c>
      <c r="E34" s="587">
        <f>+'Scenario 0'!G45</f>
        <v/>
      </c>
      <c r="F34" s="587">
        <f>+'Scenario 0'!H45</f>
        <v/>
      </c>
      <c r="G34" s="587">
        <f>+'Scenario 0'!I45</f>
        <v/>
      </c>
      <c r="H34" s="587">
        <f>+'Scenario 0'!J45</f>
        <v/>
      </c>
      <c r="I34" s="587">
        <f>+'Scenario 0'!K45</f>
        <v/>
      </c>
      <c r="J34" s="587">
        <f>+'Scenario 0'!L45</f>
        <v/>
      </c>
      <c r="K34" s="587">
        <f>+'Scenario 0'!M45</f>
        <v/>
      </c>
      <c r="L34" s="587">
        <f>+'Scenario 0'!N45</f>
        <v/>
      </c>
      <c r="M34" s="587">
        <f>+'Scenario 0'!O45</f>
        <v/>
      </c>
      <c r="O34" s="206" t="inlineStr">
        <is>
          <t>Electric</t>
        </is>
      </c>
      <c r="P34" s="248">
        <f>+'Scenario 0'!E45/Dashboard!$E$16</f>
        <v/>
      </c>
      <c r="Q34" s="200">
        <f>+'Scenario 0'!F45/Dashboard!$E$16</f>
        <v/>
      </c>
      <c r="R34" s="587">
        <f>+'Scenario 0'!G45/Dashboard!$E$16</f>
        <v/>
      </c>
      <c r="S34" s="587">
        <f>+'Scenario 0'!H45/Dashboard!$E$16</f>
        <v/>
      </c>
      <c r="T34" s="587">
        <f>+'Scenario 0'!I45/Dashboard!$E$16</f>
        <v/>
      </c>
      <c r="U34" s="587">
        <f>+'Scenario 0'!J45/Dashboard!$E$16</f>
        <v/>
      </c>
      <c r="V34" s="587">
        <f>+'Scenario 0'!K45/Dashboard!$E$16</f>
        <v/>
      </c>
      <c r="W34" s="587">
        <f>+'Scenario 0'!L45/Dashboard!$E$16</f>
        <v/>
      </c>
      <c r="X34" s="587">
        <f>+'Scenario 0'!M45/Dashboard!$E$16</f>
        <v/>
      </c>
      <c r="Y34" s="587">
        <f>+'Scenario 0'!N45/Dashboard!$E$16</f>
        <v/>
      </c>
      <c r="Z34" s="587">
        <f>+'Scenario 0'!O45/Dashboard!$E$16</f>
        <v/>
      </c>
    </row>
    <row r="35">
      <c r="B35" s="207" t="inlineStr">
        <is>
          <t>Electric - Vacant</t>
        </is>
      </c>
      <c r="C35" s="606">
        <f>+'Scenario 0'!E46</f>
        <v/>
      </c>
      <c r="D35" s="591">
        <f>+'Scenario 0'!F46</f>
        <v/>
      </c>
      <c r="E35" s="587">
        <f>+'Scenario 0'!G46</f>
        <v/>
      </c>
      <c r="F35" s="587">
        <f>+'Scenario 0'!H46</f>
        <v/>
      </c>
      <c r="G35" s="587">
        <f>+'Scenario 0'!I46</f>
        <v/>
      </c>
      <c r="H35" s="587">
        <f>+'Scenario 0'!J46</f>
        <v/>
      </c>
      <c r="I35" s="587">
        <f>+'Scenario 0'!K46</f>
        <v/>
      </c>
      <c r="J35" s="587">
        <f>+'Scenario 0'!L46</f>
        <v/>
      </c>
      <c r="K35" s="587">
        <f>+'Scenario 0'!M46</f>
        <v/>
      </c>
      <c r="L35" s="587">
        <f>+'Scenario 0'!N46</f>
        <v/>
      </c>
      <c r="M35" s="587">
        <f>+'Scenario 0'!O46</f>
        <v/>
      </c>
      <c r="O35" s="207" t="inlineStr">
        <is>
          <t>Electric - Vacant</t>
        </is>
      </c>
      <c r="P35" s="606">
        <f>+'Scenario 0'!E46/Dashboard!$E$16</f>
        <v/>
      </c>
      <c r="Q35" s="591">
        <f>+'Scenario 0'!F46/Dashboard!$E$16</f>
        <v/>
      </c>
      <c r="R35" s="587">
        <f>+'Scenario 0'!G46/Dashboard!$E$16</f>
        <v/>
      </c>
      <c r="S35" s="587">
        <f>+'Scenario 0'!H46/Dashboard!$E$16</f>
        <v/>
      </c>
      <c r="T35" s="587">
        <f>+'Scenario 0'!I46/Dashboard!$E$16</f>
        <v/>
      </c>
      <c r="U35" s="587">
        <f>+'Scenario 0'!J46/Dashboard!$E$16</f>
        <v/>
      </c>
      <c r="V35" s="587">
        <f>+'Scenario 0'!K46/Dashboard!$E$16</f>
        <v/>
      </c>
      <c r="W35" s="587">
        <f>+'Scenario 0'!L46/Dashboard!$E$16</f>
        <v/>
      </c>
      <c r="X35" s="587">
        <f>+'Scenario 0'!M46/Dashboard!$E$16</f>
        <v/>
      </c>
      <c r="Y35" s="587">
        <f>+'Scenario 0'!N46/Dashboard!$E$16</f>
        <v/>
      </c>
      <c r="Z35" s="587">
        <f>+'Scenario 0'!O46/Dashboard!$E$16</f>
        <v/>
      </c>
    </row>
    <row r="36">
      <c r="B36" s="207" t="inlineStr">
        <is>
          <t>Water &amp; Sewer</t>
        </is>
      </c>
      <c r="C36" s="606">
        <f>+'Scenario 0'!E47</f>
        <v/>
      </c>
      <c r="D36" s="591">
        <f>+'Scenario 0'!F47</f>
        <v/>
      </c>
      <c r="E36" s="587">
        <f>+'Scenario 0'!G47</f>
        <v/>
      </c>
      <c r="F36" s="587">
        <f>+'Scenario 0'!H47</f>
        <v/>
      </c>
      <c r="G36" s="587">
        <f>+'Scenario 0'!I47</f>
        <v/>
      </c>
      <c r="H36" s="587">
        <f>+'Scenario 0'!J47</f>
        <v/>
      </c>
      <c r="I36" s="587">
        <f>+'Scenario 0'!K47</f>
        <v/>
      </c>
      <c r="J36" s="587">
        <f>+'Scenario 0'!L47</f>
        <v/>
      </c>
      <c r="K36" s="587">
        <f>+'Scenario 0'!M47</f>
        <v/>
      </c>
      <c r="L36" s="587">
        <f>+'Scenario 0'!N47</f>
        <v/>
      </c>
      <c r="M36" s="587">
        <f>+'Scenario 0'!O47</f>
        <v/>
      </c>
      <c r="O36" s="207" t="inlineStr">
        <is>
          <t>Water &amp; Sewer</t>
        </is>
      </c>
      <c r="P36" s="606">
        <f>+'Scenario 0'!E47/Dashboard!$E$16</f>
        <v/>
      </c>
      <c r="Q36" s="591">
        <f>+'Scenario 0'!F47/Dashboard!$E$16</f>
        <v/>
      </c>
      <c r="R36" s="587">
        <f>+'Scenario 0'!G47/Dashboard!$E$16</f>
        <v/>
      </c>
      <c r="S36" s="587">
        <f>+'Scenario 0'!H47/Dashboard!$E$16</f>
        <v/>
      </c>
      <c r="T36" s="587">
        <f>+'Scenario 0'!I47/Dashboard!$E$16</f>
        <v/>
      </c>
      <c r="U36" s="587">
        <f>+'Scenario 0'!J47/Dashboard!$E$16</f>
        <v/>
      </c>
      <c r="V36" s="587">
        <f>+'Scenario 0'!K47/Dashboard!$E$16</f>
        <v/>
      </c>
      <c r="W36" s="587">
        <f>+'Scenario 0'!L47/Dashboard!$E$16</f>
        <v/>
      </c>
      <c r="X36" s="587">
        <f>+'Scenario 0'!M47/Dashboard!$E$16</f>
        <v/>
      </c>
      <c r="Y36" s="587">
        <f>+'Scenario 0'!N47/Dashboard!$E$16</f>
        <v/>
      </c>
      <c r="Z36" s="587">
        <f>+'Scenario 0'!O47/Dashboard!$E$16</f>
        <v/>
      </c>
    </row>
    <row r="37">
      <c r="B37" s="207" t="inlineStr">
        <is>
          <t>Gas</t>
        </is>
      </c>
      <c r="C37" s="606">
        <f>+'Scenario 0'!E48</f>
        <v/>
      </c>
      <c r="D37" s="591">
        <f>+'Scenario 0'!F48</f>
        <v/>
      </c>
      <c r="E37" s="587">
        <f>+'Scenario 0'!G48</f>
        <v/>
      </c>
      <c r="F37" s="587">
        <f>+'Scenario 0'!H48</f>
        <v/>
      </c>
      <c r="G37" s="587">
        <f>+'Scenario 0'!I48</f>
        <v/>
      </c>
      <c r="H37" s="587">
        <f>+'Scenario 0'!J48</f>
        <v/>
      </c>
      <c r="I37" s="587">
        <f>+'Scenario 0'!K48</f>
        <v/>
      </c>
      <c r="J37" s="587">
        <f>+'Scenario 0'!L48</f>
        <v/>
      </c>
      <c r="K37" s="587">
        <f>+'Scenario 0'!M48</f>
        <v/>
      </c>
      <c r="L37" s="587">
        <f>+'Scenario 0'!N48</f>
        <v/>
      </c>
      <c r="M37" s="587">
        <f>+'Scenario 0'!O48</f>
        <v/>
      </c>
      <c r="O37" s="207" t="inlineStr">
        <is>
          <t>Gas</t>
        </is>
      </c>
      <c r="P37" s="606">
        <f>+'Scenario 0'!E48/Dashboard!$E$16</f>
        <v/>
      </c>
      <c r="Q37" s="591">
        <f>+'Scenario 0'!F48/Dashboard!$E$16</f>
        <v/>
      </c>
      <c r="R37" s="587">
        <f>+'Scenario 0'!G48/Dashboard!$E$16</f>
        <v/>
      </c>
      <c r="S37" s="587">
        <f>+'Scenario 0'!H48/Dashboard!$E$16</f>
        <v/>
      </c>
      <c r="T37" s="587">
        <f>+'Scenario 0'!I48/Dashboard!$E$16</f>
        <v/>
      </c>
      <c r="U37" s="587">
        <f>+'Scenario 0'!J48/Dashboard!$E$16</f>
        <v/>
      </c>
      <c r="V37" s="587">
        <f>+'Scenario 0'!K48/Dashboard!$E$16</f>
        <v/>
      </c>
      <c r="W37" s="587">
        <f>+'Scenario 0'!L48/Dashboard!$E$16</f>
        <v/>
      </c>
      <c r="X37" s="587">
        <f>+'Scenario 0'!M48/Dashboard!$E$16</f>
        <v/>
      </c>
      <c r="Y37" s="587">
        <f>+'Scenario 0'!N48/Dashboard!$E$16</f>
        <v/>
      </c>
      <c r="Z37" s="587">
        <f>+'Scenario 0'!O48/Dashboard!$E$16</f>
        <v/>
      </c>
    </row>
    <row r="38">
      <c r="B38" s="207" t="inlineStr">
        <is>
          <t>Cable</t>
        </is>
      </c>
      <c r="C38" s="606">
        <f>+'Scenario 0'!E49</f>
        <v/>
      </c>
      <c r="D38" s="591">
        <f>+'Scenario 0'!F49</f>
        <v/>
      </c>
      <c r="E38" s="587">
        <f>+'Scenario 0'!G49</f>
        <v/>
      </c>
      <c r="F38" s="587">
        <f>+'Scenario 0'!H49</f>
        <v/>
      </c>
      <c r="G38" s="587">
        <f>+'Scenario 0'!I49</f>
        <v/>
      </c>
      <c r="H38" s="587">
        <f>+'Scenario 0'!J49</f>
        <v/>
      </c>
      <c r="I38" s="587">
        <f>+'Scenario 0'!K49</f>
        <v/>
      </c>
      <c r="J38" s="587">
        <f>+'Scenario 0'!L49</f>
        <v/>
      </c>
      <c r="K38" s="587">
        <f>+'Scenario 0'!M49</f>
        <v/>
      </c>
      <c r="L38" s="587">
        <f>+'Scenario 0'!N49</f>
        <v/>
      </c>
      <c r="M38" s="587">
        <f>+'Scenario 0'!O49</f>
        <v/>
      </c>
      <c r="O38" s="207" t="inlineStr">
        <is>
          <t>Cable</t>
        </is>
      </c>
      <c r="P38" s="606">
        <f>+'Scenario 0'!E49/Dashboard!$E$16</f>
        <v/>
      </c>
      <c r="Q38" s="591">
        <f>+'Scenario 0'!F49/Dashboard!$E$16</f>
        <v/>
      </c>
      <c r="R38" s="587">
        <f>+'Scenario 0'!G49/Dashboard!$E$16</f>
        <v/>
      </c>
      <c r="S38" s="587">
        <f>+'Scenario 0'!H49/Dashboard!$E$16</f>
        <v/>
      </c>
      <c r="T38" s="587">
        <f>+'Scenario 0'!I49/Dashboard!$E$16</f>
        <v/>
      </c>
      <c r="U38" s="587">
        <f>+'Scenario 0'!J49/Dashboard!$E$16</f>
        <v/>
      </c>
      <c r="V38" s="587">
        <f>+'Scenario 0'!K49/Dashboard!$E$16</f>
        <v/>
      </c>
      <c r="W38" s="587">
        <f>+'Scenario 0'!L49/Dashboard!$E$16</f>
        <v/>
      </c>
      <c r="X38" s="587">
        <f>+'Scenario 0'!M49/Dashboard!$E$16</f>
        <v/>
      </c>
      <c r="Y38" s="587">
        <f>+'Scenario 0'!N49/Dashboard!$E$16</f>
        <v/>
      </c>
      <c r="Z38" s="587">
        <f>+'Scenario 0'!O49/Dashboard!$E$16</f>
        <v/>
      </c>
    </row>
    <row r="39">
      <c r="B39" s="207" t="inlineStr">
        <is>
          <t>Trash/Garbage</t>
        </is>
      </c>
      <c r="C39" s="606">
        <f>+'Scenario 0'!E50</f>
        <v/>
      </c>
      <c r="D39" s="591">
        <f>+'Scenario 0'!F50</f>
        <v/>
      </c>
      <c r="E39" s="587">
        <f>+'Scenario 0'!G50</f>
        <v/>
      </c>
      <c r="F39" s="587">
        <f>+'Scenario 0'!H50</f>
        <v/>
      </c>
      <c r="G39" s="587">
        <f>+'Scenario 0'!I50</f>
        <v/>
      </c>
      <c r="H39" s="587">
        <f>+'Scenario 0'!J50</f>
        <v/>
      </c>
      <c r="I39" s="587">
        <f>+'Scenario 0'!K50</f>
        <v/>
      </c>
      <c r="J39" s="587">
        <f>+'Scenario 0'!L50</f>
        <v/>
      </c>
      <c r="K39" s="587">
        <f>+'Scenario 0'!M50</f>
        <v/>
      </c>
      <c r="L39" s="587">
        <f>+'Scenario 0'!N50</f>
        <v/>
      </c>
      <c r="M39" s="587">
        <f>+'Scenario 0'!O50</f>
        <v/>
      </c>
      <c r="O39" s="207" t="inlineStr">
        <is>
          <t>Trash/Garbage</t>
        </is>
      </c>
      <c r="P39" s="606">
        <f>+'Scenario 0'!E50/Dashboard!$E$16</f>
        <v/>
      </c>
      <c r="Q39" s="591">
        <f>+'Scenario 0'!F50/Dashboard!$E$16</f>
        <v/>
      </c>
      <c r="R39" s="587">
        <f>+'Scenario 0'!G50/Dashboard!$E$16</f>
        <v/>
      </c>
      <c r="S39" s="587">
        <f>+'Scenario 0'!H50/Dashboard!$E$16</f>
        <v/>
      </c>
      <c r="T39" s="587">
        <f>+'Scenario 0'!I50/Dashboard!$E$16</f>
        <v/>
      </c>
      <c r="U39" s="587">
        <f>+'Scenario 0'!J50/Dashboard!$E$16</f>
        <v/>
      </c>
      <c r="V39" s="587">
        <f>+'Scenario 0'!K50/Dashboard!$E$16</f>
        <v/>
      </c>
      <c r="W39" s="587">
        <f>+'Scenario 0'!L50/Dashboard!$E$16</f>
        <v/>
      </c>
      <c r="X39" s="587">
        <f>+'Scenario 0'!M50/Dashboard!$E$16</f>
        <v/>
      </c>
      <c r="Y39" s="587">
        <f>+'Scenario 0'!N50/Dashboard!$E$16</f>
        <v/>
      </c>
      <c r="Z39" s="587">
        <f>+'Scenario 0'!O50/Dashboard!$E$16</f>
        <v/>
      </c>
    </row>
    <row r="40">
      <c r="B40" s="28" t="inlineStr">
        <is>
          <t>Total Utility Expenses</t>
        </is>
      </c>
      <c r="C40" s="624">
        <f>+'Scenario 0'!E51</f>
        <v/>
      </c>
      <c r="D40" s="625">
        <f>+'Scenario 0'!F51</f>
        <v/>
      </c>
      <c r="E40" s="625">
        <f>+'Scenario 0'!G51</f>
        <v/>
      </c>
      <c r="F40" s="625">
        <f>+'Scenario 0'!H51</f>
        <v/>
      </c>
      <c r="G40" s="625">
        <f>+'Scenario 0'!I51</f>
        <v/>
      </c>
      <c r="H40" s="625">
        <f>+'Scenario 0'!J51</f>
        <v/>
      </c>
      <c r="I40" s="625">
        <f>+'Scenario 0'!K51</f>
        <v/>
      </c>
      <c r="J40" s="625">
        <f>+'Scenario 0'!L51</f>
        <v/>
      </c>
      <c r="K40" s="625">
        <f>+'Scenario 0'!M51</f>
        <v/>
      </c>
      <c r="L40" s="625">
        <f>+'Scenario 0'!N51</f>
        <v/>
      </c>
      <c r="M40" s="625">
        <f>+'Scenario 0'!O51</f>
        <v/>
      </c>
      <c r="O40" s="28" t="inlineStr">
        <is>
          <t>Total Utility Expenses</t>
        </is>
      </c>
      <c r="P40" s="624">
        <f>+'Scenario 0'!E51/Dashboard!$E$16</f>
        <v/>
      </c>
      <c r="Q40" s="625">
        <f>+'Scenario 0'!F51/Dashboard!$E$16</f>
        <v/>
      </c>
      <c r="R40" s="625">
        <f>+'Scenario 0'!G51/Dashboard!$E$16</f>
        <v/>
      </c>
      <c r="S40" s="625">
        <f>+'Scenario 0'!H51/Dashboard!$E$16</f>
        <v/>
      </c>
      <c r="T40" s="625">
        <f>+'Scenario 0'!I51/Dashboard!$E$16</f>
        <v/>
      </c>
      <c r="U40" s="625">
        <f>+'Scenario 0'!J51/Dashboard!$E$16</f>
        <v/>
      </c>
      <c r="V40" s="625">
        <f>+'Scenario 0'!K51/Dashboard!$E$16</f>
        <v/>
      </c>
      <c r="W40" s="625">
        <f>+'Scenario 0'!L51/Dashboard!$E$16</f>
        <v/>
      </c>
      <c r="X40" s="625">
        <f>+'Scenario 0'!M51/Dashboard!$E$16</f>
        <v/>
      </c>
      <c r="Y40" s="625">
        <f>+'Scenario 0'!N51/Dashboard!$E$16</f>
        <v/>
      </c>
      <c r="Z40" s="625">
        <f>+'Scenario 0'!O51/Dashboard!$E$16</f>
        <v/>
      </c>
    </row>
    <row r="41" ht="5.1" customHeight="1">
      <c r="C41" s="592" t="n"/>
      <c r="D41" s="593" t="n"/>
      <c r="E41" s="593" t="n"/>
      <c r="F41" s="593" t="n"/>
      <c r="G41" s="593" t="n"/>
      <c r="H41" s="593" t="n"/>
      <c r="I41" s="593" t="n"/>
      <c r="J41" s="593" t="n"/>
      <c r="K41" s="593" t="n"/>
      <c r="L41" s="593" t="n"/>
      <c r="M41" s="593" t="n"/>
      <c r="P41" s="592" t="n"/>
      <c r="Q41" s="593" t="n"/>
      <c r="R41" s="593" t="n"/>
      <c r="S41" s="593" t="n"/>
      <c r="T41" s="593" t="n"/>
      <c r="U41" s="593" t="n"/>
      <c r="V41" s="593" t="n"/>
      <c r="W41" s="593" t="n"/>
      <c r="X41" s="593" t="n"/>
      <c r="Y41" s="593" t="n"/>
      <c r="Z41" s="593" t="n"/>
    </row>
    <row r="42">
      <c r="B42" s="206" t="inlineStr">
        <is>
          <t>In-House R&amp;M</t>
        </is>
      </c>
      <c r="C42" s="248">
        <f>+'Scenario 0'!E53</f>
        <v/>
      </c>
      <c r="D42" s="200">
        <f>+'Scenario 0'!F53</f>
        <v/>
      </c>
      <c r="E42" s="200">
        <f>+'Scenario 0'!G53</f>
        <v/>
      </c>
      <c r="F42" s="200">
        <f>+'Scenario 0'!H53</f>
        <v/>
      </c>
      <c r="G42" s="200">
        <f>+'Scenario 0'!I53</f>
        <v/>
      </c>
      <c r="H42" s="200">
        <f>+'Scenario 0'!J53</f>
        <v/>
      </c>
      <c r="I42" s="200">
        <f>+'Scenario 0'!K53</f>
        <v/>
      </c>
      <c r="J42" s="200">
        <f>+'Scenario 0'!L53</f>
        <v/>
      </c>
      <c r="K42" s="200">
        <f>+'Scenario 0'!M53</f>
        <v/>
      </c>
      <c r="L42" s="200">
        <f>+'Scenario 0'!N53</f>
        <v/>
      </c>
      <c r="M42" s="200">
        <f>+'Scenario 0'!O53</f>
        <v/>
      </c>
      <c r="O42" s="206" t="inlineStr">
        <is>
          <t>In-House R&amp;M</t>
        </is>
      </c>
      <c r="P42" s="248">
        <f>+'Scenario 0'!E53/Dashboard!$E$16</f>
        <v/>
      </c>
      <c r="Q42" s="200">
        <f>+'Scenario 0'!F53/Dashboard!$E$16</f>
        <v/>
      </c>
      <c r="R42" s="200">
        <f>+'Scenario 0'!G53/Dashboard!$E$16</f>
        <v/>
      </c>
      <c r="S42" s="200">
        <f>+'Scenario 0'!H53/Dashboard!$E$16</f>
        <v/>
      </c>
      <c r="T42" s="200">
        <f>+'Scenario 0'!I53/Dashboard!$E$16</f>
        <v/>
      </c>
      <c r="U42" s="200">
        <f>+'Scenario 0'!J53/Dashboard!$E$16</f>
        <v/>
      </c>
      <c r="V42" s="200">
        <f>+'Scenario 0'!K53/Dashboard!$E$16</f>
        <v/>
      </c>
      <c r="W42" s="200">
        <f>+'Scenario 0'!L53/Dashboard!$E$16</f>
        <v/>
      </c>
      <c r="X42" s="200">
        <f>+'Scenario 0'!M53/Dashboard!$E$16</f>
        <v/>
      </c>
      <c r="Y42" s="200">
        <f>+'Scenario 0'!N53/Dashboard!$E$16</f>
        <v/>
      </c>
      <c r="Z42" s="200">
        <f>+'Scenario 0'!O53/Dashboard!$E$16</f>
        <v/>
      </c>
    </row>
    <row r="43">
      <c r="B43" s="207" t="inlineStr">
        <is>
          <t>Turnover</t>
        </is>
      </c>
      <c r="C43" s="606">
        <f>+'Scenario 0'!E54</f>
        <v/>
      </c>
      <c r="D43" s="591">
        <f>+'Scenario 0'!F54</f>
        <v/>
      </c>
      <c r="E43" s="587">
        <f>+'Scenario 0'!G54</f>
        <v/>
      </c>
      <c r="F43" s="587">
        <f>+'Scenario 0'!H54</f>
        <v/>
      </c>
      <c r="G43" s="587">
        <f>+'Scenario 0'!I54</f>
        <v/>
      </c>
      <c r="H43" s="587">
        <f>+'Scenario 0'!J54</f>
        <v/>
      </c>
      <c r="I43" s="587">
        <f>+'Scenario 0'!K54</f>
        <v/>
      </c>
      <c r="J43" s="587">
        <f>+'Scenario 0'!L54</f>
        <v/>
      </c>
      <c r="K43" s="587">
        <f>+'Scenario 0'!M54</f>
        <v/>
      </c>
      <c r="L43" s="587">
        <f>+'Scenario 0'!N54</f>
        <v/>
      </c>
      <c r="M43" s="587">
        <f>+'Scenario 0'!O54</f>
        <v/>
      </c>
      <c r="O43" s="207" t="inlineStr">
        <is>
          <t>Turnover</t>
        </is>
      </c>
      <c r="P43" s="606">
        <f>+'Scenario 0'!E54/Dashboard!$E$16</f>
        <v/>
      </c>
      <c r="Q43" s="591">
        <f>+'Scenario 0'!F54/Dashboard!$E$16</f>
        <v/>
      </c>
      <c r="R43" s="587">
        <f>+'Scenario 0'!G54/Dashboard!$E$16</f>
        <v/>
      </c>
      <c r="S43" s="587">
        <f>+'Scenario 0'!H54/Dashboard!$E$16</f>
        <v/>
      </c>
      <c r="T43" s="587">
        <f>+'Scenario 0'!I54/Dashboard!$E$16</f>
        <v/>
      </c>
      <c r="U43" s="587">
        <f>+'Scenario 0'!J54/Dashboard!$E$16</f>
        <v/>
      </c>
      <c r="V43" s="587">
        <f>+'Scenario 0'!K54/Dashboard!$E$16</f>
        <v/>
      </c>
      <c r="W43" s="587">
        <f>+'Scenario 0'!L54/Dashboard!$E$16</f>
        <v/>
      </c>
      <c r="X43" s="587">
        <f>+'Scenario 0'!M54/Dashboard!$E$16</f>
        <v/>
      </c>
      <c r="Y43" s="587">
        <f>+'Scenario 0'!N54/Dashboard!$E$16</f>
        <v/>
      </c>
      <c r="Z43" s="587">
        <f>+'Scenario 0'!O54/Dashboard!$E$16</f>
        <v/>
      </c>
    </row>
    <row r="44">
      <c r="B44" s="207" t="inlineStr">
        <is>
          <t>Supplies</t>
        </is>
      </c>
      <c r="C44" s="606">
        <f>+'Scenario 0'!E55</f>
        <v/>
      </c>
      <c r="D44" s="591">
        <f>+'Scenario 0'!F55</f>
        <v/>
      </c>
      <c r="E44" s="587">
        <f>+'Scenario 0'!G55</f>
        <v/>
      </c>
      <c r="F44" s="587">
        <f>+'Scenario 0'!H55</f>
        <v/>
      </c>
      <c r="G44" s="587">
        <f>+'Scenario 0'!I55</f>
        <v/>
      </c>
      <c r="H44" s="587">
        <f>+'Scenario 0'!J55</f>
        <v/>
      </c>
      <c r="I44" s="587">
        <f>+'Scenario 0'!K55</f>
        <v/>
      </c>
      <c r="J44" s="587">
        <f>+'Scenario 0'!L55</f>
        <v/>
      </c>
      <c r="K44" s="587">
        <f>+'Scenario 0'!M55</f>
        <v/>
      </c>
      <c r="L44" s="587">
        <f>+'Scenario 0'!N55</f>
        <v/>
      </c>
      <c r="M44" s="587">
        <f>+'Scenario 0'!O55</f>
        <v/>
      </c>
      <c r="O44" s="207" t="inlineStr">
        <is>
          <t>Supplies</t>
        </is>
      </c>
      <c r="P44" s="606">
        <f>+'Scenario 0'!E55/Dashboard!$E$16</f>
        <v/>
      </c>
      <c r="Q44" s="591">
        <f>+'Scenario 0'!F55/Dashboard!$E$16</f>
        <v/>
      </c>
      <c r="R44" s="587">
        <f>+'Scenario 0'!G55/Dashboard!$E$16</f>
        <v/>
      </c>
      <c r="S44" s="587">
        <f>+'Scenario 0'!H55/Dashboard!$E$16</f>
        <v/>
      </c>
      <c r="T44" s="587">
        <f>+'Scenario 0'!I55/Dashboard!$E$16</f>
        <v/>
      </c>
      <c r="U44" s="587">
        <f>+'Scenario 0'!J55/Dashboard!$E$16</f>
        <v/>
      </c>
      <c r="V44" s="587">
        <f>+'Scenario 0'!K55/Dashboard!$E$16</f>
        <v/>
      </c>
      <c r="W44" s="587">
        <f>+'Scenario 0'!L55/Dashboard!$E$16</f>
        <v/>
      </c>
      <c r="X44" s="587">
        <f>+'Scenario 0'!M55/Dashboard!$E$16</f>
        <v/>
      </c>
      <c r="Y44" s="587">
        <f>+'Scenario 0'!N55/Dashboard!$E$16</f>
        <v/>
      </c>
      <c r="Z44" s="587">
        <f>+'Scenario 0'!O55/Dashboard!$E$16</f>
        <v/>
      </c>
    </row>
    <row r="45">
      <c r="B45" s="207" t="inlineStr">
        <is>
          <t>Appliance/Electrical</t>
        </is>
      </c>
      <c r="C45" s="606">
        <f>+'Scenario 0'!E56</f>
        <v/>
      </c>
      <c r="D45" s="591">
        <f>+'Scenario 0'!F56</f>
        <v/>
      </c>
      <c r="E45" s="587">
        <f>+'Scenario 0'!G56</f>
        <v/>
      </c>
      <c r="F45" s="587">
        <f>+'Scenario 0'!H56</f>
        <v/>
      </c>
      <c r="G45" s="587">
        <f>+'Scenario 0'!I56</f>
        <v/>
      </c>
      <c r="H45" s="587">
        <f>+'Scenario 0'!J56</f>
        <v/>
      </c>
      <c r="I45" s="587">
        <f>+'Scenario 0'!K56</f>
        <v/>
      </c>
      <c r="J45" s="587">
        <f>+'Scenario 0'!L56</f>
        <v/>
      </c>
      <c r="K45" s="587">
        <f>+'Scenario 0'!M56</f>
        <v/>
      </c>
      <c r="L45" s="587">
        <f>+'Scenario 0'!N56</f>
        <v/>
      </c>
      <c r="M45" s="587">
        <f>+'Scenario 0'!O56</f>
        <v/>
      </c>
      <c r="O45" s="207" t="inlineStr">
        <is>
          <t>Appliance/Electrical</t>
        </is>
      </c>
      <c r="P45" s="606">
        <f>+'Scenario 0'!E56/Dashboard!$E$16</f>
        <v/>
      </c>
      <c r="Q45" s="591">
        <f>+'Scenario 0'!F56/Dashboard!$E$16</f>
        <v/>
      </c>
      <c r="R45" s="587">
        <f>+'Scenario 0'!G56/Dashboard!$E$16</f>
        <v/>
      </c>
      <c r="S45" s="587">
        <f>+'Scenario 0'!H56/Dashboard!$E$16</f>
        <v/>
      </c>
      <c r="T45" s="587">
        <f>+'Scenario 0'!I56/Dashboard!$E$16</f>
        <v/>
      </c>
      <c r="U45" s="587">
        <f>+'Scenario 0'!J56/Dashboard!$E$16</f>
        <v/>
      </c>
      <c r="V45" s="587">
        <f>+'Scenario 0'!K56/Dashboard!$E$16</f>
        <v/>
      </c>
      <c r="W45" s="587">
        <f>+'Scenario 0'!L56/Dashboard!$E$16</f>
        <v/>
      </c>
      <c r="X45" s="587">
        <f>+'Scenario 0'!M56/Dashboard!$E$16</f>
        <v/>
      </c>
      <c r="Y45" s="587">
        <f>+'Scenario 0'!N56/Dashboard!$E$16</f>
        <v/>
      </c>
      <c r="Z45" s="587">
        <f>+'Scenario 0'!O56/Dashboard!$E$16</f>
        <v/>
      </c>
    </row>
    <row r="46">
      <c r="B46" s="207" t="inlineStr">
        <is>
          <t>HVAC &amp; Plumbing</t>
        </is>
      </c>
      <c r="C46" s="606">
        <f>+'Scenario 0'!E57</f>
        <v/>
      </c>
      <c r="D46" s="591">
        <f>+'Scenario 0'!F57</f>
        <v/>
      </c>
      <c r="E46" s="587">
        <f>+'Scenario 0'!G57</f>
        <v/>
      </c>
      <c r="F46" s="587">
        <f>+'Scenario 0'!H57</f>
        <v/>
      </c>
      <c r="G46" s="587">
        <f>+'Scenario 0'!I57</f>
        <v/>
      </c>
      <c r="H46" s="587">
        <f>+'Scenario 0'!J57</f>
        <v/>
      </c>
      <c r="I46" s="587">
        <f>+'Scenario 0'!K57</f>
        <v/>
      </c>
      <c r="J46" s="587">
        <f>+'Scenario 0'!L57</f>
        <v/>
      </c>
      <c r="K46" s="587">
        <f>+'Scenario 0'!M57</f>
        <v/>
      </c>
      <c r="L46" s="587">
        <f>+'Scenario 0'!N57</f>
        <v/>
      </c>
      <c r="M46" s="587">
        <f>+'Scenario 0'!O57</f>
        <v/>
      </c>
      <c r="O46" s="207" t="inlineStr">
        <is>
          <t>HVAC &amp; Plumbing</t>
        </is>
      </c>
      <c r="P46" s="606">
        <f>+'Scenario 0'!E57/Dashboard!$E$16</f>
        <v/>
      </c>
      <c r="Q46" s="591">
        <f>+'Scenario 0'!F57/Dashboard!$E$16</f>
        <v/>
      </c>
      <c r="R46" s="587">
        <f>+'Scenario 0'!G57/Dashboard!$E$16</f>
        <v/>
      </c>
      <c r="S46" s="587">
        <f>+'Scenario 0'!H57/Dashboard!$E$16</f>
        <v/>
      </c>
      <c r="T46" s="587">
        <f>+'Scenario 0'!I57/Dashboard!$E$16</f>
        <v/>
      </c>
      <c r="U46" s="587">
        <f>+'Scenario 0'!J57/Dashboard!$E$16</f>
        <v/>
      </c>
      <c r="V46" s="587">
        <f>+'Scenario 0'!K57/Dashboard!$E$16</f>
        <v/>
      </c>
      <c r="W46" s="587">
        <f>+'Scenario 0'!L57/Dashboard!$E$16</f>
        <v/>
      </c>
      <c r="X46" s="587">
        <f>+'Scenario 0'!M57/Dashboard!$E$16</f>
        <v/>
      </c>
      <c r="Y46" s="587">
        <f>+'Scenario 0'!N57/Dashboard!$E$16</f>
        <v/>
      </c>
      <c r="Z46" s="587">
        <f>+'Scenario 0'!O57/Dashboard!$E$16</f>
        <v/>
      </c>
    </row>
    <row r="47">
      <c r="B47" s="207" t="inlineStr">
        <is>
          <t>Rent Concessions</t>
        </is>
      </c>
      <c r="C47" s="606">
        <f>+'Scenario 0'!E58</f>
        <v/>
      </c>
      <c r="D47" s="591">
        <f>+'Scenario 0'!F58</f>
        <v/>
      </c>
      <c r="E47" s="587">
        <f>+'Scenario 0'!G58</f>
        <v/>
      </c>
      <c r="F47" s="587">
        <f>+'Scenario 0'!H58</f>
        <v/>
      </c>
      <c r="G47" s="587">
        <f>+'Scenario 0'!I58</f>
        <v/>
      </c>
      <c r="H47" s="587">
        <f>+'Scenario 0'!J58</f>
        <v/>
      </c>
      <c r="I47" s="587">
        <f>+'Scenario 0'!K58</f>
        <v/>
      </c>
      <c r="J47" s="587">
        <f>+'Scenario 0'!L58</f>
        <v/>
      </c>
      <c r="K47" s="587">
        <f>+'Scenario 0'!M58</f>
        <v/>
      </c>
      <c r="L47" s="587">
        <f>+'Scenario 0'!N58</f>
        <v/>
      </c>
      <c r="M47" s="587">
        <f>+'Scenario 0'!O58</f>
        <v/>
      </c>
      <c r="O47" s="207" t="inlineStr">
        <is>
          <t>Rent Concessions</t>
        </is>
      </c>
      <c r="P47" s="606">
        <f>+'Scenario 0'!E58/Dashboard!$E$16</f>
        <v/>
      </c>
      <c r="Q47" s="591">
        <f>+'Scenario 0'!F58/Dashboard!$E$16</f>
        <v/>
      </c>
      <c r="R47" s="587">
        <f>+'Scenario 0'!G58/Dashboard!$E$16</f>
        <v/>
      </c>
      <c r="S47" s="587">
        <f>+'Scenario 0'!H58/Dashboard!$E$16</f>
        <v/>
      </c>
      <c r="T47" s="587">
        <f>+'Scenario 0'!I58/Dashboard!$E$16</f>
        <v/>
      </c>
      <c r="U47" s="587">
        <f>+'Scenario 0'!J58/Dashboard!$E$16</f>
        <v/>
      </c>
      <c r="V47" s="587">
        <f>+'Scenario 0'!K58/Dashboard!$E$16</f>
        <v/>
      </c>
      <c r="W47" s="587">
        <f>+'Scenario 0'!L58/Dashboard!$E$16</f>
        <v/>
      </c>
      <c r="X47" s="587">
        <f>+'Scenario 0'!M58/Dashboard!$E$16</f>
        <v/>
      </c>
      <c r="Y47" s="587">
        <f>+'Scenario 0'!N58/Dashboard!$E$16</f>
        <v/>
      </c>
      <c r="Z47" s="587">
        <f>+'Scenario 0'!O58/Dashboard!$E$16</f>
        <v/>
      </c>
    </row>
    <row r="48">
      <c r="B48" s="28" t="inlineStr">
        <is>
          <t>Total Operating and Maint.</t>
        </is>
      </c>
      <c r="C48" s="624">
        <f>+'Scenario 0'!E59</f>
        <v/>
      </c>
      <c r="D48" s="625">
        <f>+'Scenario 0'!F59</f>
        <v/>
      </c>
      <c r="E48" s="625">
        <f>+'Scenario 0'!G59</f>
        <v/>
      </c>
      <c r="F48" s="625">
        <f>+'Scenario 0'!H59</f>
        <v/>
      </c>
      <c r="G48" s="625">
        <f>+'Scenario 0'!I59</f>
        <v/>
      </c>
      <c r="H48" s="625">
        <f>+'Scenario 0'!J59</f>
        <v/>
      </c>
      <c r="I48" s="625">
        <f>+'Scenario 0'!K59</f>
        <v/>
      </c>
      <c r="J48" s="625">
        <f>+'Scenario 0'!L59</f>
        <v/>
      </c>
      <c r="K48" s="625">
        <f>+'Scenario 0'!M59</f>
        <v/>
      </c>
      <c r="L48" s="625">
        <f>+'Scenario 0'!N59</f>
        <v/>
      </c>
      <c r="M48" s="625">
        <f>+'Scenario 0'!O59</f>
        <v/>
      </c>
      <c r="O48" s="28" t="inlineStr">
        <is>
          <t>Total Operating and Maint.</t>
        </is>
      </c>
      <c r="P48" s="624">
        <f>+'Scenario 0'!E59/Dashboard!$E$16</f>
        <v/>
      </c>
      <c r="Q48" s="625">
        <f>+'Scenario 0'!F59/Dashboard!$E$16</f>
        <v/>
      </c>
      <c r="R48" s="625">
        <f>+'Scenario 0'!G59/Dashboard!$E$16</f>
        <v/>
      </c>
      <c r="S48" s="625">
        <f>+'Scenario 0'!H59/Dashboard!$E$16</f>
        <v/>
      </c>
      <c r="T48" s="625">
        <f>+'Scenario 0'!I59/Dashboard!$E$16</f>
        <v/>
      </c>
      <c r="U48" s="625">
        <f>+'Scenario 0'!J59/Dashboard!$E$16</f>
        <v/>
      </c>
      <c r="V48" s="625">
        <f>+'Scenario 0'!K59/Dashboard!$E$16</f>
        <v/>
      </c>
      <c r="W48" s="625">
        <f>+'Scenario 0'!L59/Dashboard!$E$16</f>
        <v/>
      </c>
      <c r="X48" s="625">
        <f>+'Scenario 0'!M59/Dashboard!$E$16</f>
        <v/>
      </c>
      <c r="Y48" s="625">
        <f>+'Scenario 0'!N59/Dashboard!$E$16</f>
        <v/>
      </c>
      <c r="Z48" s="625">
        <f>+'Scenario 0'!O59/Dashboard!$E$16</f>
        <v/>
      </c>
    </row>
    <row r="49" ht="5.1" customHeight="1">
      <c r="C49" s="592">
        <f>+'Scenario 0'!R60/Dashboard!$E$16</f>
        <v/>
      </c>
      <c r="D49" s="593">
        <f>+'Scenario 0'!S60/Dashboard!$E$16</f>
        <v/>
      </c>
      <c r="E49" s="593">
        <f>+'Scenario 0'!T60/Dashboard!$E$16</f>
        <v/>
      </c>
      <c r="F49" s="593">
        <f>+'Scenario 0'!U60/Dashboard!$E$16</f>
        <v/>
      </c>
      <c r="G49" s="593">
        <f>+'Scenario 0'!V60/Dashboard!$E$16</f>
        <v/>
      </c>
      <c r="H49" s="593">
        <f>+'Scenario 0'!W60/Dashboard!$E$16</f>
        <v/>
      </c>
      <c r="I49" s="593">
        <f>+'Scenario 0'!X60/Dashboard!$E$16</f>
        <v/>
      </c>
      <c r="J49" s="593">
        <f>+'Scenario 0'!Y60/Dashboard!$E$16</f>
        <v/>
      </c>
      <c r="K49" s="593">
        <f>+'Scenario 0'!Z60/Dashboard!$E$16</f>
        <v/>
      </c>
      <c r="L49" s="593">
        <f>+'Scenario 0'!AA60/Dashboard!$E$16</f>
        <v/>
      </c>
      <c r="M49" s="593">
        <f>+'Scenario 0'!AB60/Dashboard!$E$16</f>
        <v/>
      </c>
      <c r="P49" s="592">
        <f>+'Scenario 0'!E60/Dashboard!$E$16</f>
        <v/>
      </c>
      <c r="Q49" s="593">
        <f>+'Scenario 0'!F60/Dashboard!$E$16</f>
        <v/>
      </c>
      <c r="R49" s="593">
        <f>+'Scenario 0'!G60/Dashboard!$E$16</f>
        <v/>
      </c>
      <c r="S49" s="593">
        <f>+'Scenario 0'!H60/Dashboard!$E$16</f>
        <v/>
      </c>
      <c r="T49" s="593">
        <f>+'Scenario 0'!I60/Dashboard!$E$16</f>
        <v/>
      </c>
      <c r="U49" s="593">
        <f>+'Scenario 0'!J60/Dashboard!$E$16</f>
        <v/>
      </c>
      <c r="V49" s="593">
        <f>+'Scenario 0'!K60/Dashboard!$E$16</f>
        <v/>
      </c>
      <c r="W49" s="593">
        <f>+'Scenario 0'!L60/Dashboard!$E$16</f>
        <v/>
      </c>
      <c r="X49" s="593">
        <f>+'Scenario 0'!M60/Dashboard!$E$16</f>
        <v/>
      </c>
      <c r="Y49" s="593">
        <f>+'Scenario 0'!N60/Dashboard!$E$16</f>
        <v/>
      </c>
      <c r="Z49" s="593">
        <f>+'Scenario 0'!O60/Dashboard!$E$16</f>
        <v/>
      </c>
    </row>
    <row r="50">
      <c r="B50" s="206" t="inlineStr">
        <is>
          <t>Landscaping/Grounds Contract</t>
        </is>
      </c>
      <c r="C50" s="248">
        <f>+'Scenario 0'!E61</f>
        <v/>
      </c>
      <c r="D50" s="200">
        <f>+'Scenario 0'!F61</f>
        <v/>
      </c>
      <c r="E50" s="200">
        <f>+'Scenario 0'!G61</f>
        <v/>
      </c>
      <c r="F50" s="200">
        <f>+'Scenario 0'!H61</f>
        <v/>
      </c>
      <c r="G50" s="200">
        <f>+'Scenario 0'!I61</f>
        <v/>
      </c>
      <c r="H50" s="200">
        <f>+'Scenario 0'!J61</f>
        <v/>
      </c>
      <c r="I50" s="200">
        <f>+'Scenario 0'!K61</f>
        <v/>
      </c>
      <c r="J50" s="200">
        <f>+'Scenario 0'!L61</f>
        <v/>
      </c>
      <c r="K50" s="200">
        <f>+'Scenario 0'!M61</f>
        <v/>
      </c>
      <c r="L50" s="200">
        <f>+'Scenario 0'!N61</f>
        <v/>
      </c>
      <c r="M50" s="200">
        <f>+'Scenario 0'!O61</f>
        <v/>
      </c>
      <c r="O50" s="206" t="inlineStr">
        <is>
          <t>Landscaping/Grounds Contract</t>
        </is>
      </c>
      <c r="P50" s="248">
        <f>+'Scenario 0'!E61/Dashboard!$E$16</f>
        <v/>
      </c>
      <c r="Q50" s="200">
        <f>+'Scenario 0'!F61/Dashboard!$E$16</f>
        <v/>
      </c>
      <c r="R50" s="200">
        <f>+'Scenario 0'!G61/Dashboard!$E$16</f>
        <v/>
      </c>
      <c r="S50" s="200">
        <f>+'Scenario 0'!H61/Dashboard!$E$16</f>
        <v/>
      </c>
      <c r="T50" s="200">
        <f>+'Scenario 0'!I61/Dashboard!$E$16</f>
        <v/>
      </c>
      <c r="U50" s="200">
        <f>+'Scenario 0'!J61/Dashboard!$E$16</f>
        <v/>
      </c>
      <c r="V50" s="200">
        <f>+'Scenario 0'!K61/Dashboard!$E$16</f>
        <v/>
      </c>
      <c r="W50" s="200">
        <f>+'Scenario 0'!L61/Dashboard!$E$16</f>
        <v/>
      </c>
      <c r="X50" s="200">
        <f>+'Scenario 0'!M61/Dashboard!$E$16</f>
        <v/>
      </c>
      <c r="Y50" s="200">
        <f>+'Scenario 0'!N61/Dashboard!$E$16</f>
        <v/>
      </c>
      <c r="Z50" s="200">
        <f>+'Scenario 0'!O61/Dashboard!$E$16</f>
        <v/>
      </c>
    </row>
    <row r="51">
      <c r="B51" s="207" t="inlineStr">
        <is>
          <t>Fire &amp; Safety System</t>
        </is>
      </c>
      <c r="C51" s="606">
        <f>+'Scenario 0'!E62</f>
        <v/>
      </c>
      <c r="D51" s="591">
        <f>+'Scenario 0'!F62</f>
        <v/>
      </c>
      <c r="E51" s="587">
        <f>+'Scenario 0'!G62</f>
        <v/>
      </c>
      <c r="F51" s="587">
        <f>+'Scenario 0'!H62</f>
        <v/>
      </c>
      <c r="G51" s="587">
        <f>+'Scenario 0'!I62</f>
        <v/>
      </c>
      <c r="H51" s="587">
        <f>+'Scenario 0'!J62</f>
        <v/>
      </c>
      <c r="I51" s="587">
        <f>+'Scenario 0'!K62</f>
        <v/>
      </c>
      <c r="J51" s="587">
        <f>+'Scenario 0'!L62</f>
        <v/>
      </c>
      <c r="K51" s="587">
        <f>+'Scenario 0'!M62</f>
        <v/>
      </c>
      <c r="L51" s="587">
        <f>+'Scenario 0'!N62</f>
        <v/>
      </c>
      <c r="M51" s="587">
        <f>+'Scenario 0'!O62</f>
        <v/>
      </c>
      <c r="O51" s="207" t="inlineStr">
        <is>
          <t>Fire &amp; Safety System</t>
        </is>
      </c>
      <c r="P51" s="606">
        <f>+'Scenario 0'!E62/Dashboard!$E$16</f>
        <v/>
      </c>
      <c r="Q51" s="591">
        <f>+'Scenario 0'!F62/Dashboard!$E$16</f>
        <v/>
      </c>
      <c r="R51" s="587">
        <f>+'Scenario 0'!G62/Dashboard!$E$16</f>
        <v/>
      </c>
      <c r="S51" s="587">
        <f>+'Scenario 0'!H62/Dashboard!$E$16</f>
        <v/>
      </c>
      <c r="T51" s="587">
        <f>+'Scenario 0'!I62/Dashboard!$E$16</f>
        <v/>
      </c>
      <c r="U51" s="587">
        <f>+'Scenario 0'!J62/Dashboard!$E$16</f>
        <v/>
      </c>
      <c r="V51" s="587">
        <f>+'Scenario 0'!K62/Dashboard!$E$16</f>
        <v/>
      </c>
      <c r="W51" s="587">
        <f>+'Scenario 0'!L62/Dashboard!$E$16</f>
        <v/>
      </c>
      <c r="X51" s="587">
        <f>+'Scenario 0'!M62/Dashboard!$E$16</f>
        <v/>
      </c>
      <c r="Y51" s="587">
        <f>+'Scenario 0'!N62/Dashboard!$E$16</f>
        <v/>
      </c>
      <c r="Z51" s="587">
        <f>+'Scenario 0'!O62/Dashboard!$E$16</f>
        <v/>
      </c>
    </row>
    <row r="52">
      <c r="B52" s="207" t="inlineStr">
        <is>
          <t>Security</t>
        </is>
      </c>
      <c r="C52" s="606">
        <f>+'Scenario 0'!E63</f>
        <v/>
      </c>
      <c r="D52" s="591">
        <f>+'Scenario 0'!F63</f>
        <v/>
      </c>
      <c r="E52" s="587">
        <f>+'Scenario 0'!G63</f>
        <v/>
      </c>
      <c r="F52" s="587">
        <f>+'Scenario 0'!H63</f>
        <v/>
      </c>
      <c r="G52" s="587">
        <f>+'Scenario 0'!I63</f>
        <v/>
      </c>
      <c r="H52" s="587">
        <f>+'Scenario 0'!J63</f>
        <v/>
      </c>
      <c r="I52" s="587">
        <f>+'Scenario 0'!K63</f>
        <v/>
      </c>
      <c r="J52" s="587">
        <f>+'Scenario 0'!L63</f>
        <v/>
      </c>
      <c r="K52" s="587">
        <f>+'Scenario 0'!M63</f>
        <v/>
      </c>
      <c r="L52" s="587">
        <f>+'Scenario 0'!N63</f>
        <v/>
      </c>
      <c r="M52" s="587">
        <f>+'Scenario 0'!O63</f>
        <v/>
      </c>
      <c r="O52" s="207" t="inlineStr">
        <is>
          <t>Security</t>
        </is>
      </c>
      <c r="P52" s="606">
        <f>+'Scenario 0'!E63/Dashboard!$E$16</f>
        <v/>
      </c>
      <c r="Q52" s="591">
        <f>+'Scenario 0'!F63/Dashboard!$E$16</f>
        <v/>
      </c>
      <c r="R52" s="587">
        <f>+'Scenario 0'!G63/Dashboard!$E$16</f>
        <v/>
      </c>
      <c r="S52" s="587">
        <f>+'Scenario 0'!H63/Dashboard!$E$16</f>
        <v/>
      </c>
      <c r="T52" s="587">
        <f>+'Scenario 0'!I63/Dashboard!$E$16</f>
        <v/>
      </c>
      <c r="U52" s="587">
        <f>+'Scenario 0'!J63/Dashboard!$E$16</f>
        <v/>
      </c>
      <c r="V52" s="587">
        <f>+'Scenario 0'!K63/Dashboard!$E$16</f>
        <v/>
      </c>
      <c r="W52" s="587">
        <f>+'Scenario 0'!L63/Dashboard!$E$16</f>
        <v/>
      </c>
      <c r="X52" s="587">
        <f>+'Scenario 0'!M63/Dashboard!$E$16</f>
        <v/>
      </c>
      <c r="Y52" s="587">
        <f>+'Scenario 0'!N63/Dashboard!$E$16</f>
        <v/>
      </c>
      <c r="Z52" s="587">
        <f>+'Scenario 0'!O63/Dashboard!$E$16</f>
        <v/>
      </c>
    </row>
    <row r="53">
      <c r="B53" s="207" t="inlineStr">
        <is>
          <t>Pest Control</t>
        </is>
      </c>
      <c r="C53" s="606">
        <f>+'Scenario 0'!E64</f>
        <v/>
      </c>
      <c r="D53" s="591">
        <f>+'Scenario 0'!F64</f>
        <v/>
      </c>
      <c r="E53" s="587">
        <f>+'Scenario 0'!G64</f>
        <v/>
      </c>
      <c r="F53" s="587">
        <f>+'Scenario 0'!H64</f>
        <v/>
      </c>
      <c r="G53" s="587">
        <f>+'Scenario 0'!I64</f>
        <v/>
      </c>
      <c r="H53" s="587">
        <f>+'Scenario 0'!J64</f>
        <v/>
      </c>
      <c r="I53" s="587">
        <f>+'Scenario 0'!K64</f>
        <v/>
      </c>
      <c r="J53" s="587">
        <f>+'Scenario 0'!L64</f>
        <v/>
      </c>
      <c r="K53" s="587">
        <f>+'Scenario 0'!M64</f>
        <v/>
      </c>
      <c r="L53" s="587">
        <f>+'Scenario 0'!N64</f>
        <v/>
      </c>
      <c r="M53" s="587">
        <f>+'Scenario 0'!O64</f>
        <v/>
      </c>
      <c r="O53" s="207" t="inlineStr">
        <is>
          <t>Pest Control</t>
        </is>
      </c>
      <c r="P53" s="606">
        <f>+'Scenario 0'!E64/Dashboard!$E$16</f>
        <v/>
      </c>
      <c r="Q53" s="591">
        <f>+'Scenario 0'!F64/Dashboard!$E$16</f>
        <v/>
      </c>
      <c r="R53" s="587">
        <f>+'Scenario 0'!G64/Dashboard!$E$16</f>
        <v/>
      </c>
      <c r="S53" s="587">
        <f>+'Scenario 0'!H64/Dashboard!$E$16</f>
        <v/>
      </c>
      <c r="T53" s="587">
        <f>+'Scenario 0'!I64/Dashboard!$E$16</f>
        <v/>
      </c>
      <c r="U53" s="587">
        <f>+'Scenario 0'!J64/Dashboard!$E$16</f>
        <v/>
      </c>
      <c r="V53" s="587">
        <f>+'Scenario 0'!K64/Dashboard!$E$16</f>
        <v/>
      </c>
      <c r="W53" s="587">
        <f>+'Scenario 0'!L64/Dashboard!$E$16</f>
        <v/>
      </c>
      <c r="X53" s="587">
        <f>+'Scenario 0'!M64/Dashboard!$E$16</f>
        <v/>
      </c>
      <c r="Y53" s="587">
        <f>+'Scenario 0'!N64/Dashboard!$E$16</f>
        <v/>
      </c>
      <c r="Z53" s="587">
        <f>+'Scenario 0'!O64/Dashboard!$E$16</f>
        <v/>
      </c>
    </row>
    <row r="54">
      <c r="B54" s="207" t="inlineStr">
        <is>
          <t>Misc. Contracts</t>
        </is>
      </c>
      <c r="C54" s="606">
        <f>+'Scenario 0'!E65</f>
        <v/>
      </c>
      <c r="D54" s="591">
        <f>+'Scenario 0'!F65</f>
        <v/>
      </c>
      <c r="E54" s="587">
        <f>+'Scenario 0'!G65</f>
        <v/>
      </c>
      <c r="F54" s="587">
        <f>+'Scenario 0'!H65</f>
        <v/>
      </c>
      <c r="G54" s="587">
        <f>+'Scenario 0'!I65</f>
        <v/>
      </c>
      <c r="H54" s="587">
        <f>+'Scenario 0'!J65</f>
        <v/>
      </c>
      <c r="I54" s="587">
        <f>+'Scenario 0'!K65</f>
        <v/>
      </c>
      <c r="J54" s="587">
        <f>+'Scenario 0'!L65</f>
        <v/>
      </c>
      <c r="K54" s="587">
        <f>+'Scenario 0'!M65</f>
        <v/>
      </c>
      <c r="L54" s="587">
        <f>+'Scenario 0'!N65</f>
        <v/>
      </c>
      <c r="M54" s="587">
        <f>+'Scenario 0'!O65</f>
        <v/>
      </c>
      <c r="O54" s="207" t="inlineStr">
        <is>
          <t>Misc. Contracts</t>
        </is>
      </c>
      <c r="P54" s="606">
        <f>+'Scenario 0'!E65/Dashboard!$E$16</f>
        <v/>
      </c>
      <c r="Q54" s="591">
        <f>+'Scenario 0'!F65/Dashboard!$E$16</f>
        <v/>
      </c>
      <c r="R54" s="587">
        <f>+'Scenario 0'!G65/Dashboard!$E$16</f>
        <v/>
      </c>
      <c r="S54" s="587">
        <f>+'Scenario 0'!H65/Dashboard!$E$16</f>
        <v/>
      </c>
      <c r="T54" s="587">
        <f>+'Scenario 0'!I65/Dashboard!$E$16</f>
        <v/>
      </c>
      <c r="U54" s="587">
        <f>+'Scenario 0'!J65/Dashboard!$E$16</f>
        <v/>
      </c>
      <c r="V54" s="587">
        <f>+'Scenario 0'!K65/Dashboard!$E$16</f>
        <v/>
      </c>
      <c r="W54" s="587">
        <f>+'Scenario 0'!L65/Dashboard!$E$16</f>
        <v/>
      </c>
      <c r="X54" s="587">
        <f>+'Scenario 0'!M65/Dashboard!$E$16</f>
        <v/>
      </c>
      <c r="Y54" s="587">
        <f>+'Scenario 0'!N65/Dashboard!$E$16</f>
        <v/>
      </c>
      <c r="Z54" s="587">
        <f>+'Scenario 0'!O65/Dashboard!$E$16</f>
        <v/>
      </c>
    </row>
    <row r="55">
      <c r="B55" s="207" t="inlineStr">
        <is>
          <t>Elevator Costs</t>
        </is>
      </c>
      <c r="C55" s="606">
        <f>+'Scenario 0'!E66</f>
        <v/>
      </c>
      <c r="D55" s="591">
        <f>+'Scenario 0'!F66</f>
        <v/>
      </c>
      <c r="E55" s="587">
        <f>+'Scenario 0'!G66</f>
        <v/>
      </c>
      <c r="F55" s="587">
        <f>+'Scenario 0'!H66</f>
        <v/>
      </c>
      <c r="G55" s="587">
        <f>+'Scenario 0'!I66</f>
        <v/>
      </c>
      <c r="H55" s="587">
        <f>+'Scenario 0'!J66</f>
        <v/>
      </c>
      <c r="I55" s="587">
        <f>+'Scenario 0'!K66</f>
        <v/>
      </c>
      <c r="J55" s="587">
        <f>+'Scenario 0'!L66</f>
        <v/>
      </c>
      <c r="K55" s="587">
        <f>+'Scenario 0'!M66</f>
        <v/>
      </c>
      <c r="L55" s="587">
        <f>+'Scenario 0'!N66</f>
        <v/>
      </c>
      <c r="M55" s="587">
        <f>+'Scenario 0'!O66</f>
        <v/>
      </c>
      <c r="O55" s="207" t="inlineStr">
        <is>
          <t>Elevator Costs</t>
        </is>
      </c>
      <c r="P55" s="606">
        <f>+'Scenario 0'!E66/Dashboard!$E$16</f>
        <v/>
      </c>
      <c r="Q55" s="591">
        <f>+'Scenario 0'!F66/Dashboard!$E$16</f>
        <v/>
      </c>
      <c r="R55" s="587">
        <f>+'Scenario 0'!G66/Dashboard!$E$16</f>
        <v/>
      </c>
      <c r="S55" s="587">
        <f>+'Scenario 0'!H66/Dashboard!$E$16</f>
        <v/>
      </c>
      <c r="T55" s="587">
        <f>+'Scenario 0'!I66/Dashboard!$E$16</f>
        <v/>
      </c>
      <c r="U55" s="587">
        <f>+'Scenario 0'!J66/Dashboard!$E$16</f>
        <v/>
      </c>
      <c r="V55" s="587">
        <f>+'Scenario 0'!K66/Dashboard!$E$16</f>
        <v/>
      </c>
      <c r="W55" s="587">
        <f>+'Scenario 0'!L66/Dashboard!$E$16</f>
        <v/>
      </c>
      <c r="X55" s="587">
        <f>+'Scenario 0'!M66/Dashboard!$E$16</f>
        <v/>
      </c>
      <c r="Y55" s="587">
        <f>+'Scenario 0'!N66/Dashboard!$E$16</f>
        <v/>
      </c>
      <c r="Z55" s="587">
        <f>+'Scenario 0'!O66/Dashboard!$E$16</f>
        <v/>
      </c>
    </row>
    <row r="56">
      <c r="B56" s="207" t="inlineStr">
        <is>
          <t>Snow</t>
        </is>
      </c>
      <c r="C56" s="606">
        <f>+'Scenario 0'!E67</f>
        <v/>
      </c>
      <c r="D56" s="591">
        <f>+'Scenario 0'!F67</f>
        <v/>
      </c>
      <c r="E56" s="587">
        <f>+'Scenario 0'!G67</f>
        <v/>
      </c>
      <c r="F56" s="587">
        <f>+'Scenario 0'!H67</f>
        <v/>
      </c>
      <c r="G56" s="587">
        <f>+'Scenario 0'!I67</f>
        <v/>
      </c>
      <c r="H56" s="587">
        <f>+'Scenario 0'!J67</f>
        <v/>
      </c>
      <c r="I56" s="587">
        <f>+'Scenario 0'!K67</f>
        <v/>
      </c>
      <c r="J56" s="587">
        <f>+'Scenario 0'!L67</f>
        <v/>
      </c>
      <c r="K56" s="587">
        <f>+'Scenario 0'!M67</f>
        <v/>
      </c>
      <c r="L56" s="587">
        <f>+'Scenario 0'!N67</f>
        <v/>
      </c>
      <c r="M56" s="587">
        <f>+'Scenario 0'!O67</f>
        <v/>
      </c>
      <c r="O56" s="207" t="inlineStr">
        <is>
          <t>Snow</t>
        </is>
      </c>
      <c r="P56" s="606">
        <f>+'Scenario 0'!E67/Dashboard!$E$16</f>
        <v/>
      </c>
      <c r="Q56" s="591">
        <f>+'Scenario 0'!F67/Dashboard!$E$16</f>
        <v/>
      </c>
      <c r="R56" s="587">
        <f>+'Scenario 0'!G67/Dashboard!$E$16</f>
        <v/>
      </c>
      <c r="S56" s="587">
        <f>+'Scenario 0'!H67/Dashboard!$E$16</f>
        <v/>
      </c>
      <c r="T56" s="587">
        <f>+'Scenario 0'!I67/Dashboard!$E$16</f>
        <v/>
      </c>
      <c r="U56" s="587">
        <f>+'Scenario 0'!J67/Dashboard!$E$16</f>
        <v/>
      </c>
      <c r="V56" s="587">
        <f>+'Scenario 0'!K67/Dashboard!$E$16</f>
        <v/>
      </c>
      <c r="W56" s="587">
        <f>+'Scenario 0'!L67/Dashboard!$E$16</f>
        <v/>
      </c>
      <c r="X56" s="587">
        <f>+'Scenario 0'!M67/Dashboard!$E$16</f>
        <v/>
      </c>
      <c r="Y56" s="587">
        <f>+'Scenario 0'!N67/Dashboard!$E$16</f>
        <v/>
      </c>
      <c r="Z56" s="587">
        <f>+'Scenario 0'!O67/Dashboard!$E$16</f>
        <v/>
      </c>
    </row>
    <row r="57">
      <c r="B57" s="207" t="inlineStr">
        <is>
          <t>Misc. Operating &amp; Maint.</t>
        </is>
      </c>
      <c r="C57" s="606">
        <f>+'Scenario 0'!E68</f>
        <v/>
      </c>
      <c r="D57" s="591">
        <f>+'Scenario 0'!F68</f>
        <v/>
      </c>
      <c r="E57" s="587">
        <f>+'Scenario 0'!G68</f>
        <v/>
      </c>
      <c r="F57" s="587">
        <f>+'Scenario 0'!H68</f>
        <v/>
      </c>
      <c r="G57" s="587">
        <f>+'Scenario 0'!I68</f>
        <v/>
      </c>
      <c r="H57" s="587">
        <f>+'Scenario 0'!J68</f>
        <v/>
      </c>
      <c r="I57" s="587">
        <f>+'Scenario 0'!K68</f>
        <v/>
      </c>
      <c r="J57" s="587">
        <f>+'Scenario 0'!L68</f>
        <v/>
      </c>
      <c r="K57" s="587">
        <f>+'Scenario 0'!M68</f>
        <v/>
      </c>
      <c r="L57" s="587">
        <f>+'Scenario 0'!N68</f>
        <v/>
      </c>
      <c r="M57" s="587">
        <f>+'Scenario 0'!O68</f>
        <v/>
      </c>
      <c r="O57" s="207" t="inlineStr">
        <is>
          <t>Misc. Operating &amp; Maint.</t>
        </is>
      </c>
      <c r="P57" s="606">
        <f>+'Scenario 0'!E68/Dashboard!$E$16</f>
        <v/>
      </c>
      <c r="Q57" s="591">
        <f>+'Scenario 0'!F68/Dashboard!$E$16</f>
        <v/>
      </c>
      <c r="R57" s="587">
        <f>+'Scenario 0'!G68/Dashboard!$E$16</f>
        <v/>
      </c>
      <c r="S57" s="587">
        <f>+'Scenario 0'!H68/Dashboard!$E$16</f>
        <v/>
      </c>
      <c r="T57" s="587">
        <f>+'Scenario 0'!I68/Dashboard!$E$16</f>
        <v/>
      </c>
      <c r="U57" s="587">
        <f>+'Scenario 0'!J68/Dashboard!$E$16</f>
        <v/>
      </c>
      <c r="V57" s="587">
        <f>+'Scenario 0'!K68/Dashboard!$E$16</f>
        <v/>
      </c>
      <c r="W57" s="587">
        <f>+'Scenario 0'!L68/Dashboard!$E$16</f>
        <v/>
      </c>
      <c r="X57" s="587">
        <f>+'Scenario 0'!M68/Dashboard!$E$16</f>
        <v/>
      </c>
      <c r="Y57" s="587">
        <f>+'Scenario 0'!N68/Dashboard!$E$16</f>
        <v/>
      </c>
      <c r="Z57" s="587">
        <f>+'Scenario 0'!O68/Dashboard!$E$16</f>
        <v/>
      </c>
    </row>
    <row r="58">
      <c r="B58" s="28" t="inlineStr">
        <is>
          <t>Total Contract Expenses</t>
        </is>
      </c>
      <c r="C58" s="624">
        <f>+'Scenario 0'!E69</f>
        <v/>
      </c>
      <c r="D58" s="625">
        <f>+'Scenario 0'!F69</f>
        <v/>
      </c>
      <c r="E58" s="625">
        <f>+'Scenario 0'!G69</f>
        <v/>
      </c>
      <c r="F58" s="625">
        <f>+'Scenario 0'!H69</f>
        <v/>
      </c>
      <c r="G58" s="625">
        <f>+'Scenario 0'!I69</f>
        <v/>
      </c>
      <c r="H58" s="625">
        <f>+'Scenario 0'!J69</f>
        <v/>
      </c>
      <c r="I58" s="625">
        <f>+'Scenario 0'!K69</f>
        <v/>
      </c>
      <c r="J58" s="625">
        <f>+'Scenario 0'!L69</f>
        <v/>
      </c>
      <c r="K58" s="625">
        <f>+'Scenario 0'!M69</f>
        <v/>
      </c>
      <c r="L58" s="625">
        <f>+'Scenario 0'!N69</f>
        <v/>
      </c>
      <c r="M58" s="625">
        <f>+'Scenario 0'!O69</f>
        <v/>
      </c>
      <c r="O58" s="28" t="inlineStr">
        <is>
          <t>Total Contract Expenses</t>
        </is>
      </c>
      <c r="P58" s="624">
        <f>+'Scenario 0'!E69/Dashboard!$E$16</f>
        <v/>
      </c>
      <c r="Q58" s="625">
        <f>+'Scenario 0'!F69/Dashboard!$E$16</f>
        <v/>
      </c>
      <c r="R58" s="625">
        <f>+'Scenario 0'!G69/Dashboard!$E$16</f>
        <v/>
      </c>
      <c r="S58" s="625">
        <f>+'Scenario 0'!H69/Dashboard!$E$16</f>
        <v/>
      </c>
      <c r="T58" s="625">
        <f>+'Scenario 0'!I69/Dashboard!$E$16</f>
        <v/>
      </c>
      <c r="U58" s="625">
        <f>+'Scenario 0'!J69/Dashboard!$E$16</f>
        <v/>
      </c>
      <c r="V58" s="625">
        <f>+'Scenario 0'!K69/Dashboard!$E$16</f>
        <v/>
      </c>
      <c r="W58" s="625">
        <f>+'Scenario 0'!L69/Dashboard!$E$16</f>
        <v/>
      </c>
      <c r="X58" s="625">
        <f>+'Scenario 0'!M69/Dashboard!$E$16</f>
        <v/>
      </c>
      <c r="Y58" s="625">
        <f>+'Scenario 0'!N69/Dashboard!$E$16</f>
        <v/>
      </c>
      <c r="Z58" s="625">
        <f>+'Scenario 0'!O69/Dashboard!$E$16</f>
        <v/>
      </c>
    </row>
    <row r="59" ht="5.1" customHeight="1">
      <c r="C59" s="592" t="n"/>
      <c r="D59" s="593" t="n"/>
      <c r="E59" s="593" t="n"/>
      <c r="F59" s="593" t="n"/>
      <c r="G59" s="593" t="n"/>
      <c r="H59" s="593" t="n"/>
      <c r="I59" s="593" t="n"/>
      <c r="J59" s="593" t="n"/>
      <c r="K59" s="593" t="n"/>
      <c r="L59" s="593" t="n"/>
      <c r="M59" s="593" t="n"/>
      <c r="P59" s="592" t="n"/>
      <c r="Q59" s="593" t="n"/>
      <c r="R59" s="593" t="n"/>
      <c r="S59" s="593" t="n"/>
      <c r="T59" s="593" t="n"/>
      <c r="U59" s="593" t="n"/>
      <c r="V59" s="593" t="n"/>
      <c r="W59" s="593" t="n"/>
      <c r="X59" s="593" t="n"/>
      <c r="Y59" s="593" t="n"/>
      <c r="Z59" s="593" t="n"/>
    </row>
    <row r="60">
      <c r="B60" s="207" t="inlineStr">
        <is>
          <t>Real Estate Taxes</t>
        </is>
      </c>
      <c r="C60" s="248">
        <f>+'Scenario 0'!E71</f>
        <v/>
      </c>
      <c r="D60" s="200">
        <f>+'Scenario 0'!F71</f>
        <v/>
      </c>
      <c r="E60" s="200">
        <f>+'Scenario 0'!G71</f>
        <v/>
      </c>
      <c r="F60" s="200">
        <f>+'Scenario 0'!H71</f>
        <v/>
      </c>
      <c r="G60" s="200">
        <f>+'Scenario 0'!I71</f>
        <v/>
      </c>
      <c r="H60" s="200">
        <f>+'Scenario 0'!J71</f>
        <v/>
      </c>
      <c r="I60" s="200">
        <f>+'Scenario 0'!K71</f>
        <v/>
      </c>
      <c r="J60" s="200">
        <f>+'Scenario 0'!L71</f>
        <v/>
      </c>
      <c r="K60" s="200">
        <f>+'Scenario 0'!M71</f>
        <v/>
      </c>
      <c r="L60" s="200">
        <f>+'Scenario 0'!N71</f>
        <v/>
      </c>
      <c r="M60" s="200">
        <f>+'Scenario 0'!O71</f>
        <v/>
      </c>
      <c r="O60" s="207" t="inlineStr">
        <is>
          <t>Real Estate Taxes</t>
        </is>
      </c>
      <c r="P60" s="248">
        <f>+'Scenario 0'!E71/Dashboard!$E$16</f>
        <v/>
      </c>
      <c r="Q60" s="200">
        <f>+'Scenario 0'!F71/Dashboard!$E$16</f>
        <v/>
      </c>
      <c r="R60" s="200">
        <f>+'Scenario 0'!G71/Dashboard!$E$16</f>
        <v/>
      </c>
      <c r="S60" s="200">
        <f>+'Scenario 0'!H71/Dashboard!$E$16</f>
        <v/>
      </c>
      <c r="T60" s="200">
        <f>+'Scenario 0'!I71/Dashboard!$E$16</f>
        <v/>
      </c>
      <c r="U60" s="200">
        <f>+'Scenario 0'!J71/Dashboard!$E$16</f>
        <v/>
      </c>
      <c r="V60" s="200">
        <f>+'Scenario 0'!K71/Dashboard!$E$16</f>
        <v/>
      </c>
      <c r="W60" s="200">
        <f>+'Scenario 0'!L71/Dashboard!$E$16</f>
        <v/>
      </c>
      <c r="X60" s="200">
        <f>+'Scenario 0'!M71/Dashboard!$E$16</f>
        <v/>
      </c>
      <c r="Y60" s="200">
        <f>+'Scenario 0'!N71/Dashboard!$E$16</f>
        <v/>
      </c>
      <c r="Z60" s="200">
        <f>+'Scenario 0'!O71/Dashboard!$E$16</f>
        <v/>
      </c>
    </row>
    <row r="61">
      <c r="B61" s="207" t="inlineStr">
        <is>
          <t>Property &amp; Liability Insurance</t>
        </is>
      </c>
      <c r="C61" s="606">
        <f>+'Scenario 0'!E72</f>
        <v/>
      </c>
      <c r="D61" s="591">
        <f>+'Scenario 0'!F72</f>
        <v/>
      </c>
      <c r="E61" s="587">
        <f>+'Scenario 0'!G72</f>
        <v/>
      </c>
      <c r="F61" s="587">
        <f>+'Scenario 0'!H72</f>
        <v/>
      </c>
      <c r="G61" s="587">
        <f>+'Scenario 0'!I72</f>
        <v/>
      </c>
      <c r="H61" s="587">
        <f>+'Scenario 0'!J72</f>
        <v/>
      </c>
      <c r="I61" s="587">
        <f>+'Scenario 0'!K72</f>
        <v/>
      </c>
      <c r="J61" s="587">
        <f>+'Scenario 0'!L72</f>
        <v/>
      </c>
      <c r="K61" s="587">
        <f>+'Scenario 0'!M72</f>
        <v/>
      </c>
      <c r="L61" s="587">
        <f>+'Scenario 0'!N72</f>
        <v/>
      </c>
      <c r="M61" s="587">
        <f>+'Scenario 0'!O72</f>
        <v/>
      </c>
      <c r="O61" s="207" t="inlineStr">
        <is>
          <t>Property &amp; Liability Insurance</t>
        </is>
      </c>
      <c r="P61" s="606">
        <f>+'Scenario 0'!E72/Dashboard!$E$16</f>
        <v/>
      </c>
      <c r="Q61" s="591">
        <f>+'Scenario 0'!F72/Dashboard!$E$16</f>
        <v/>
      </c>
      <c r="R61" s="587">
        <f>+'Scenario 0'!G72/Dashboard!$E$16</f>
        <v/>
      </c>
      <c r="S61" s="587">
        <f>+'Scenario 0'!H72/Dashboard!$E$16</f>
        <v/>
      </c>
      <c r="T61" s="587">
        <f>+'Scenario 0'!I72/Dashboard!$E$16</f>
        <v/>
      </c>
      <c r="U61" s="587">
        <f>+'Scenario 0'!J72/Dashboard!$E$16</f>
        <v/>
      </c>
      <c r="V61" s="587">
        <f>+'Scenario 0'!K72/Dashboard!$E$16</f>
        <v/>
      </c>
      <c r="W61" s="587">
        <f>+'Scenario 0'!L72/Dashboard!$E$16</f>
        <v/>
      </c>
      <c r="X61" s="587">
        <f>+'Scenario 0'!M72/Dashboard!$E$16</f>
        <v/>
      </c>
      <c r="Y61" s="587">
        <f>+'Scenario 0'!N72/Dashboard!$E$16</f>
        <v/>
      </c>
      <c r="Z61" s="587">
        <f>+'Scenario 0'!O72/Dashboard!$E$16</f>
        <v/>
      </c>
    </row>
    <row r="62">
      <c r="B62" s="207" t="inlineStr">
        <is>
          <t>Workmens Comp</t>
        </is>
      </c>
      <c r="C62" s="606">
        <f>+'Scenario 0'!E73</f>
        <v/>
      </c>
      <c r="D62" s="591">
        <f>+'Scenario 0'!F73</f>
        <v/>
      </c>
      <c r="E62" s="587">
        <f>+'Scenario 0'!G73</f>
        <v/>
      </c>
      <c r="F62" s="587">
        <f>+'Scenario 0'!H73</f>
        <v/>
      </c>
      <c r="G62" s="587">
        <f>+'Scenario 0'!I73</f>
        <v/>
      </c>
      <c r="H62" s="587">
        <f>+'Scenario 0'!J73</f>
        <v/>
      </c>
      <c r="I62" s="587">
        <f>+'Scenario 0'!K73</f>
        <v/>
      </c>
      <c r="J62" s="587">
        <f>+'Scenario 0'!L73</f>
        <v/>
      </c>
      <c r="K62" s="587">
        <f>+'Scenario 0'!M73</f>
        <v/>
      </c>
      <c r="L62" s="587">
        <f>+'Scenario 0'!N73</f>
        <v/>
      </c>
      <c r="M62" s="587">
        <f>+'Scenario 0'!O73</f>
        <v/>
      </c>
      <c r="O62" s="207" t="inlineStr">
        <is>
          <t>Workmens Comp</t>
        </is>
      </c>
      <c r="P62" s="606">
        <f>+'Scenario 0'!E73/Dashboard!$E$16</f>
        <v/>
      </c>
      <c r="Q62" s="591">
        <f>+'Scenario 0'!F73/Dashboard!$E$16</f>
        <v/>
      </c>
      <c r="R62" s="587">
        <f>+'Scenario 0'!G73/Dashboard!$E$16</f>
        <v/>
      </c>
      <c r="S62" s="587">
        <f>+'Scenario 0'!H73/Dashboard!$E$16</f>
        <v/>
      </c>
      <c r="T62" s="587">
        <f>+'Scenario 0'!I73/Dashboard!$E$16</f>
        <v/>
      </c>
      <c r="U62" s="587">
        <f>+'Scenario 0'!J73/Dashboard!$E$16</f>
        <v/>
      </c>
      <c r="V62" s="587">
        <f>+'Scenario 0'!K73/Dashboard!$E$16</f>
        <v/>
      </c>
      <c r="W62" s="587">
        <f>+'Scenario 0'!L73/Dashboard!$E$16</f>
        <v/>
      </c>
      <c r="X62" s="587">
        <f>+'Scenario 0'!M73/Dashboard!$E$16</f>
        <v/>
      </c>
      <c r="Y62" s="587">
        <f>+'Scenario 0'!N73/Dashboard!$E$16</f>
        <v/>
      </c>
      <c r="Z62" s="587">
        <f>+'Scenario 0'!O73/Dashboard!$E$16</f>
        <v/>
      </c>
    </row>
    <row r="63">
      <c r="B63" s="207" t="inlineStr">
        <is>
          <t>Health Insurance &amp; Other Benefits</t>
        </is>
      </c>
      <c r="C63" s="606">
        <f>+'Scenario 0'!E74</f>
        <v/>
      </c>
      <c r="D63" s="591">
        <f>+'Scenario 0'!F74</f>
        <v/>
      </c>
      <c r="E63" s="587">
        <f>+'Scenario 0'!G74</f>
        <v/>
      </c>
      <c r="F63" s="587">
        <f>+'Scenario 0'!H74</f>
        <v/>
      </c>
      <c r="G63" s="587">
        <f>+'Scenario 0'!I74</f>
        <v/>
      </c>
      <c r="H63" s="587">
        <f>+'Scenario 0'!J74</f>
        <v/>
      </c>
      <c r="I63" s="587">
        <f>+'Scenario 0'!K74</f>
        <v/>
      </c>
      <c r="J63" s="587">
        <f>+'Scenario 0'!L74</f>
        <v/>
      </c>
      <c r="K63" s="587">
        <f>+'Scenario 0'!M74</f>
        <v/>
      </c>
      <c r="L63" s="587">
        <f>+'Scenario 0'!N74</f>
        <v/>
      </c>
      <c r="M63" s="587">
        <f>+'Scenario 0'!O74</f>
        <v/>
      </c>
      <c r="O63" s="207" t="inlineStr">
        <is>
          <t>Health Insurance &amp; Other Benefits</t>
        </is>
      </c>
      <c r="P63" s="606">
        <f>+'Scenario 0'!E74/Dashboard!$E$16</f>
        <v/>
      </c>
      <c r="Q63" s="591">
        <f>+'Scenario 0'!F74/Dashboard!$E$16</f>
        <v/>
      </c>
      <c r="R63" s="587">
        <f>+'Scenario 0'!G74/Dashboard!$E$16</f>
        <v/>
      </c>
      <c r="S63" s="587">
        <f>+'Scenario 0'!H74/Dashboard!$E$16</f>
        <v/>
      </c>
      <c r="T63" s="587">
        <f>+'Scenario 0'!I74/Dashboard!$E$16</f>
        <v/>
      </c>
      <c r="U63" s="587">
        <f>+'Scenario 0'!J74/Dashboard!$E$16</f>
        <v/>
      </c>
      <c r="V63" s="587">
        <f>+'Scenario 0'!K74/Dashboard!$E$16</f>
        <v/>
      </c>
      <c r="W63" s="587">
        <f>+'Scenario 0'!L74/Dashboard!$E$16</f>
        <v/>
      </c>
      <c r="X63" s="587">
        <f>+'Scenario 0'!M74/Dashboard!$E$16</f>
        <v/>
      </c>
      <c r="Y63" s="587">
        <f>+'Scenario 0'!N74/Dashboard!$E$16</f>
        <v/>
      </c>
      <c r="Z63" s="587">
        <f>+'Scenario 0'!O74/Dashboard!$E$16</f>
        <v/>
      </c>
    </row>
    <row r="64">
      <c r="B64" s="207" t="inlineStr">
        <is>
          <t xml:space="preserve">Payroll Tax </t>
        </is>
      </c>
      <c r="C64" s="606">
        <f>+'Scenario 0'!E75</f>
        <v/>
      </c>
      <c r="D64" s="591">
        <f>+'Scenario 0'!F75</f>
        <v/>
      </c>
      <c r="E64" s="587">
        <f>+'Scenario 0'!G75</f>
        <v/>
      </c>
      <c r="F64" s="587">
        <f>+'Scenario 0'!H75</f>
        <v/>
      </c>
      <c r="G64" s="587">
        <f>+'Scenario 0'!I75</f>
        <v/>
      </c>
      <c r="H64" s="587">
        <f>+'Scenario 0'!J75</f>
        <v/>
      </c>
      <c r="I64" s="587">
        <f>+'Scenario 0'!K75</f>
        <v/>
      </c>
      <c r="J64" s="587">
        <f>+'Scenario 0'!L75</f>
        <v/>
      </c>
      <c r="K64" s="587">
        <f>+'Scenario 0'!M75</f>
        <v/>
      </c>
      <c r="L64" s="587">
        <f>+'Scenario 0'!N75</f>
        <v/>
      </c>
      <c r="M64" s="587">
        <f>+'Scenario 0'!O75</f>
        <v/>
      </c>
      <c r="O64" s="207" t="inlineStr">
        <is>
          <t xml:space="preserve">Payroll Tax </t>
        </is>
      </c>
      <c r="P64" s="606">
        <f>+'Scenario 0'!E75/Dashboard!$E$16</f>
        <v/>
      </c>
      <c r="Q64" s="591">
        <f>+'Scenario 0'!F75/Dashboard!$E$16</f>
        <v/>
      </c>
      <c r="R64" s="587">
        <f>+'Scenario 0'!G75/Dashboard!$E$16</f>
        <v/>
      </c>
      <c r="S64" s="587">
        <f>+'Scenario 0'!H75/Dashboard!$E$16</f>
        <v/>
      </c>
      <c r="T64" s="587">
        <f>+'Scenario 0'!I75/Dashboard!$E$16</f>
        <v/>
      </c>
      <c r="U64" s="587">
        <f>+'Scenario 0'!J75/Dashboard!$E$16</f>
        <v/>
      </c>
      <c r="V64" s="587">
        <f>+'Scenario 0'!K75/Dashboard!$E$16</f>
        <v/>
      </c>
      <c r="W64" s="587">
        <f>+'Scenario 0'!L75/Dashboard!$E$16</f>
        <v/>
      </c>
      <c r="X64" s="587">
        <f>+'Scenario 0'!M75/Dashboard!$E$16</f>
        <v/>
      </c>
      <c r="Y64" s="587">
        <f>+'Scenario 0'!N75/Dashboard!$E$16</f>
        <v/>
      </c>
      <c r="Z64" s="587">
        <f>+'Scenario 0'!O75/Dashboard!$E$16</f>
        <v/>
      </c>
    </row>
    <row r="65">
      <c r="B65" s="207" t="inlineStr">
        <is>
          <t>Misc Taxes, Licenses,  Etc.</t>
        </is>
      </c>
      <c r="C65" s="606">
        <f>+'Scenario 0'!E76</f>
        <v/>
      </c>
      <c r="D65" s="591">
        <f>+'Scenario 0'!F76</f>
        <v/>
      </c>
      <c r="E65" s="587">
        <f>+'Scenario 0'!G76</f>
        <v/>
      </c>
      <c r="F65" s="587">
        <f>+'Scenario 0'!H76</f>
        <v/>
      </c>
      <c r="G65" s="587">
        <f>+'Scenario 0'!I76</f>
        <v/>
      </c>
      <c r="H65" s="587">
        <f>+'Scenario 0'!J76</f>
        <v/>
      </c>
      <c r="I65" s="587">
        <f>+'Scenario 0'!K76</f>
        <v/>
      </c>
      <c r="J65" s="587">
        <f>+'Scenario 0'!L76</f>
        <v/>
      </c>
      <c r="K65" s="587">
        <f>+'Scenario 0'!M76</f>
        <v/>
      </c>
      <c r="L65" s="587">
        <f>+'Scenario 0'!N76</f>
        <v/>
      </c>
      <c r="M65" s="587">
        <f>+'Scenario 0'!O76</f>
        <v/>
      </c>
      <c r="O65" s="207" t="inlineStr">
        <is>
          <t>Misc Taxes, Licenses,  Etc.</t>
        </is>
      </c>
      <c r="P65" s="606">
        <f>+'Scenario 0'!E76/Dashboard!$E$16</f>
        <v/>
      </c>
      <c r="Q65" s="591">
        <f>+'Scenario 0'!F76/Dashboard!$E$16</f>
        <v/>
      </c>
      <c r="R65" s="587">
        <f>+'Scenario 0'!G76/Dashboard!$E$16</f>
        <v/>
      </c>
      <c r="S65" s="587">
        <f>+'Scenario 0'!H76/Dashboard!$E$16</f>
        <v/>
      </c>
      <c r="T65" s="587">
        <f>+'Scenario 0'!I76/Dashboard!$E$16</f>
        <v/>
      </c>
      <c r="U65" s="587">
        <f>+'Scenario 0'!J76/Dashboard!$E$16</f>
        <v/>
      </c>
      <c r="V65" s="587">
        <f>+'Scenario 0'!K76/Dashboard!$E$16</f>
        <v/>
      </c>
      <c r="W65" s="587">
        <f>+'Scenario 0'!L76/Dashboard!$E$16</f>
        <v/>
      </c>
      <c r="X65" s="587">
        <f>+'Scenario 0'!M76/Dashboard!$E$16</f>
        <v/>
      </c>
      <c r="Y65" s="587">
        <f>+'Scenario 0'!N76/Dashboard!$E$16</f>
        <v/>
      </c>
      <c r="Z65" s="587">
        <f>+'Scenario 0'!O76/Dashboard!$E$16</f>
        <v/>
      </c>
    </row>
    <row r="66">
      <c r="B66" s="28" t="inlineStr">
        <is>
          <t>Total Taxes and Insurance Expenses</t>
        </is>
      </c>
      <c r="C66" s="624">
        <f>+'Scenario 0'!E77</f>
        <v/>
      </c>
      <c r="D66" s="625">
        <f>+'Scenario 0'!F77</f>
        <v/>
      </c>
      <c r="E66" s="625">
        <f>+'Scenario 0'!G77</f>
        <v/>
      </c>
      <c r="F66" s="625">
        <f>+'Scenario 0'!H77</f>
        <v/>
      </c>
      <c r="G66" s="625">
        <f>+'Scenario 0'!I77</f>
        <v/>
      </c>
      <c r="H66" s="625">
        <f>+'Scenario 0'!J77</f>
        <v/>
      </c>
      <c r="I66" s="625">
        <f>+'Scenario 0'!K77</f>
        <v/>
      </c>
      <c r="J66" s="625">
        <f>+'Scenario 0'!L77</f>
        <v/>
      </c>
      <c r="K66" s="625">
        <f>+'Scenario 0'!M77</f>
        <v/>
      </c>
      <c r="L66" s="625">
        <f>+'Scenario 0'!N77</f>
        <v/>
      </c>
      <c r="M66" s="625">
        <f>+'Scenario 0'!O77</f>
        <v/>
      </c>
      <c r="O66" s="28" t="inlineStr">
        <is>
          <t>Total Taxes and Insurance Expenses</t>
        </is>
      </c>
      <c r="P66" s="624">
        <f>+'Scenario 0'!E77/Dashboard!$E$16</f>
        <v/>
      </c>
      <c r="Q66" s="625">
        <f>+'Scenario 0'!F77/Dashboard!$E$16</f>
        <v/>
      </c>
      <c r="R66" s="625">
        <f>+'Scenario 0'!G77/Dashboard!$E$16</f>
        <v/>
      </c>
      <c r="S66" s="625">
        <f>+'Scenario 0'!H77/Dashboard!$E$16</f>
        <v/>
      </c>
      <c r="T66" s="625">
        <f>+'Scenario 0'!I77/Dashboard!$E$16</f>
        <v/>
      </c>
      <c r="U66" s="625">
        <f>+'Scenario 0'!J77/Dashboard!$E$16</f>
        <v/>
      </c>
      <c r="V66" s="625">
        <f>+'Scenario 0'!K77/Dashboard!$E$16</f>
        <v/>
      </c>
      <c r="W66" s="625">
        <f>+'Scenario 0'!L77/Dashboard!$E$16</f>
        <v/>
      </c>
      <c r="X66" s="625">
        <f>+'Scenario 0'!M77/Dashboard!$E$16</f>
        <v/>
      </c>
      <c r="Y66" s="625">
        <f>+'Scenario 0'!N77/Dashboard!$E$16</f>
        <v/>
      </c>
      <c r="Z66" s="625">
        <f>+'Scenario 0'!O77/Dashboard!$E$16</f>
        <v/>
      </c>
    </row>
    <row r="67" ht="5.1" customHeight="1">
      <c r="C67" s="592" t="n"/>
      <c r="D67" s="593" t="n"/>
      <c r="E67" s="593" t="n"/>
      <c r="F67" s="593" t="n"/>
      <c r="G67" s="593" t="n"/>
      <c r="H67" s="593" t="n"/>
      <c r="I67" s="593" t="n"/>
      <c r="J67" s="593" t="n"/>
      <c r="K67" s="593" t="n"/>
      <c r="L67" s="593" t="n"/>
      <c r="M67" s="593" t="n"/>
      <c r="P67" s="592" t="n"/>
      <c r="Q67" s="593" t="n"/>
      <c r="R67" s="593" t="n"/>
      <c r="S67" s="593" t="n"/>
      <c r="T67" s="593" t="n"/>
      <c r="U67" s="593" t="n"/>
      <c r="V67" s="593" t="n"/>
      <c r="W67" s="593" t="n"/>
      <c r="X67" s="593" t="n"/>
      <c r="Y67" s="593" t="n"/>
      <c r="Z67" s="593" t="n"/>
    </row>
    <row r="68">
      <c r="B68" s="33" t="inlineStr">
        <is>
          <t>Total Operating Expenses</t>
        </is>
      </c>
      <c r="C68" s="251">
        <f>+'Scenario 0'!E79</f>
        <v/>
      </c>
      <c r="D68" s="252">
        <f>+'Scenario 0'!F79</f>
        <v/>
      </c>
      <c r="E68" s="252">
        <f>+'Scenario 0'!G79</f>
        <v/>
      </c>
      <c r="F68" s="252">
        <f>+'Scenario 0'!H79</f>
        <v/>
      </c>
      <c r="G68" s="252">
        <f>+'Scenario 0'!I79</f>
        <v/>
      </c>
      <c r="H68" s="252">
        <f>+'Scenario 0'!J79</f>
        <v/>
      </c>
      <c r="I68" s="252">
        <f>+'Scenario 0'!K79</f>
        <v/>
      </c>
      <c r="J68" s="252">
        <f>+'Scenario 0'!L79</f>
        <v/>
      </c>
      <c r="K68" s="252">
        <f>+'Scenario 0'!M79</f>
        <v/>
      </c>
      <c r="L68" s="252">
        <f>+'Scenario 0'!N79</f>
        <v/>
      </c>
      <c r="M68" s="252">
        <f>+'Scenario 0'!O79</f>
        <v/>
      </c>
      <c r="O68" s="33" t="inlineStr">
        <is>
          <t>Total Operating Expenses</t>
        </is>
      </c>
      <c r="P68" s="251">
        <f>+'Scenario 0'!E79/Dashboard!$E$16</f>
        <v/>
      </c>
      <c r="Q68" s="252">
        <f>+'Scenario 0'!F79/Dashboard!$E$16</f>
        <v/>
      </c>
      <c r="R68" s="252">
        <f>+'Scenario 0'!G79/Dashboard!$E$16</f>
        <v/>
      </c>
      <c r="S68" s="252">
        <f>+'Scenario 0'!H79/Dashboard!$E$16</f>
        <v/>
      </c>
      <c r="T68" s="252">
        <f>+'Scenario 0'!I79/Dashboard!$E$16</f>
        <v/>
      </c>
      <c r="U68" s="252">
        <f>+'Scenario 0'!J79/Dashboard!$E$16</f>
        <v/>
      </c>
      <c r="V68" s="252">
        <f>+'Scenario 0'!K79/Dashboard!$E$16</f>
        <v/>
      </c>
      <c r="W68" s="252">
        <f>+'Scenario 0'!L79/Dashboard!$E$16</f>
        <v/>
      </c>
      <c r="X68" s="252">
        <f>+'Scenario 0'!M79/Dashboard!$E$16</f>
        <v/>
      </c>
      <c r="Y68" s="252">
        <f>+'Scenario 0'!N79/Dashboard!$E$16</f>
        <v/>
      </c>
      <c r="Z68" s="252">
        <f>+'Scenario 0'!O79/Dashboard!$E$16</f>
        <v/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view="normal" workbookViewId="0">
      <selection activeCell="A1" sqref="A1"/>
    </sheetView>
  </sheetViews>
  <sheetFormatPr baseColWidth="8" defaultRowHeight="15"/>
  <cols>
    <col width="18.28515625" customWidth="1" min="2" max="2"/>
    <col width="13.28515625" customWidth="1" min="4" max="5"/>
  </cols>
  <sheetData>
    <row r="1"/>
    <row r="2">
      <c r="B2" s="263" t="inlineStr">
        <is>
          <t>Return Summary (Gross)</t>
        </is>
      </c>
      <c r="C2" s="264" t="n"/>
      <c r="D2" s="264" t="n"/>
      <c r="E2" s="265" t="n"/>
    </row>
    <row r="3">
      <c r="B3" s="266" t="inlineStr">
        <is>
          <t>Scenario 1</t>
        </is>
      </c>
      <c r="C3" s="267" t="n"/>
      <c r="D3" s="267" t="n"/>
      <c r="E3" s="268" t="n"/>
    </row>
    <row r="4">
      <c r="B4" s="260" t="n"/>
      <c r="C4" s="261" t="n"/>
      <c r="D4" s="262" t="inlineStr">
        <is>
          <t>Unlevered</t>
        </is>
      </c>
      <c r="E4" s="262" t="inlineStr">
        <is>
          <t>Levered</t>
        </is>
      </c>
    </row>
    <row r="5">
      <c r="B5" s="269" t="inlineStr">
        <is>
          <t>IRR</t>
        </is>
      </c>
      <c r="C5" s="270" t="n"/>
      <c r="D5" s="275">
        <f>+'Scenario 1'!$E$122</f>
        <v/>
      </c>
      <c r="E5" s="275">
        <f>+'Scenario 1'!$E$134</f>
        <v/>
      </c>
    </row>
    <row r="6">
      <c r="B6" s="269" t="inlineStr">
        <is>
          <t>MOIC</t>
        </is>
      </c>
      <c r="C6" s="270" t="n"/>
      <c r="D6" s="273">
        <f>+'Scenario 1'!$E$123</f>
        <v/>
      </c>
      <c r="E6" s="273">
        <f>+'Scenario 1'!$E$135</f>
        <v/>
      </c>
    </row>
    <row r="7">
      <c r="B7" s="271" t="inlineStr">
        <is>
          <t>Profit ($m)</t>
        </is>
      </c>
      <c r="C7" s="272" t="n"/>
      <c r="D7" s="274">
        <f>+('Scenario 1'!$J$119+'Scenario 1'!$E$119)/1000000</f>
        <v/>
      </c>
      <c r="E7" s="274">
        <f>+('Scenario 1'!$J$131+'Scenario 1'!$E$131)/1000000</f>
        <v/>
      </c>
    </row>
    <row r="8"/>
    <row r="9">
      <c r="B9" s="263" t="inlineStr">
        <is>
          <t>Return Summary (Gross)</t>
        </is>
      </c>
      <c r="C9" s="264" t="n"/>
      <c r="D9" s="264" t="n"/>
      <c r="E9" s="265" t="n"/>
    </row>
    <row r="10">
      <c r="B10" s="266" t="inlineStr">
        <is>
          <t>Scenario 2</t>
        </is>
      </c>
      <c r="C10" s="267" t="n"/>
      <c r="D10" s="267" t="n"/>
      <c r="E10" s="268" t="n"/>
    </row>
    <row r="11">
      <c r="B11" s="260" t="n"/>
      <c r="C11" s="261" t="n"/>
      <c r="D11" s="262" t="inlineStr">
        <is>
          <t>Unlevered</t>
        </is>
      </c>
      <c r="E11" s="262" t="inlineStr">
        <is>
          <t>Levered</t>
        </is>
      </c>
    </row>
    <row r="12">
      <c r="B12" s="269" t="inlineStr">
        <is>
          <t>IRR</t>
        </is>
      </c>
      <c r="C12" s="270" t="n"/>
      <c r="D12" s="275">
        <f>+'Scenario 2'!$E$122</f>
        <v/>
      </c>
      <c r="E12" s="275">
        <f>+'Scenario 2'!$E$134</f>
        <v/>
      </c>
    </row>
    <row r="13">
      <c r="B13" s="269" t="inlineStr">
        <is>
          <t>MOIC</t>
        </is>
      </c>
      <c r="C13" s="270" t="n"/>
      <c r="D13" s="273">
        <f>+'Scenario 2'!$E$123</f>
        <v/>
      </c>
      <c r="E13" s="273">
        <f>+'Scenario 2'!$E$135</f>
        <v/>
      </c>
    </row>
    <row r="14">
      <c r="B14" s="271" t="inlineStr">
        <is>
          <t>Profit ($m)</t>
        </is>
      </c>
      <c r="C14" s="272" t="n"/>
      <c r="D14" s="274">
        <f>+('Scenario 2'!$J$119+'Scenario 2'!$E$119)/1000000</f>
        <v/>
      </c>
      <c r="E14" s="274">
        <f>+('Scenario 2'!$J$131+'Scenario 2'!$E$131)/1000000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A1:A1"/>
  <sheetViews>
    <sheetView showGridLines="1" view="normal" zoomScale="60" zoomScaleNormal="100" workbookViewId="0">
      <selection activeCell="A1" sqref="A1"/>
    </sheetView>
  </sheetViews>
  <sheetFormatPr baseColWidth="8" defaultRowHeight="15"/>
  <sheetData/>
  <pageMargins left="0.7" right="0.7" top="0.75" bottom="0.75" header="0.3" footer="0.3"/>
  <pageSetup orientation="landscape"/>
</worksheet>
</file>

<file path=xl/worksheets/sheet16.xml><?xml version="1.0" encoding="utf-8"?>
<worksheet xmlns="http://schemas.openxmlformats.org/spreadsheetml/2006/main">
  <sheetPr>
    <tabColor theme="0" tint="-0.0499893185216834"/>
    <outlinePr summaryBelow="1" summaryRight="1"/>
    <pageSetUpPr/>
  </sheetPr>
  <dimension ref="A1:H304"/>
  <sheetViews>
    <sheetView showGridLines="1" view="normal" zoomScaleNormal="100" zoomScaleSheetLayoutView="100" workbookViewId="0">
      <selection activeCell="G9" sqref="G9"/>
    </sheetView>
  </sheetViews>
  <sheetFormatPr baseColWidth="8" defaultColWidth="9.140625" defaultRowHeight="16.5"/>
  <cols>
    <col width="2.7109375" customWidth="1" style="276" min="1" max="1"/>
    <col width="31" customWidth="1" style="276" min="2" max="2"/>
    <col width="24.7109375" bestFit="1" customWidth="1" style="276" min="3" max="6"/>
    <col width="20.7109375" customWidth="1" style="276" min="7" max="7"/>
    <col width="3.7109375" customWidth="1" style="276" min="8" max="8"/>
    <col width="9.140625" customWidth="1" style="276" min="9" max="16384"/>
  </cols>
  <sheetData>
    <row r="1" ht="8.25" customHeight="1" thickBot="1"/>
    <row r="2" ht="24" customHeight="1" thickTop="1">
      <c r="B2" s="277" t="inlineStr">
        <is>
          <t>Granite Park</t>
        </is>
      </c>
      <c r="C2" s="278" t="n"/>
      <c r="D2" s="278" t="n"/>
      <c r="E2" s="278" t="n"/>
      <c r="F2" s="278" t="n"/>
      <c r="G2" s="279">
        <f>TODAY()</f>
        <v/>
      </c>
      <c r="H2" s="278" t="n"/>
    </row>
    <row r="3" ht="21" customHeight="1" thickBot="1">
      <c r="A3" s="276" t="n"/>
      <c r="B3" s="280" t="inlineStr">
        <is>
          <t>Partnership Assumptions / Return Summary</t>
        </is>
      </c>
      <c r="C3" s="281" t="n"/>
      <c r="D3" s="281" t="n"/>
      <c r="E3" s="281" t="n"/>
      <c r="F3" s="281" t="n"/>
      <c r="G3" s="281" t="n"/>
      <c r="H3" s="276" t="n"/>
    </row>
    <row r="4" ht="17.25" customHeight="1" thickTop="1">
      <c r="A4" s="276" t="n"/>
      <c r="B4" s="282" t="n"/>
      <c r="C4" s="278" t="n"/>
      <c r="D4" s="278" t="n"/>
      <c r="E4" s="278" t="n"/>
      <c r="F4" s="278" t="n"/>
      <c r="G4" s="278" t="n"/>
      <c r="H4" s="278" t="n"/>
    </row>
    <row r="5" ht="20.1" customHeight="1">
      <c r="A5" s="276" t="n"/>
      <c r="B5" s="524" t="inlineStr">
        <is>
          <t>Partnership Assumptions</t>
        </is>
      </c>
      <c r="C5" s="525" t="n"/>
      <c r="D5" s="525" t="n"/>
      <c r="E5" s="525" t="n"/>
      <c r="F5" s="525" t="n"/>
      <c r="G5" s="526" t="n"/>
      <c r="H5" s="276" t="n"/>
    </row>
    <row r="6" ht="20.1" customHeight="1">
      <c r="A6" s="276" t="n"/>
      <c r="B6" s="276" t="n"/>
      <c r="C6" s="283" t="inlineStr">
        <is>
          <t>Hurdle</t>
        </is>
      </c>
      <c r="D6" s="283" t="n"/>
      <c r="E6" s="276" t="n"/>
      <c r="F6" s="283" t="inlineStr">
        <is>
          <t>Cash Flow Distribution</t>
        </is>
      </c>
      <c r="G6" s="284" t="n"/>
      <c r="H6" s="276" t="n"/>
    </row>
    <row r="7" ht="20.1" customHeight="1" thickBot="1">
      <c r="A7" s="276" t="n"/>
      <c r="B7" s="626" t="inlineStr">
        <is>
          <t>Quarterly</t>
        </is>
      </c>
      <c r="C7" s="286" t="inlineStr">
        <is>
          <t>Preferred Return</t>
        </is>
      </c>
      <c r="D7" s="286" t="inlineStr">
        <is>
          <t>Equity Multiple</t>
        </is>
      </c>
      <c r="E7" s="287" t="inlineStr">
        <is>
          <t>Promote</t>
        </is>
      </c>
      <c r="F7" s="286" t="inlineStr">
        <is>
          <t>LP</t>
        </is>
      </c>
      <c r="G7" s="288" t="inlineStr">
        <is>
          <t>Granite Park</t>
        </is>
      </c>
      <c r="H7" s="276" t="n"/>
    </row>
    <row r="8" ht="20.1" customHeight="1">
      <c r="A8" s="276" t="n"/>
      <c r="B8" s="289" t="inlineStr">
        <is>
          <t>Tier I</t>
        </is>
      </c>
      <c r="C8" s="627" t="n">
        <v>0.08</v>
      </c>
      <c r="D8" s="628" t="n">
        <v>0</v>
      </c>
      <c r="E8" s="292" t="inlineStr">
        <is>
          <t>Pari-Passu</t>
        </is>
      </c>
      <c r="F8" s="293" t="n">
        <v>0.75</v>
      </c>
      <c r="G8" s="294" t="n">
        <v>0.25</v>
      </c>
      <c r="H8" s="276" t="n"/>
    </row>
    <row r="9" ht="20.1" customHeight="1">
      <c r="A9" s="276" t="n"/>
      <c r="B9" s="289" t="inlineStr">
        <is>
          <t>Tier II</t>
        </is>
      </c>
      <c r="C9" s="295" t="n">
        <v>0.15</v>
      </c>
      <c r="D9" s="628" t="n">
        <v>1.7</v>
      </c>
      <c r="E9" s="627" t="n">
        <v>0.2</v>
      </c>
      <c r="F9" s="293" t="n">
        <v>0.7200000000000001</v>
      </c>
      <c r="G9" s="294" t="n">
        <v>0.2799999999999999</v>
      </c>
      <c r="H9" s="276" t="n"/>
    </row>
    <row r="10" ht="20.1" customHeight="1">
      <c r="A10" s="276" t="n"/>
      <c r="B10" s="289" t="inlineStr">
        <is>
          <t>Tier III</t>
        </is>
      </c>
      <c r="C10" s="295" t="n">
        <v>0.2</v>
      </c>
      <c r="D10" s="628" t="n">
        <v>2</v>
      </c>
      <c r="E10" s="293" t="n">
        <v>0.25</v>
      </c>
      <c r="F10" s="293" t="n">
        <v>0.675</v>
      </c>
      <c r="G10" s="294" t="n">
        <v>0.325</v>
      </c>
      <c r="H10" s="276" t="n"/>
    </row>
    <row r="11" ht="20.1" customHeight="1">
      <c r="A11" s="276" t="n"/>
      <c r="B11" s="289" t="inlineStr">
        <is>
          <t>Tier IV</t>
        </is>
      </c>
      <c r="C11" s="295" t="n">
        <v>1.5</v>
      </c>
      <c r="D11" s="628" t="n">
        <v>0</v>
      </c>
      <c r="E11" s="293" t="n">
        <v>0.3</v>
      </c>
      <c r="F11" s="293" t="n">
        <v>0.63</v>
      </c>
      <c r="G11" s="294" t="n">
        <v>0.37</v>
      </c>
      <c r="H11" s="276" t="n"/>
    </row>
    <row r="12" ht="20.1" customHeight="1">
      <c r="A12" s="276" t="n"/>
      <c r="B12" s="296" t="inlineStr">
        <is>
          <t>Thereafter</t>
        </is>
      </c>
      <c r="C12" s="297" t="n"/>
      <c r="D12" s="629" t="n"/>
      <c r="E12" s="299" t="n">
        <v>0.35</v>
      </c>
      <c r="F12" s="299" t="n">
        <v>0.5850000000000001</v>
      </c>
      <c r="G12" s="300" t="n">
        <v>0.4149999999999999</v>
      </c>
      <c r="H12" s="276" t="n"/>
    </row>
    <row r="13" ht="20.1" customHeight="1">
      <c r="A13" s="276" t="n"/>
      <c r="B13" s="276" t="n"/>
      <c r="C13" s="276" t="n"/>
      <c r="D13" s="630" t="n"/>
      <c r="E13" s="276" t="n"/>
      <c r="F13" s="276" t="n"/>
      <c r="G13" s="276" t="n"/>
      <c r="H13" s="276" t="n"/>
    </row>
    <row r="14" ht="20.1" customHeight="1">
      <c r="A14" s="276" t="n"/>
      <c r="B14" s="532" t="inlineStr">
        <is>
          <t>Return Summary</t>
        </is>
      </c>
      <c r="C14" s="533" t="n"/>
      <c r="D14" s="533" t="n"/>
      <c r="E14" s="534" t="n"/>
      <c r="F14" s="276" t="n"/>
      <c r="G14" s="276" t="n"/>
      <c r="H14" s="276" t="n"/>
    </row>
    <row r="15" ht="20.1" customHeight="1">
      <c r="A15" s="276" t="n"/>
      <c r="B15" s="302" t="n"/>
      <c r="C15" s="303" t="inlineStr">
        <is>
          <t>Deal-Level</t>
        </is>
      </c>
      <c r="D15" s="304">
        <f>F7</f>
        <v/>
      </c>
      <c r="E15" s="305">
        <f>G7</f>
        <v/>
      </c>
      <c r="F15" s="276" t="n"/>
      <c r="G15" s="276" t="n"/>
      <c r="H15" s="276" t="n"/>
    </row>
    <row r="16" ht="20.1" customHeight="1">
      <c r="A16" s="276" t="n"/>
      <c r="B16" s="306" t="inlineStr">
        <is>
          <t>IRR</t>
        </is>
      </c>
      <c r="C16" s="307">
        <f>'Promote Cash Flow'!D23</f>
        <v/>
      </c>
      <c r="D16" s="308">
        <f>'Promote Cash Flow'!D53</f>
        <v/>
      </c>
      <c r="E16" s="309">
        <f>'Promote Cash Flow'!D72</f>
        <v/>
      </c>
      <c r="F16" s="276" t="n"/>
      <c r="G16" s="276" t="n"/>
      <c r="H16" s="276" t="n"/>
    </row>
    <row r="17" ht="20.1" customHeight="1">
      <c r="A17" s="276" t="n"/>
      <c r="B17" s="306" t="inlineStr">
        <is>
          <t>MOIC</t>
        </is>
      </c>
      <c r="C17" s="631">
        <f>'Promote Cash Flow'!D24</f>
        <v/>
      </c>
      <c r="D17" s="632">
        <f>'Promote Cash Flow'!D55</f>
        <v/>
      </c>
      <c r="E17" s="633">
        <f>'Promote Cash Flow'!D74</f>
        <v/>
      </c>
      <c r="F17" s="276" t="n"/>
      <c r="G17" s="276" t="n"/>
      <c r="H17" s="276" t="n"/>
    </row>
    <row r="18" ht="20.1" customHeight="1">
      <c r="A18" s="276" t="n"/>
      <c r="B18" s="306" t="inlineStr">
        <is>
          <t>Profit</t>
        </is>
      </c>
      <c r="C18" s="634">
        <f>'Promote Cash Flow'!D25</f>
        <v/>
      </c>
      <c r="D18" s="635">
        <f>'Promote Cash Flow'!D54</f>
        <v/>
      </c>
      <c r="E18" s="636">
        <f>'Promote Cash Flow'!D73</f>
        <v/>
      </c>
      <c r="F18" s="276" t="n"/>
      <c r="G18" s="276" t="n"/>
      <c r="H18" s="276" t="n"/>
    </row>
    <row r="19" ht="20.1" customHeight="1">
      <c r="A19" s="276" t="n"/>
      <c r="B19" s="306" t="inlineStr">
        <is>
          <t>% of Profit</t>
        </is>
      </c>
      <c r="C19" s="316" t="inlineStr">
        <is>
          <t>N/A</t>
        </is>
      </c>
      <c r="D19" s="308">
        <f>'Promote Cash Flow'!D56</f>
        <v/>
      </c>
      <c r="E19" s="309">
        <f>'Promote Cash Flow'!D75</f>
        <v/>
      </c>
      <c r="F19" s="276" t="n"/>
      <c r="G19" s="276" t="n"/>
      <c r="H19" s="276" t="n"/>
    </row>
    <row r="20" ht="20.1" customHeight="1">
      <c r="A20" s="276" t="n"/>
      <c r="B20" s="317" t="inlineStr">
        <is>
          <t>$ Value of Promote</t>
        </is>
      </c>
      <c r="C20" s="318" t="inlineStr">
        <is>
          <t>N/A</t>
        </is>
      </c>
      <c r="D20" s="319" t="inlineStr">
        <is>
          <t>N/A</t>
        </is>
      </c>
      <c r="E20" s="637">
        <f>SUM('Promote Cash Flow'!D62,'Promote Cash Flow'!D64,'Promote Cash Flow'!D66,'Promote Cash Flow'!D68)</f>
        <v/>
      </c>
      <c r="F20" s="276" t="n"/>
      <c r="G20" s="276" t="n"/>
      <c r="H20" s="276" t="n"/>
    </row>
    <row r="21" ht="20.1" customHeight="1">
      <c r="A21" s="276" t="n"/>
      <c r="B21" s="276" t="n"/>
      <c r="C21" s="276" t="n"/>
      <c r="D21" s="276" t="n"/>
      <c r="E21" s="276" t="n"/>
      <c r="F21" s="276" t="n"/>
      <c r="G21" s="276" t="n"/>
      <c r="H21" s="276" t="n"/>
    </row>
    <row r="22" ht="20.1" customHeight="1">
      <c r="A22" s="276" t="n"/>
      <c r="B22" s="276" t="n"/>
      <c r="C22" s="276" t="n"/>
      <c r="D22" s="276" t="n"/>
      <c r="E22" s="276" t="n"/>
      <c r="F22" s="276" t="n"/>
      <c r="G22" s="276" t="n"/>
      <c r="H22" s="276" t="n"/>
    </row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/>
    <row r="35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>
      <c r="F304" s="321" t="n"/>
    </row>
  </sheetData>
  <dataValidations disablePrompts="1" count="1">
    <dataValidation sqref="B7" showDropDown="0" showInputMessage="1" showErrorMessage="1" allowBlank="1" type="list">
      <formula1>"Quarterly, Monthly"</formula1>
    </dataValidation>
  </dataValidations>
  <pageMargins left="0.2" right="0.2" top="0.25" bottom="0.25" header="0.3" footer="0.3"/>
  <pageSetup orientation="landscape" scale="88" fitToHeight="0" horizontalDpi="4294967293" verticalDpi="1200"/>
</worksheet>
</file>

<file path=xl/worksheets/sheet17.xml><?xml version="1.0" encoding="utf-8"?>
<worksheet xmlns="http://schemas.openxmlformats.org/spreadsheetml/2006/main">
  <sheetPr>
    <tabColor theme="0" tint="-0.0499893185216834"/>
    <outlinePr summaryBelow="1" summaryRight="1"/>
    <pageSetUpPr/>
  </sheetPr>
  <dimension ref="A1:DW224"/>
  <sheetViews>
    <sheetView showGridLines="1" view="normal" zoomScale="70" zoomScaleNormal="100" zoomScaleSheetLayoutView="70" workbookViewId="0">
      <selection activeCell="A264" sqref="A264:XFD264"/>
    </sheetView>
  </sheetViews>
  <sheetFormatPr baseColWidth="8" defaultColWidth="9.140625" defaultRowHeight="16.5" outlineLevelRow="1"/>
  <cols>
    <col width="2.140625" customWidth="1" style="322" min="1" max="2"/>
    <col width="20" customWidth="1" style="322" min="3" max="3"/>
    <col width="18.28515625" bestFit="1" customWidth="1" style="322" min="4" max="4"/>
    <col hidden="1" outlineLevel="1" width="14.28515625" customWidth="1" style="322" min="5" max="5"/>
    <col collapsed="1" width="18.5703125" customWidth="1" style="322" min="6" max="6"/>
    <col width="21.5703125" bestFit="1" customWidth="1" style="322" min="7" max="7"/>
    <col width="18.5703125" customWidth="1" style="322" min="8" max="16"/>
    <col width="18.28515625" bestFit="1" customWidth="1" style="322" min="17" max="20"/>
    <col width="18.85546875" bestFit="1" customWidth="1" style="322" min="21" max="21"/>
    <col width="18.5703125" bestFit="1" customWidth="1" style="322" min="22" max="24"/>
    <col width="18.28515625" bestFit="1" customWidth="1" style="322" min="25" max="25"/>
    <col width="18.85546875" bestFit="1" customWidth="1" style="322" min="26" max="26"/>
    <col width="18.28515625" bestFit="1" customWidth="1" style="322" min="27" max="27"/>
    <col width="18.5703125" bestFit="1" customWidth="1" style="322" min="28" max="28"/>
    <col width="18.28515625" bestFit="1" customWidth="1" style="322" min="29" max="127"/>
    <col width="18.140625" bestFit="1" customWidth="1" style="322" min="128" max="139"/>
    <col width="9.140625" customWidth="1" style="322" min="140" max="16384"/>
  </cols>
  <sheetData>
    <row r="1" ht="17.25" customHeight="1" thickBot="1">
      <c r="P1" s="323" t="n"/>
      <c r="Q1" s="323" t="n"/>
      <c r="R1" s="323" t="n"/>
      <c r="S1" s="323" t="n"/>
      <c r="T1" s="323" t="n"/>
      <c r="U1" s="323" t="n"/>
      <c r="V1" s="323" t="n"/>
      <c r="DW1" s="322" t="inlineStr">
        <is>
          <t>x</t>
        </is>
      </c>
    </row>
    <row r="2" ht="24" customHeight="1" thickTop="1">
      <c r="C2" s="277">
        <f>'Partnership Terms + Fees'!B2</f>
        <v/>
      </c>
      <c r="D2" s="324" t="n"/>
      <c r="E2" s="324" t="n"/>
      <c r="F2" s="324" t="n"/>
      <c r="G2" s="324" t="n"/>
      <c r="H2" s="324" t="n"/>
      <c r="I2" s="324" t="n"/>
      <c r="J2" s="324" t="n"/>
      <c r="K2" s="324" t="n"/>
      <c r="L2" s="325" t="n"/>
      <c r="M2" s="325" t="n"/>
      <c r="N2" s="325" t="n"/>
      <c r="O2" s="325" t="n"/>
      <c r="P2" s="325" t="n"/>
      <c r="Q2" s="325" t="n"/>
      <c r="R2" s="325" t="n"/>
      <c r="S2" s="325" t="n"/>
      <c r="T2" s="325" t="n"/>
      <c r="U2" s="325" t="n"/>
      <c r="V2" s="325" t="n"/>
      <c r="W2" s="325" t="n"/>
      <c r="X2" s="325" t="n"/>
      <c r="Y2" s="325" t="n"/>
      <c r="Z2" s="325" t="n"/>
      <c r="AA2" s="325" t="n"/>
      <c r="AB2" s="325" t="n"/>
      <c r="AC2" s="325" t="n"/>
      <c r="AD2" s="325" t="n"/>
      <c r="AE2" s="325" t="n"/>
      <c r="AF2" s="325" t="n"/>
      <c r="AG2" s="325" t="n"/>
      <c r="AH2" s="325" t="n"/>
      <c r="AI2" s="325" t="n"/>
      <c r="AJ2" s="325" t="n"/>
      <c r="AK2" s="325" t="n"/>
      <c r="AL2" s="325" t="n"/>
      <c r="AM2" s="325" t="n"/>
      <c r="AN2" s="325" t="n"/>
      <c r="AO2" s="325" t="n"/>
      <c r="AP2" s="325" t="n"/>
      <c r="AQ2" s="325" t="n"/>
      <c r="AR2" s="325" t="n"/>
      <c r="AS2" s="325" t="n"/>
      <c r="AT2" s="325" t="n"/>
      <c r="AU2" s="325" t="n"/>
      <c r="AV2" s="325" t="n"/>
      <c r="AW2" s="325" t="n"/>
      <c r="AX2" s="325" t="n"/>
      <c r="AY2" s="325" t="n"/>
      <c r="AZ2" s="325" t="n"/>
      <c r="BA2" s="325" t="n"/>
      <c r="BB2" s="325" t="n"/>
      <c r="BC2" s="325" t="n"/>
      <c r="BD2" s="325" t="n"/>
      <c r="BE2" s="325" t="n"/>
      <c r="BF2" s="325" t="n"/>
      <c r="BG2" s="325" t="n"/>
      <c r="BH2" s="325" t="n"/>
      <c r="BI2" s="325" t="n"/>
      <c r="BJ2" s="325" t="n"/>
      <c r="BK2" s="325" t="n"/>
      <c r="BL2" s="325" t="n"/>
      <c r="BM2" s="325" t="n"/>
      <c r="BN2" s="325" t="n"/>
      <c r="BO2" s="325" t="n"/>
      <c r="BP2" s="325" t="n"/>
      <c r="BQ2" s="325" t="n"/>
      <c r="BR2" s="325" t="n"/>
      <c r="BS2" s="325" t="n"/>
      <c r="BT2" s="325" t="n"/>
      <c r="BU2" s="325" t="n"/>
      <c r="BV2" s="325" t="n"/>
      <c r="BW2" s="325" t="n"/>
      <c r="BX2" s="325" t="n"/>
      <c r="BY2" s="325" t="n"/>
      <c r="BZ2" s="325" t="n"/>
      <c r="CA2" s="325" t="n"/>
      <c r="CB2" s="325" t="n"/>
      <c r="CC2" s="325" t="n"/>
      <c r="CD2" s="325" t="n"/>
      <c r="CE2" s="325" t="n"/>
      <c r="CF2" s="325" t="n"/>
      <c r="CG2" s="325" t="n"/>
      <c r="CH2" s="325" t="n"/>
      <c r="CI2" s="325" t="n"/>
      <c r="CJ2" s="325" t="n"/>
      <c r="CK2" s="325" t="n"/>
      <c r="CL2" s="325" t="n"/>
      <c r="CM2" s="325" t="n"/>
      <c r="CN2" s="325" t="n"/>
      <c r="CO2" s="325" t="n"/>
      <c r="CP2" s="325" t="n"/>
      <c r="CQ2" s="325" t="n"/>
      <c r="CR2" s="325" t="n"/>
      <c r="CS2" s="325" t="n"/>
      <c r="CT2" s="325" t="n"/>
      <c r="CU2" s="325" t="n"/>
      <c r="CV2" s="325" t="n"/>
      <c r="CW2" s="325" t="n"/>
      <c r="CX2" s="325" t="n"/>
      <c r="CY2" s="325" t="n"/>
      <c r="CZ2" s="325" t="n"/>
      <c r="DA2" s="325" t="n"/>
      <c r="DB2" s="325" t="n"/>
      <c r="DC2" s="325" t="n"/>
      <c r="DD2" s="325" t="n"/>
      <c r="DE2" s="325" t="n"/>
      <c r="DF2" s="325" t="n"/>
      <c r="DG2" s="325" t="n"/>
      <c r="DH2" s="325" t="n"/>
      <c r="DI2" s="325" t="n"/>
      <c r="DJ2" s="325" t="n"/>
      <c r="DK2" s="325" t="n"/>
      <c r="DL2" s="325" t="n"/>
      <c r="DM2" s="325" t="n"/>
      <c r="DN2" s="325" t="n"/>
      <c r="DO2" s="325" t="n"/>
      <c r="DP2" s="325" t="n"/>
      <c r="DQ2" s="325" t="n"/>
      <c r="DR2" s="325" t="n"/>
      <c r="DS2" s="325" t="n"/>
      <c r="DT2" s="325" t="n"/>
      <c r="DU2" s="325" t="n"/>
      <c r="DV2" s="325" t="n"/>
      <c r="DW2" s="322" t="inlineStr">
        <is>
          <t>x</t>
        </is>
      </c>
    </row>
    <row r="3" ht="17.25" customHeight="1" thickBot="1">
      <c r="C3" s="326" t="inlineStr">
        <is>
          <t>Waterfall</t>
        </is>
      </c>
      <c r="D3" s="327" t="n"/>
      <c r="E3" s="327" t="n"/>
      <c r="F3" s="327" t="n"/>
      <c r="G3" s="327" t="n"/>
      <c r="H3" s="327" t="n"/>
      <c r="I3" s="327" t="n"/>
      <c r="J3" s="327" t="n"/>
      <c r="K3" s="638" t="n"/>
      <c r="L3" s="327" t="n"/>
      <c r="M3" s="327" t="n"/>
      <c r="N3" s="327" t="n"/>
      <c r="O3" s="327" t="n"/>
      <c r="P3" s="327" t="n"/>
      <c r="Q3" s="327" t="n"/>
      <c r="R3" s="327" t="n"/>
      <c r="S3" s="327" t="n"/>
      <c r="T3" s="327" t="n"/>
      <c r="U3" s="327" t="n"/>
      <c r="V3" s="327" t="n"/>
      <c r="W3" s="327" t="n"/>
      <c r="X3" s="327" t="n"/>
      <c r="Y3" s="327" t="n"/>
      <c r="Z3" s="327" t="n"/>
      <c r="AA3" s="327" t="n"/>
      <c r="AB3" s="327" t="n"/>
      <c r="AC3" s="327" t="n"/>
      <c r="AD3" s="327" t="n"/>
      <c r="AE3" s="327" t="n"/>
      <c r="AF3" s="327" t="n"/>
      <c r="AG3" s="327" t="n"/>
      <c r="AH3" s="327" t="n"/>
      <c r="AI3" s="327" t="n"/>
      <c r="AJ3" s="327" t="n"/>
      <c r="AK3" s="327" t="n"/>
      <c r="AL3" s="327" t="n"/>
      <c r="AM3" s="327" t="n"/>
      <c r="AN3" s="327" t="n"/>
      <c r="AO3" s="327" t="n"/>
      <c r="AP3" s="327" t="n"/>
      <c r="AQ3" s="327" t="n"/>
      <c r="AR3" s="327" t="n"/>
      <c r="AS3" s="327" t="n"/>
      <c r="AT3" s="327" t="n"/>
      <c r="AU3" s="327" t="n"/>
      <c r="AV3" s="327" t="n"/>
      <c r="AW3" s="327" t="n"/>
      <c r="AX3" s="327" t="n"/>
      <c r="AY3" s="327" t="n"/>
      <c r="AZ3" s="327" t="n"/>
      <c r="BA3" s="327" t="n"/>
      <c r="BB3" s="327" t="n"/>
      <c r="BC3" s="327" t="n"/>
      <c r="BD3" s="327" t="n"/>
      <c r="BE3" s="327" t="n"/>
      <c r="BF3" s="327" t="n"/>
      <c r="BG3" s="327" t="n"/>
      <c r="BH3" s="327" t="n"/>
      <c r="BI3" s="327" t="n"/>
      <c r="BJ3" s="327" t="n"/>
      <c r="BK3" s="327" t="n"/>
      <c r="BL3" s="327" t="n"/>
      <c r="BM3" s="327" t="n"/>
      <c r="BN3" s="327" t="n"/>
      <c r="BO3" s="327" t="n"/>
      <c r="BP3" s="327" t="n"/>
      <c r="BQ3" s="327" t="n"/>
      <c r="BR3" s="327" t="n"/>
      <c r="BS3" s="327" t="n"/>
      <c r="BT3" s="327" t="n"/>
      <c r="BU3" s="327" t="n"/>
      <c r="BV3" s="327" t="n"/>
      <c r="BW3" s="327" t="n"/>
      <c r="BX3" s="327" t="n"/>
      <c r="BY3" s="327" t="n"/>
      <c r="BZ3" s="327" t="n"/>
      <c r="CA3" s="327" t="n"/>
      <c r="CB3" s="327" t="n"/>
      <c r="CC3" s="327" t="n"/>
      <c r="CD3" s="327" t="n"/>
      <c r="CE3" s="327" t="n"/>
      <c r="CF3" s="327" t="n"/>
      <c r="CG3" s="327" t="n"/>
      <c r="CH3" s="327" t="n"/>
      <c r="CI3" s="327" t="n"/>
      <c r="CJ3" s="327" t="n"/>
      <c r="CK3" s="327" t="n"/>
      <c r="CL3" s="327" t="n"/>
      <c r="CM3" s="327" t="n"/>
      <c r="CN3" s="327" t="n"/>
      <c r="CO3" s="327" t="n"/>
      <c r="CP3" s="327" t="n"/>
      <c r="CQ3" s="327" t="n"/>
      <c r="CR3" s="327" t="n"/>
      <c r="CS3" s="327" t="n"/>
      <c r="CT3" s="327" t="n"/>
      <c r="CU3" s="327" t="n"/>
      <c r="CV3" s="327" t="n"/>
      <c r="CW3" s="327" t="n"/>
      <c r="CX3" s="327" t="n"/>
      <c r="CY3" s="327" t="n"/>
      <c r="CZ3" s="327" t="n"/>
      <c r="DA3" s="327" t="n"/>
      <c r="DB3" s="327" t="n"/>
      <c r="DC3" s="327" t="n"/>
      <c r="DD3" s="327" t="n"/>
      <c r="DE3" s="327" t="n"/>
      <c r="DF3" s="327" t="n"/>
      <c r="DG3" s="327" t="n"/>
      <c r="DH3" s="327" t="n"/>
      <c r="DI3" s="327" t="n"/>
      <c r="DJ3" s="327" t="n"/>
      <c r="DK3" s="327" t="n"/>
      <c r="DL3" s="327" t="n"/>
      <c r="DM3" s="327" t="n"/>
      <c r="DN3" s="327" t="n"/>
      <c r="DO3" s="327" t="n"/>
      <c r="DP3" s="327" t="n"/>
      <c r="DQ3" s="327" t="n"/>
      <c r="DR3" s="327" t="n"/>
      <c r="DS3" s="327" t="n"/>
      <c r="DT3" s="327" t="n"/>
      <c r="DU3" s="327" t="n"/>
      <c r="DV3" s="327" t="n"/>
      <c r="DW3" s="322" t="inlineStr">
        <is>
          <t>x</t>
        </is>
      </c>
    </row>
    <row r="4" ht="5.1" customHeight="1" thickTop="1">
      <c r="C4" s="329" t="n"/>
      <c r="D4" s="330" t="n"/>
      <c r="E4" s="330" t="n"/>
      <c r="F4" s="330" t="n"/>
      <c r="G4" s="330" t="n"/>
      <c r="H4" s="330" t="n"/>
      <c r="I4" s="330" t="n"/>
      <c r="J4" s="330" t="n"/>
      <c r="K4" s="639" t="n"/>
      <c r="L4" s="330" t="n"/>
      <c r="M4" s="330" t="n"/>
      <c r="N4" s="330" t="n"/>
      <c r="O4" s="330" t="n"/>
      <c r="P4" s="330" t="n"/>
      <c r="Q4" s="330" t="n"/>
      <c r="R4" s="330" t="n"/>
      <c r="S4" s="330" t="n"/>
      <c r="T4" s="330" t="n"/>
      <c r="U4" s="330" t="n"/>
      <c r="V4" s="330" t="n"/>
      <c r="W4" s="330" t="n"/>
      <c r="X4" s="330" t="n"/>
      <c r="Y4" s="330" t="n"/>
      <c r="Z4" s="330" t="n"/>
      <c r="AA4" s="330" t="n"/>
      <c r="AB4" s="330" t="n"/>
      <c r="AC4" s="330" t="n"/>
      <c r="AD4" s="330" t="n"/>
      <c r="AE4" s="330" t="n"/>
      <c r="AF4" s="330" t="n"/>
      <c r="AG4" s="330" t="n"/>
      <c r="AH4" s="330" t="n"/>
      <c r="AI4" s="330" t="n"/>
      <c r="AJ4" s="330" t="n"/>
      <c r="AK4" s="330" t="n"/>
      <c r="AL4" s="330" t="n"/>
      <c r="AM4" s="330" t="n"/>
      <c r="AN4" s="330" t="n"/>
      <c r="AO4" s="330" t="n"/>
      <c r="AP4" s="330" t="n"/>
      <c r="AQ4" s="330" t="n"/>
      <c r="AR4" s="330" t="n"/>
      <c r="AS4" s="330" t="n"/>
      <c r="AT4" s="330" t="n"/>
      <c r="AU4" s="330" t="n"/>
      <c r="AV4" s="330" t="n"/>
      <c r="AW4" s="330" t="n"/>
      <c r="AX4" s="330" t="n"/>
      <c r="AY4" s="330" t="n"/>
      <c r="AZ4" s="330" t="n"/>
      <c r="BA4" s="330" t="n"/>
      <c r="BB4" s="330" t="n"/>
      <c r="BC4" s="330" t="n"/>
      <c r="BD4" s="330" t="n"/>
      <c r="BE4" s="330" t="n"/>
      <c r="BF4" s="330" t="n"/>
      <c r="BG4" s="330" t="n"/>
      <c r="BH4" s="330" t="n"/>
      <c r="BI4" s="330" t="n"/>
      <c r="BJ4" s="330" t="n"/>
      <c r="BK4" s="330" t="n"/>
      <c r="BL4" s="330" t="n"/>
      <c r="BM4" s="330" t="n"/>
      <c r="BN4" s="330" t="n"/>
      <c r="BO4" s="330" t="n"/>
      <c r="BP4" s="330" t="n"/>
      <c r="BQ4" s="330" t="n"/>
      <c r="BR4" s="330" t="n"/>
      <c r="BS4" s="330" t="n"/>
      <c r="BT4" s="330" t="n"/>
      <c r="BU4" s="330" t="n"/>
      <c r="BV4" s="330" t="n"/>
      <c r="BW4" s="330" t="n"/>
      <c r="BX4" s="330" t="n"/>
      <c r="BY4" s="330" t="n"/>
      <c r="BZ4" s="330" t="n"/>
      <c r="CA4" s="330" t="n"/>
      <c r="CB4" s="330" t="n"/>
      <c r="CC4" s="330" t="n"/>
      <c r="CD4" s="330" t="n"/>
      <c r="CE4" s="330" t="n"/>
      <c r="CF4" s="330" t="n"/>
      <c r="CG4" s="330" t="n"/>
      <c r="CH4" s="330" t="n"/>
      <c r="CI4" s="330" t="n"/>
      <c r="CJ4" s="330" t="n"/>
      <c r="CK4" s="330" t="n"/>
      <c r="CL4" s="330" t="n"/>
      <c r="CM4" s="330" t="n"/>
      <c r="CN4" s="330" t="n"/>
      <c r="CO4" s="330" t="n"/>
      <c r="CP4" s="330" t="n"/>
      <c r="CQ4" s="330" t="n"/>
      <c r="CR4" s="330" t="n"/>
      <c r="CS4" s="330" t="n"/>
      <c r="CT4" s="330" t="n"/>
      <c r="CU4" s="330" t="n"/>
      <c r="CV4" s="330" t="n"/>
      <c r="CW4" s="330" t="n"/>
      <c r="CX4" s="330" t="n"/>
      <c r="CY4" s="330" t="n"/>
      <c r="CZ4" s="330" t="n"/>
      <c r="DA4" s="330" t="n"/>
      <c r="DB4" s="330" t="n"/>
      <c r="DC4" s="330" t="n"/>
      <c r="DD4" s="330" t="n"/>
      <c r="DE4" s="330" t="n"/>
      <c r="DF4" s="330" t="n"/>
      <c r="DG4" s="330" t="n"/>
      <c r="DH4" s="330" t="n"/>
      <c r="DI4" s="330" t="n"/>
      <c r="DJ4" s="330" t="n"/>
      <c r="DK4" s="330" t="n"/>
      <c r="DL4" s="330" t="n"/>
      <c r="DM4" s="330" t="n"/>
      <c r="DN4" s="330" t="n"/>
      <c r="DO4" s="330" t="n"/>
      <c r="DP4" s="330" t="n"/>
      <c r="DQ4" s="330" t="n"/>
      <c r="DR4" s="330" t="n"/>
      <c r="DS4" s="330" t="n"/>
      <c r="DT4" s="330" t="n"/>
      <c r="DU4" s="330" t="n"/>
      <c r="DV4" s="330" t="n"/>
    </row>
    <row r="5">
      <c r="B5" s="529" t="n"/>
      <c r="C5" s="530" t="inlineStr">
        <is>
          <t>Sale Month</t>
        </is>
      </c>
      <c r="D5" s="640">
        <f>MAX('Scenario 2'!E110:J110)*12</f>
        <v/>
      </c>
      <c r="E5" s="529" t="n"/>
      <c r="F5" s="529" t="n"/>
      <c r="G5" s="641" t="n"/>
      <c r="H5" s="642" t="n"/>
      <c r="I5" s="642" t="n"/>
      <c r="J5" s="642" t="n"/>
      <c r="K5" s="642" t="n"/>
      <c r="L5" s="642" t="n"/>
      <c r="M5" s="642" t="n"/>
      <c r="N5" s="642" t="n"/>
      <c r="O5" s="642" t="n"/>
      <c r="P5" s="642" t="n"/>
      <c r="Q5" s="642" t="n"/>
      <c r="R5" s="642" t="n"/>
      <c r="S5" s="642" t="n"/>
      <c r="T5" s="642" t="n"/>
      <c r="U5" s="642" t="n"/>
      <c r="V5" s="642" t="n"/>
      <c r="W5" s="642" t="n"/>
      <c r="X5" s="642" t="n"/>
      <c r="Y5" s="642" t="n"/>
      <c r="Z5" s="642" t="n"/>
      <c r="AA5" s="642" t="n"/>
      <c r="AB5" s="642" t="n"/>
      <c r="AC5" s="642" t="n"/>
      <c r="AD5" s="642" t="n"/>
      <c r="AE5" s="642" t="n"/>
      <c r="AF5" s="642" t="n"/>
      <c r="AG5" s="642" t="n"/>
      <c r="AH5" s="642" t="n"/>
      <c r="AI5" s="642" t="n"/>
      <c r="AJ5" s="642" t="n"/>
      <c r="AK5" s="642" t="n"/>
      <c r="AL5" s="642" t="n"/>
      <c r="AM5" s="642" t="n"/>
      <c r="AN5" s="642" t="n"/>
      <c r="AO5" s="642" t="n"/>
      <c r="AP5" s="642" t="n"/>
      <c r="AQ5" s="642" t="n"/>
      <c r="AR5" s="642" t="n"/>
      <c r="AS5" s="642" t="n"/>
      <c r="AT5" s="642" t="n"/>
      <c r="AU5" s="642" t="n"/>
      <c r="AV5" s="642" t="n"/>
      <c r="AW5" s="642" t="n"/>
      <c r="AX5" s="642" t="n"/>
      <c r="AY5" s="642" t="n"/>
      <c r="AZ5" s="642" t="n"/>
      <c r="BA5" s="642" t="n"/>
      <c r="BB5" s="642" t="n"/>
      <c r="BC5" s="642" t="n"/>
      <c r="BD5" s="642" t="n"/>
      <c r="BE5" s="642" t="n"/>
      <c r="BF5" s="642" t="n"/>
      <c r="BG5" s="642" t="n"/>
      <c r="BH5" s="642" t="n"/>
      <c r="BI5" s="642" t="n"/>
      <c r="BJ5" s="642" t="n"/>
      <c r="BK5" s="642" t="n"/>
      <c r="BL5" s="642" t="n"/>
      <c r="BM5" s="642" t="n"/>
      <c r="BN5" s="642" t="n"/>
      <c r="BO5" s="642" t="n"/>
      <c r="BP5" s="642" t="n"/>
      <c r="BQ5" s="642" t="n"/>
      <c r="BR5" s="642" t="n"/>
      <c r="BS5" s="642" t="n"/>
      <c r="BT5" s="642" t="n"/>
      <c r="BU5" s="642" t="n"/>
      <c r="BV5" s="642" t="n"/>
      <c r="BW5" s="642" t="n"/>
      <c r="BX5" s="642" t="n"/>
      <c r="BY5" s="642" t="n"/>
      <c r="BZ5" s="642" t="n"/>
      <c r="CA5" s="642" t="n"/>
      <c r="CB5" s="642" t="n"/>
      <c r="CC5" s="642" t="n"/>
      <c r="CD5" s="642" t="n"/>
      <c r="CE5" s="642" t="n"/>
      <c r="CF5" s="642" t="n"/>
      <c r="CG5" s="642" t="n"/>
      <c r="CH5" s="642" t="n"/>
      <c r="CI5" s="642" t="n"/>
      <c r="CJ5" s="642" t="n"/>
      <c r="CK5" s="642" t="n"/>
      <c r="CL5" s="642" t="n"/>
      <c r="CM5" s="642" t="n"/>
      <c r="CN5" s="642" t="n"/>
      <c r="CO5" s="642" t="n"/>
      <c r="CP5" s="642" t="n"/>
      <c r="CQ5" s="642" t="n"/>
      <c r="CR5" s="642" t="n"/>
      <c r="CS5" s="642" t="n"/>
      <c r="CT5" s="642" t="n"/>
      <c r="CU5" s="642" t="n"/>
      <c r="CV5" s="642" t="n"/>
      <c r="CW5" s="642" t="n"/>
      <c r="CX5" s="642" t="n"/>
      <c r="CY5" s="642" t="n"/>
      <c r="CZ5" s="642" t="n"/>
      <c r="DA5" s="642" t="n"/>
      <c r="DB5" s="642" t="n"/>
      <c r="DC5" s="642" t="n"/>
      <c r="DD5" s="642" t="n"/>
      <c r="DE5" s="642" t="n"/>
      <c r="DF5" s="642" t="n"/>
      <c r="DG5" s="642" t="n"/>
      <c r="DH5" s="642" t="n"/>
      <c r="DI5" s="642" t="n"/>
      <c r="DJ5" s="642" t="n"/>
      <c r="DK5" s="642" t="n"/>
      <c r="DL5" s="642" t="n"/>
      <c r="DM5" s="642" t="n"/>
      <c r="DN5" s="642" t="n"/>
      <c r="DO5" s="642" t="n"/>
      <c r="DP5" s="642" t="n"/>
      <c r="DQ5" s="642" t="n"/>
      <c r="DR5" s="642" t="n"/>
      <c r="DS5" s="642" t="n"/>
      <c r="DT5" s="642" t="n"/>
      <c r="DU5" s="642" t="n"/>
      <c r="DV5" s="642" t="n"/>
      <c r="DW5" s="322" t="inlineStr">
        <is>
          <t>x</t>
        </is>
      </c>
    </row>
    <row r="6" ht="5.1" customHeight="1">
      <c r="D6" s="643" t="n"/>
      <c r="G6" s="642" t="n"/>
      <c r="H6" s="642" t="n"/>
      <c r="I6" s="642" t="n"/>
      <c r="J6" s="642" t="n"/>
      <c r="K6" s="642" t="n"/>
      <c r="L6" s="642" t="n"/>
      <c r="M6" s="642" t="n"/>
      <c r="N6" s="642" t="n"/>
      <c r="O6" s="642" t="n"/>
      <c r="P6" s="642" t="n"/>
      <c r="Q6" s="642" t="n"/>
      <c r="R6" s="642" t="n"/>
      <c r="S6" s="642" t="n"/>
      <c r="T6" s="642" t="n"/>
      <c r="U6" s="642" t="n"/>
      <c r="V6" s="642" t="n"/>
      <c r="W6" s="642" t="n"/>
      <c r="X6" s="642" t="n"/>
      <c r="Y6" s="642" t="n"/>
      <c r="Z6" s="642" t="n"/>
      <c r="AA6" s="642" t="n"/>
      <c r="AB6" s="642" t="n"/>
      <c r="AC6" s="642" t="n"/>
      <c r="AD6" s="642" t="n"/>
      <c r="AE6" s="642" t="n"/>
      <c r="AF6" s="642" t="n"/>
      <c r="AG6" s="642" t="n"/>
      <c r="AH6" s="642" t="n"/>
      <c r="AI6" s="642" t="n"/>
      <c r="AJ6" s="642" t="n"/>
      <c r="AK6" s="642" t="n"/>
      <c r="AL6" s="642" t="n"/>
      <c r="AM6" s="642" t="n"/>
      <c r="AN6" s="642" t="n"/>
      <c r="AO6" s="642" t="n"/>
      <c r="AP6" s="642" t="n"/>
      <c r="AQ6" s="642" t="n"/>
      <c r="AR6" s="642" t="n"/>
      <c r="AS6" s="642" t="n"/>
      <c r="AT6" s="642" t="n"/>
      <c r="AU6" s="642" t="n"/>
      <c r="AV6" s="642" t="n"/>
      <c r="AW6" s="642" t="n"/>
      <c r="AX6" s="642" t="n"/>
      <c r="AY6" s="642" t="n"/>
      <c r="AZ6" s="642" t="n"/>
      <c r="BA6" s="642" t="n"/>
      <c r="BB6" s="642" t="n"/>
      <c r="BC6" s="642" t="n"/>
      <c r="BD6" s="642" t="n"/>
      <c r="BE6" s="642" t="n"/>
      <c r="BF6" s="642" t="n"/>
      <c r="BG6" s="642" t="n"/>
      <c r="BH6" s="642" t="n"/>
      <c r="BI6" s="642" t="n"/>
      <c r="BJ6" s="642" t="n"/>
      <c r="BK6" s="642" t="n"/>
      <c r="BL6" s="642" t="n"/>
      <c r="BM6" s="642" t="n"/>
      <c r="BN6" s="642" t="n"/>
      <c r="BO6" s="642" t="n"/>
      <c r="BP6" s="642" t="n"/>
      <c r="BQ6" s="642" t="n"/>
      <c r="BR6" s="642" t="n"/>
      <c r="BS6" s="642" t="n"/>
      <c r="BT6" s="642" t="n"/>
      <c r="BU6" s="642" t="n"/>
      <c r="BV6" s="642" t="n"/>
      <c r="BW6" s="642" t="n"/>
      <c r="BX6" s="642" t="n"/>
      <c r="BY6" s="642" t="n"/>
      <c r="BZ6" s="642" t="n"/>
      <c r="CA6" s="642" t="n"/>
      <c r="CB6" s="642" t="n"/>
      <c r="CC6" s="642" t="n"/>
      <c r="CD6" s="642" t="n"/>
      <c r="CE6" s="642" t="n"/>
      <c r="CF6" s="642" t="n"/>
      <c r="CG6" s="642" t="n"/>
      <c r="CH6" s="642" t="n"/>
      <c r="CI6" s="642" t="n"/>
      <c r="CJ6" s="642" t="n"/>
      <c r="CK6" s="642" t="n"/>
      <c r="CL6" s="642" t="n"/>
      <c r="CM6" s="642" t="n"/>
      <c r="CN6" s="642" t="n"/>
      <c r="CO6" s="642" t="n"/>
      <c r="CP6" s="642" t="n"/>
      <c r="CQ6" s="642" t="n"/>
      <c r="CR6" s="642" t="n"/>
      <c r="CS6" s="642" t="n"/>
      <c r="CT6" s="642" t="n"/>
      <c r="CU6" s="642" t="n"/>
      <c r="CV6" s="642" t="n"/>
      <c r="CW6" s="642" t="n"/>
      <c r="CX6" s="642" t="n"/>
      <c r="CY6" s="642" t="n"/>
      <c r="CZ6" s="642" t="n"/>
      <c r="DA6" s="642" t="n"/>
      <c r="DB6" s="642" t="n"/>
      <c r="DC6" s="642" t="n"/>
      <c r="DD6" s="642" t="n"/>
      <c r="DE6" s="642" t="n"/>
      <c r="DF6" s="642" t="n"/>
      <c r="DG6" s="642" t="n"/>
      <c r="DH6" s="642" t="n"/>
      <c r="DI6" s="642" t="n"/>
      <c r="DJ6" s="642" t="n"/>
      <c r="DK6" s="642" t="n"/>
      <c r="DL6" s="642" t="n"/>
      <c r="DM6" s="642" t="n"/>
      <c r="DN6" s="642" t="n"/>
      <c r="DO6" s="642" t="n"/>
      <c r="DP6" s="642" t="n"/>
      <c r="DQ6" s="642" t="n"/>
      <c r="DR6" s="642" t="n"/>
      <c r="DS6" s="642" t="n"/>
      <c r="DT6" s="642" t="n"/>
      <c r="DU6" s="642" t="n"/>
      <c r="DV6" s="642" t="n"/>
    </row>
    <row r="7">
      <c r="C7" s="334" t="inlineStr">
        <is>
          <t>Analysis Year</t>
        </is>
      </c>
      <c r="D7" s="334" t="n"/>
      <c r="E7" s="334" t="n"/>
      <c r="F7" s="644" t="n">
        <v>0</v>
      </c>
      <c r="G7" s="644">
        <f>ROUNDUP(G8/12,)</f>
        <v/>
      </c>
      <c r="H7" s="644">
        <f>ROUNDUP(H8/12,)</f>
        <v/>
      </c>
      <c r="I7" s="644">
        <f>ROUNDUP(I8/12,)</f>
        <v/>
      </c>
      <c r="J7" s="644">
        <f>ROUNDUP(J8/12,)</f>
        <v/>
      </c>
      <c r="K7" s="644">
        <f>ROUNDUP(K8/12,)</f>
        <v/>
      </c>
      <c r="L7" s="644">
        <f>ROUNDUP(L8/12,)</f>
        <v/>
      </c>
      <c r="M7" s="644">
        <f>ROUNDUP(M8/12,)</f>
        <v/>
      </c>
      <c r="N7" s="644">
        <f>ROUNDUP(N8/12,)</f>
        <v/>
      </c>
      <c r="O7" s="644">
        <f>ROUNDUP(O8/12,)</f>
        <v/>
      </c>
      <c r="P7" s="644">
        <f>ROUNDUP(P8/12,)</f>
        <v/>
      </c>
      <c r="Q7" s="644">
        <f>ROUNDUP(Q8/12,)</f>
        <v/>
      </c>
      <c r="R7" s="644">
        <f>ROUNDUP(R8/12,)</f>
        <v/>
      </c>
      <c r="S7" s="644">
        <f>ROUNDUP(S8/12,)</f>
        <v/>
      </c>
      <c r="T7" s="644">
        <f>ROUNDUP(T8/12,)</f>
        <v/>
      </c>
      <c r="U7" s="644">
        <f>ROUNDUP(U8/12,)</f>
        <v/>
      </c>
      <c r="V7" s="644">
        <f>ROUNDUP(V8/12,)</f>
        <v/>
      </c>
      <c r="W7" s="644">
        <f>ROUNDUP(W8/12,)</f>
        <v/>
      </c>
      <c r="X7" s="644">
        <f>ROUNDUP(X8/12,)</f>
        <v/>
      </c>
      <c r="Y7" s="644">
        <f>ROUNDUP(Y8/12,)</f>
        <v/>
      </c>
      <c r="Z7" s="644">
        <f>ROUNDUP(Z8/12,)</f>
        <v/>
      </c>
      <c r="AA7" s="644">
        <f>ROUNDUP(AA8/12,)</f>
        <v/>
      </c>
      <c r="AB7" s="644">
        <f>ROUNDUP(AB8/12,)</f>
        <v/>
      </c>
      <c r="AC7" s="644">
        <f>ROUNDUP(AC8/12,)</f>
        <v/>
      </c>
      <c r="AD7" s="644">
        <f>ROUNDUP(AD8/12,)</f>
        <v/>
      </c>
      <c r="AE7" s="644">
        <f>ROUNDUP(AE8/12,)</f>
        <v/>
      </c>
      <c r="AF7" s="644">
        <f>ROUNDUP(AF8/12,)</f>
        <v/>
      </c>
      <c r="AG7" s="644">
        <f>ROUNDUP(AG8/12,)</f>
        <v/>
      </c>
      <c r="AH7" s="644">
        <f>ROUNDUP(AH8/12,)</f>
        <v/>
      </c>
      <c r="AI7" s="644">
        <f>ROUNDUP(AI8/12,)</f>
        <v/>
      </c>
      <c r="AJ7" s="644">
        <f>ROUNDUP(AJ8/12,)</f>
        <v/>
      </c>
      <c r="AK7" s="644">
        <f>ROUNDUP(AK8/12,)</f>
        <v/>
      </c>
      <c r="AL7" s="644">
        <f>ROUNDUP(AL8/12,)</f>
        <v/>
      </c>
      <c r="AM7" s="644">
        <f>ROUNDUP(AM8/12,)</f>
        <v/>
      </c>
      <c r="AN7" s="644">
        <f>ROUNDUP(AN8/12,)</f>
        <v/>
      </c>
      <c r="AO7" s="644">
        <f>ROUNDUP(AO8/12,)</f>
        <v/>
      </c>
      <c r="AP7" s="644">
        <f>ROUNDUP(AP8/12,)</f>
        <v/>
      </c>
      <c r="AQ7" s="644">
        <f>ROUNDUP(AQ8/12,)</f>
        <v/>
      </c>
      <c r="AR7" s="644">
        <f>ROUNDUP(AR8/12,)</f>
        <v/>
      </c>
      <c r="AS7" s="644">
        <f>ROUNDUP(AS8/12,)</f>
        <v/>
      </c>
      <c r="AT7" s="644">
        <f>ROUNDUP(AT8/12,)</f>
        <v/>
      </c>
      <c r="AU7" s="644">
        <f>ROUNDUP(AU8/12,)</f>
        <v/>
      </c>
      <c r="AV7" s="644">
        <f>ROUNDUP(AV8/12,)</f>
        <v/>
      </c>
      <c r="AW7" s="644">
        <f>ROUNDUP(AW8/12,)</f>
        <v/>
      </c>
      <c r="AX7" s="644">
        <f>ROUNDUP(AX8/12,)</f>
        <v/>
      </c>
      <c r="AY7" s="644">
        <f>ROUNDUP(AY8/12,)</f>
        <v/>
      </c>
      <c r="AZ7" s="644">
        <f>ROUNDUP(AZ8/12,)</f>
        <v/>
      </c>
      <c r="BA7" s="644">
        <f>ROUNDUP(BA8/12,)</f>
        <v/>
      </c>
      <c r="BB7" s="644">
        <f>ROUNDUP(BB8/12,)</f>
        <v/>
      </c>
      <c r="BC7" s="644">
        <f>ROUNDUP(BC8/12,)</f>
        <v/>
      </c>
      <c r="BD7" s="644">
        <f>ROUNDUP(BD8/12,)</f>
        <v/>
      </c>
      <c r="BE7" s="644">
        <f>ROUNDUP(BE8/12,)</f>
        <v/>
      </c>
      <c r="BF7" s="644">
        <f>ROUNDUP(BF8/12,)</f>
        <v/>
      </c>
      <c r="BG7" s="644">
        <f>ROUNDUP(BG8/12,)</f>
        <v/>
      </c>
      <c r="BH7" s="644">
        <f>ROUNDUP(BH8/12,)</f>
        <v/>
      </c>
      <c r="BI7" s="644">
        <f>ROUNDUP(BI8/12,)</f>
        <v/>
      </c>
      <c r="BJ7" s="644">
        <f>ROUNDUP(BJ8/12,)</f>
        <v/>
      </c>
      <c r="BK7" s="644">
        <f>ROUNDUP(BK8/12,)</f>
        <v/>
      </c>
      <c r="BL7" s="644">
        <f>ROUNDUP(BL8/12,)</f>
        <v/>
      </c>
      <c r="BM7" s="644">
        <f>ROUNDUP(BM8/12,)</f>
        <v/>
      </c>
      <c r="BN7" s="644">
        <f>ROUNDUP(BN8/12,)</f>
        <v/>
      </c>
      <c r="BO7" s="644">
        <f>ROUNDUP(BO8/12,)</f>
        <v/>
      </c>
      <c r="BP7" s="644">
        <f>ROUNDUP(BP8/12,)</f>
        <v/>
      </c>
      <c r="BQ7" s="644">
        <f>ROUNDUP(BQ8/12,)</f>
        <v/>
      </c>
      <c r="BR7" s="644">
        <f>ROUNDUP(BR8/12,)</f>
        <v/>
      </c>
      <c r="BS7" s="644">
        <f>ROUNDUP(BS8/12,)</f>
        <v/>
      </c>
      <c r="BT7" s="644">
        <f>ROUNDUP(BT8/12,)</f>
        <v/>
      </c>
      <c r="BU7" s="644">
        <f>ROUNDUP(BU8/12,)</f>
        <v/>
      </c>
      <c r="BV7" s="644">
        <f>ROUNDUP(BV8/12,)</f>
        <v/>
      </c>
      <c r="BW7" s="644">
        <f>ROUNDUP(BW8/12,)</f>
        <v/>
      </c>
      <c r="BX7" s="644">
        <f>ROUNDUP(BX8/12,)</f>
        <v/>
      </c>
      <c r="BY7" s="644">
        <f>ROUNDUP(BY8/12,)</f>
        <v/>
      </c>
      <c r="BZ7" s="644">
        <f>ROUNDUP(BZ8/12,)</f>
        <v/>
      </c>
      <c r="CA7" s="644">
        <f>ROUNDUP(CA8/12,)</f>
        <v/>
      </c>
      <c r="CB7" s="644">
        <f>ROUNDUP(CB8/12,)</f>
        <v/>
      </c>
      <c r="CC7" s="644">
        <f>ROUNDUP(CC8/12,)</f>
        <v/>
      </c>
      <c r="CD7" s="644">
        <f>ROUNDUP(CD8/12,)</f>
        <v/>
      </c>
      <c r="CE7" s="644">
        <f>ROUNDUP(CE8/12,)</f>
        <v/>
      </c>
      <c r="CF7" s="644">
        <f>ROUNDUP(CF8/12,)</f>
        <v/>
      </c>
      <c r="CG7" s="644">
        <f>ROUNDUP(CG8/12,)</f>
        <v/>
      </c>
      <c r="CH7" s="644">
        <f>ROUNDUP(CH8/12,)</f>
        <v/>
      </c>
      <c r="CI7" s="644">
        <f>ROUNDUP(CI8/12,)</f>
        <v/>
      </c>
      <c r="CJ7" s="644">
        <f>ROUNDUP(CJ8/12,)</f>
        <v/>
      </c>
      <c r="CK7" s="644">
        <f>ROUNDUP(CK8/12,)</f>
        <v/>
      </c>
      <c r="CL7" s="644">
        <f>ROUNDUP(CL8/12,)</f>
        <v/>
      </c>
      <c r="CM7" s="644">
        <f>ROUNDUP(CM8/12,)</f>
        <v/>
      </c>
      <c r="CN7" s="644">
        <f>ROUNDUP(CN8/12,)</f>
        <v/>
      </c>
      <c r="CO7" s="644">
        <f>ROUNDUP(CO8/12,)</f>
        <v/>
      </c>
      <c r="CP7" s="644">
        <f>ROUNDUP(CP8/12,)</f>
        <v/>
      </c>
      <c r="CQ7" s="644">
        <f>ROUNDUP(CQ8/12,)</f>
        <v/>
      </c>
      <c r="CR7" s="644">
        <f>ROUNDUP(CR8/12,)</f>
        <v/>
      </c>
      <c r="CS7" s="644">
        <f>ROUNDUP(CS8/12,)</f>
        <v/>
      </c>
      <c r="CT7" s="644">
        <f>ROUNDUP(CT8/12,)</f>
        <v/>
      </c>
      <c r="CU7" s="644">
        <f>ROUNDUP(CU8/12,)</f>
        <v/>
      </c>
      <c r="CV7" s="644">
        <f>ROUNDUP(CV8/12,)</f>
        <v/>
      </c>
      <c r="CW7" s="644">
        <f>ROUNDUP(CW8/12,)</f>
        <v/>
      </c>
      <c r="CX7" s="644">
        <f>ROUNDUP(CX8/12,)</f>
        <v/>
      </c>
      <c r="CY7" s="644">
        <f>ROUNDUP(CY8/12,)</f>
        <v/>
      </c>
      <c r="CZ7" s="644">
        <f>ROUNDUP(CZ8/12,)</f>
        <v/>
      </c>
      <c r="DA7" s="644">
        <f>ROUNDUP(DA8/12,)</f>
        <v/>
      </c>
      <c r="DB7" s="644">
        <f>ROUNDUP(DB8/12,)</f>
        <v/>
      </c>
      <c r="DC7" s="644">
        <f>ROUNDUP(DC8/12,)</f>
        <v/>
      </c>
      <c r="DD7" s="644">
        <f>ROUNDUP(DD8/12,)</f>
        <v/>
      </c>
      <c r="DE7" s="644">
        <f>ROUNDUP(DE8/12,)</f>
        <v/>
      </c>
      <c r="DF7" s="644">
        <f>ROUNDUP(DF8/12,)</f>
        <v/>
      </c>
      <c r="DG7" s="644">
        <f>ROUNDUP(DG8/12,)</f>
        <v/>
      </c>
      <c r="DH7" s="644">
        <f>ROUNDUP(DH8/12,)</f>
        <v/>
      </c>
      <c r="DI7" s="644">
        <f>ROUNDUP(DI8/12,)</f>
        <v/>
      </c>
      <c r="DJ7" s="644">
        <f>ROUNDUP(DJ8/12,)</f>
        <v/>
      </c>
      <c r="DK7" s="644">
        <f>ROUNDUP(DK8/12,)</f>
        <v/>
      </c>
      <c r="DL7" s="644">
        <f>ROUNDUP(DL8/12,)</f>
        <v/>
      </c>
      <c r="DM7" s="644">
        <f>ROUNDUP(DM8/12,)</f>
        <v/>
      </c>
      <c r="DN7" s="644">
        <f>ROUNDUP(DN8/12,)</f>
        <v/>
      </c>
      <c r="DO7" s="644">
        <f>ROUNDUP(DO8/12,)</f>
        <v/>
      </c>
      <c r="DP7" s="644">
        <f>ROUNDUP(DP8/12,)</f>
        <v/>
      </c>
      <c r="DQ7" s="644">
        <f>ROUNDUP(DQ8/12,)</f>
        <v/>
      </c>
      <c r="DR7" s="644">
        <f>ROUNDUP(DR8/12,)</f>
        <v/>
      </c>
      <c r="DS7" s="644">
        <f>ROUNDUP(DS8/12,)</f>
        <v/>
      </c>
      <c r="DT7" s="644">
        <f>ROUNDUP(DT8/12,)</f>
        <v/>
      </c>
      <c r="DU7" s="644">
        <f>ROUNDUP(DU8/12,)</f>
        <v/>
      </c>
      <c r="DV7" s="644">
        <f>ROUNDUP(DV8/12,)</f>
        <v/>
      </c>
      <c r="DW7" s="322" t="inlineStr">
        <is>
          <t>x</t>
        </is>
      </c>
    </row>
    <row r="8">
      <c r="C8" s="334" t="inlineStr">
        <is>
          <t>Analysis Month</t>
        </is>
      </c>
      <c r="D8" s="334" t="n"/>
      <c r="E8" s="334" t="n"/>
      <c r="F8" s="645" t="n">
        <v>0</v>
      </c>
      <c r="G8" s="645">
        <f>F8+1</f>
        <v/>
      </c>
      <c r="H8" s="645">
        <f>G8+1</f>
        <v/>
      </c>
      <c r="I8" s="645">
        <f>H8+1</f>
        <v/>
      </c>
      <c r="J8" s="645">
        <f>I8+1</f>
        <v/>
      </c>
      <c r="K8" s="645">
        <f>J8+1</f>
        <v/>
      </c>
      <c r="L8" s="645">
        <f>K8+1</f>
        <v/>
      </c>
      <c r="M8" s="645">
        <f>L8+1</f>
        <v/>
      </c>
      <c r="N8" s="645">
        <f>M8+1</f>
        <v/>
      </c>
      <c r="O8" s="645">
        <f>N8+1</f>
        <v/>
      </c>
      <c r="P8" s="645">
        <f>O8+1</f>
        <v/>
      </c>
      <c r="Q8" s="645">
        <f>P8+1</f>
        <v/>
      </c>
      <c r="R8" s="645">
        <f>Q8+1</f>
        <v/>
      </c>
      <c r="S8" s="645">
        <f>R8+1</f>
        <v/>
      </c>
      <c r="T8" s="645">
        <f>S8+1</f>
        <v/>
      </c>
      <c r="U8" s="645">
        <f>T8+1</f>
        <v/>
      </c>
      <c r="V8" s="645">
        <f>U8+1</f>
        <v/>
      </c>
      <c r="W8" s="645">
        <f>V8+1</f>
        <v/>
      </c>
      <c r="X8" s="645">
        <f>W8+1</f>
        <v/>
      </c>
      <c r="Y8" s="645">
        <f>X8+1</f>
        <v/>
      </c>
      <c r="Z8" s="645">
        <f>Y8+1</f>
        <v/>
      </c>
      <c r="AA8" s="645">
        <f>Z8+1</f>
        <v/>
      </c>
      <c r="AB8" s="645">
        <f>AA8+1</f>
        <v/>
      </c>
      <c r="AC8" s="645">
        <f>AB8+1</f>
        <v/>
      </c>
      <c r="AD8" s="645">
        <f>AC8+1</f>
        <v/>
      </c>
      <c r="AE8" s="645">
        <f>AD8+1</f>
        <v/>
      </c>
      <c r="AF8" s="645">
        <f>AE8+1</f>
        <v/>
      </c>
      <c r="AG8" s="645">
        <f>AF8+1</f>
        <v/>
      </c>
      <c r="AH8" s="645">
        <f>AG8+1</f>
        <v/>
      </c>
      <c r="AI8" s="645">
        <f>AH8+1</f>
        <v/>
      </c>
      <c r="AJ8" s="645">
        <f>AI8+1</f>
        <v/>
      </c>
      <c r="AK8" s="645">
        <f>AJ8+1</f>
        <v/>
      </c>
      <c r="AL8" s="645">
        <f>AK8+1</f>
        <v/>
      </c>
      <c r="AM8" s="645">
        <f>AL8+1</f>
        <v/>
      </c>
      <c r="AN8" s="645">
        <f>AM8+1</f>
        <v/>
      </c>
      <c r="AO8" s="645">
        <f>AN8+1</f>
        <v/>
      </c>
      <c r="AP8" s="645">
        <f>AO8+1</f>
        <v/>
      </c>
      <c r="AQ8" s="645">
        <f>AP8+1</f>
        <v/>
      </c>
      <c r="AR8" s="645">
        <f>AQ8+1</f>
        <v/>
      </c>
      <c r="AS8" s="645">
        <f>AR8+1</f>
        <v/>
      </c>
      <c r="AT8" s="645">
        <f>AS8+1</f>
        <v/>
      </c>
      <c r="AU8" s="645">
        <f>AT8+1</f>
        <v/>
      </c>
      <c r="AV8" s="645">
        <f>AU8+1</f>
        <v/>
      </c>
      <c r="AW8" s="645">
        <f>AV8+1</f>
        <v/>
      </c>
      <c r="AX8" s="645">
        <f>AW8+1</f>
        <v/>
      </c>
      <c r="AY8" s="645">
        <f>AX8+1</f>
        <v/>
      </c>
      <c r="AZ8" s="645">
        <f>AY8+1</f>
        <v/>
      </c>
      <c r="BA8" s="645">
        <f>AZ8+1</f>
        <v/>
      </c>
      <c r="BB8" s="645">
        <f>BA8+1</f>
        <v/>
      </c>
      <c r="BC8" s="645">
        <f>BB8+1</f>
        <v/>
      </c>
      <c r="BD8" s="645">
        <f>BC8+1</f>
        <v/>
      </c>
      <c r="BE8" s="645">
        <f>BD8+1</f>
        <v/>
      </c>
      <c r="BF8" s="645">
        <f>BE8+1</f>
        <v/>
      </c>
      <c r="BG8" s="645">
        <f>BF8+1</f>
        <v/>
      </c>
      <c r="BH8" s="645">
        <f>BG8+1</f>
        <v/>
      </c>
      <c r="BI8" s="645">
        <f>BH8+1</f>
        <v/>
      </c>
      <c r="BJ8" s="645">
        <f>BI8+1</f>
        <v/>
      </c>
      <c r="BK8" s="645">
        <f>BJ8+1</f>
        <v/>
      </c>
      <c r="BL8" s="645">
        <f>BK8+1</f>
        <v/>
      </c>
      <c r="BM8" s="645">
        <f>BL8+1</f>
        <v/>
      </c>
      <c r="BN8" s="645">
        <f>BM8+1</f>
        <v/>
      </c>
      <c r="BO8" s="645">
        <f>BN8+1</f>
        <v/>
      </c>
      <c r="BP8" s="645">
        <f>BO8+1</f>
        <v/>
      </c>
      <c r="BQ8" s="645">
        <f>BP8+1</f>
        <v/>
      </c>
      <c r="BR8" s="645">
        <f>BQ8+1</f>
        <v/>
      </c>
      <c r="BS8" s="645">
        <f>BR8+1</f>
        <v/>
      </c>
      <c r="BT8" s="645">
        <f>BS8+1</f>
        <v/>
      </c>
      <c r="BU8" s="645">
        <f>BT8+1</f>
        <v/>
      </c>
      <c r="BV8" s="645">
        <f>BU8+1</f>
        <v/>
      </c>
      <c r="BW8" s="645">
        <f>BV8+1</f>
        <v/>
      </c>
      <c r="BX8" s="645">
        <f>BW8+1</f>
        <v/>
      </c>
      <c r="BY8" s="645">
        <f>BX8+1</f>
        <v/>
      </c>
      <c r="BZ8" s="645">
        <f>BY8+1</f>
        <v/>
      </c>
      <c r="CA8" s="645">
        <f>BZ8+1</f>
        <v/>
      </c>
      <c r="CB8" s="645">
        <f>CA8+1</f>
        <v/>
      </c>
      <c r="CC8" s="645">
        <f>CB8+1</f>
        <v/>
      </c>
      <c r="CD8" s="645">
        <f>CC8+1</f>
        <v/>
      </c>
      <c r="CE8" s="645">
        <f>CD8+1</f>
        <v/>
      </c>
      <c r="CF8" s="645">
        <f>CE8+1</f>
        <v/>
      </c>
      <c r="CG8" s="645">
        <f>CF8+1</f>
        <v/>
      </c>
      <c r="CH8" s="645">
        <f>CG8+1</f>
        <v/>
      </c>
      <c r="CI8" s="645">
        <f>CH8+1</f>
        <v/>
      </c>
      <c r="CJ8" s="645">
        <f>CI8+1</f>
        <v/>
      </c>
      <c r="CK8" s="645">
        <f>CJ8+1</f>
        <v/>
      </c>
      <c r="CL8" s="645">
        <f>CK8+1</f>
        <v/>
      </c>
      <c r="CM8" s="645">
        <f>CL8+1</f>
        <v/>
      </c>
      <c r="CN8" s="645">
        <f>CM8+1</f>
        <v/>
      </c>
      <c r="CO8" s="645">
        <f>CN8+1</f>
        <v/>
      </c>
      <c r="CP8" s="645">
        <f>CO8+1</f>
        <v/>
      </c>
      <c r="CQ8" s="645">
        <f>CP8+1</f>
        <v/>
      </c>
      <c r="CR8" s="645">
        <f>CQ8+1</f>
        <v/>
      </c>
      <c r="CS8" s="645">
        <f>CR8+1</f>
        <v/>
      </c>
      <c r="CT8" s="645">
        <f>CS8+1</f>
        <v/>
      </c>
      <c r="CU8" s="645">
        <f>CT8+1</f>
        <v/>
      </c>
      <c r="CV8" s="645">
        <f>CU8+1</f>
        <v/>
      </c>
      <c r="CW8" s="645">
        <f>CV8+1</f>
        <v/>
      </c>
      <c r="CX8" s="645">
        <f>CW8+1</f>
        <v/>
      </c>
      <c r="CY8" s="645">
        <f>CX8+1</f>
        <v/>
      </c>
      <c r="CZ8" s="645">
        <f>CY8+1</f>
        <v/>
      </c>
      <c r="DA8" s="645">
        <f>CZ8+1</f>
        <v/>
      </c>
      <c r="DB8" s="645">
        <f>DA8+1</f>
        <v/>
      </c>
      <c r="DC8" s="645">
        <f>DB8+1</f>
        <v/>
      </c>
      <c r="DD8" s="645">
        <f>DC8+1</f>
        <v/>
      </c>
      <c r="DE8" s="645">
        <f>DD8+1</f>
        <v/>
      </c>
      <c r="DF8" s="645">
        <f>DE8+1</f>
        <v/>
      </c>
      <c r="DG8" s="645">
        <f>DF8+1</f>
        <v/>
      </c>
      <c r="DH8" s="645">
        <f>DG8+1</f>
        <v/>
      </c>
      <c r="DI8" s="645">
        <f>DH8+1</f>
        <v/>
      </c>
      <c r="DJ8" s="645">
        <f>DI8+1</f>
        <v/>
      </c>
      <c r="DK8" s="645">
        <f>DJ8+1</f>
        <v/>
      </c>
      <c r="DL8" s="645">
        <f>DK8+1</f>
        <v/>
      </c>
      <c r="DM8" s="645">
        <f>DL8+1</f>
        <v/>
      </c>
      <c r="DN8" s="645">
        <f>DM8+1</f>
        <v/>
      </c>
      <c r="DO8" s="645">
        <f>DN8+1</f>
        <v/>
      </c>
      <c r="DP8" s="645">
        <f>DO8+1</f>
        <v/>
      </c>
      <c r="DQ8" s="645">
        <f>DP8+1</f>
        <v/>
      </c>
      <c r="DR8" s="645">
        <f>DQ8+1</f>
        <v/>
      </c>
      <c r="DS8" s="645">
        <f>DR8+1</f>
        <v/>
      </c>
      <c r="DT8" s="645">
        <f>DS8+1</f>
        <v/>
      </c>
      <c r="DU8" s="645">
        <f>DT8+1</f>
        <v/>
      </c>
      <c r="DV8" s="645">
        <f>DU8+1</f>
        <v/>
      </c>
      <c r="DW8" s="322" t="inlineStr">
        <is>
          <t>x</t>
        </is>
      </c>
    </row>
    <row r="9">
      <c r="C9" s="334" t="inlineStr">
        <is>
          <t>Date</t>
        </is>
      </c>
      <c r="D9" s="334" t="n"/>
      <c r="E9" s="334" t="n"/>
      <c r="F9" s="337">
        <f>EOMONTH(TODAY(),1)</f>
        <v/>
      </c>
      <c r="G9" s="337">
        <f>EOMONTH(F9,1)</f>
        <v/>
      </c>
      <c r="H9" s="337">
        <f>EOMONTH(G9,1)</f>
        <v/>
      </c>
      <c r="I9" s="337">
        <f>EOMONTH(H9,1)</f>
        <v/>
      </c>
      <c r="J9" s="337">
        <f>EOMONTH(I9,1)</f>
        <v/>
      </c>
      <c r="K9" s="337">
        <f>EOMONTH(J9,1)</f>
        <v/>
      </c>
      <c r="L9" s="337">
        <f>EOMONTH(K9,1)</f>
        <v/>
      </c>
      <c r="M9" s="337">
        <f>EOMONTH(L9,1)</f>
        <v/>
      </c>
      <c r="N9" s="337">
        <f>EOMONTH(M9,1)</f>
        <v/>
      </c>
      <c r="O9" s="337">
        <f>EOMONTH(N9,1)</f>
        <v/>
      </c>
      <c r="P9" s="337">
        <f>EOMONTH(O9,1)</f>
        <v/>
      </c>
      <c r="Q9" s="337">
        <f>EOMONTH(P9,1)</f>
        <v/>
      </c>
      <c r="R9" s="337">
        <f>EOMONTH(Q9,1)</f>
        <v/>
      </c>
      <c r="S9" s="337">
        <f>EOMONTH(R9,1)</f>
        <v/>
      </c>
      <c r="T9" s="337">
        <f>EOMONTH(S9,1)</f>
        <v/>
      </c>
      <c r="U9" s="337">
        <f>EOMONTH(T9,1)</f>
        <v/>
      </c>
      <c r="V9" s="337">
        <f>EOMONTH(U9,1)</f>
        <v/>
      </c>
      <c r="W9" s="337">
        <f>EOMONTH(V9,1)</f>
        <v/>
      </c>
      <c r="X9" s="337">
        <f>EOMONTH(W9,1)</f>
        <v/>
      </c>
      <c r="Y9" s="337">
        <f>EOMONTH(X9,1)</f>
        <v/>
      </c>
      <c r="Z9" s="337">
        <f>EOMONTH(Y9,1)</f>
        <v/>
      </c>
      <c r="AA9" s="337">
        <f>EOMONTH(Z9,1)</f>
        <v/>
      </c>
      <c r="AB9" s="337">
        <f>EOMONTH(AA9,1)</f>
        <v/>
      </c>
      <c r="AC9" s="337">
        <f>EOMONTH(AB9,1)</f>
        <v/>
      </c>
      <c r="AD9" s="337">
        <f>EOMONTH(AC9,1)</f>
        <v/>
      </c>
      <c r="AE9" s="337">
        <f>EOMONTH(AD9,1)</f>
        <v/>
      </c>
      <c r="AF9" s="337">
        <f>EOMONTH(AE9,1)</f>
        <v/>
      </c>
      <c r="AG9" s="337">
        <f>EOMONTH(AF9,1)</f>
        <v/>
      </c>
      <c r="AH9" s="337">
        <f>EOMONTH(AG9,1)</f>
        <v/>
      </c>
      <c r="AI9" s="337">
        <f>EOMONTH(AH9,1)</f>
        <v/>
      </c>
      <c r="AJ9" s="337">
        <f>EOMONTH(AI9,1)</f>
        <v/>
      </c>
      <c r="AK9" s="337">
        <f>EOMONTH(AJ9,1)</f>
        <v/>
      </c>
      <c r="AL9" s="337">
        <f>EOMONTH(AK9,1)</f>
        <v/>
      </c>
      <c r="AM9" s="337">
        <f>EOMONTH(AL9,1)</f>
        <v/>
      </c>
      <c r="AN9" s="337">
        <f>EOMONTH(AM9,1)</f>
        <v/>
      </c>
      <c r="AO9" s="337">
        <f>EOMONTH(AN9,1)</f>
        <v/>
      </c>
      <c r="AP9" s="337">
        <f>EOMONTH(AO9,1)</f>
        <v/>
      </c>
      <c r="AQ9" s="337">
        <f>EOMONTH(AP9,1)</f>
        <v/>
      </c>
      <c r="AR9" s="337">
        <f>EOMONTH(AQ9,1)</f>
        <v/>
      </c>
      <c r="AS9" s="337">
        <f>EOMONTH(AR9,1)</f>
        <v/>
      </c>
      <c r="AT9" s="337">
        <f>EOMONTH(AS9,1)</f>
        <v/>
      </c>
      <c r="AU9" s="337">
        <f>EOMONTH(AT9,1)</f>
        <v/>
      </c>
      <c r="AV9" s="337">
        <f>EOMONTH(AU9,1)</f>
        <v/>
      </c>
      <c r="AW9" s="337">
        <f>EOMONTH(AV9,1)</f>
        <v/>
      </c>
      <c r="AX9" s="337">
        <f>EOMONTH(AW9,1)</f>
        <v/>
      </c>
      <c r="AY9" s="337">
        <f>EOMONTH(AX9,1)</f>
        <v/>
      </c>
      <c r="AZ9" s="337">
        <f>EOMONTH(AY9,1)</f>
        <v/>
      </c>
      <c r="BA9" s="337">
        <f>EOMONTH(AZ9,1)</f>
        <v/>
      </c>
      <c r="BB9" s="337">
        <f>EOMONTH(BA9,1)</f>
        <v/>
      </c>
      <c r="BC9" s="337">
        <f>EOMONTH(BB9,1)</f>
        <v/>
      </c>
      <c r="BD9" s="337">
        <f>EOMONTH(BC9,1)</f>
        <v/>
      </c>
      <c r="BE9" s="337">
        <f>EOMONTH(BD9,1)</f>
        <v/>
      </c>
      <c r="BF9" s="337">
        <f>EOMONTH(BE9,1)</f>
        <v/>
      </c>
      <c r="BG9" s="337">
        <f>EOMONTH(BF9,1)</f>
        <v/>
      </c>
      <c r="BH9" s="337">
        <f>EOMONTH(BG9,1)</f>
        <v/>
      </c>
      <c r="BI9" s="337">
        <f>EOMONTH(BH9,1)</f>
        <v/>
      </c>
      <c r="BJ9" s="337">
        <f>EOMONTH(BI9,1)</f>
        <v/>
      </c>
      <c r="BK9" s="337">
        <f>EOMONTH(BJ9,1)</f>
        <v/>
      </c>
      <c r="BL9" s="337">
        <f>EOMONTH(BK9,1)</f>
        <v/>
      </c>
      <c r="BM9" s="337">
        <f>EOMONTH(BL9,1)</f>
        <v/>
      </c>
      <c r="BN9" s="337">
        <f>EOMONTH(BM9,1)</f>
        <v/>
      </c>
      <c r="BO9" s="337">
        <f>EOMONTH(BN9,1)</f>
        <v/>
      </c>
      <c r="BP9" s="337">
        <f>EOMONTH(BO9,1)</f>
        <v/>
      </c>
      <c r="BQ9" s="337">
        <f>EOMONTH(BP9,1)</f>
        <v/>
      </c>
      <c r="BR9" s="337">
        <f>EOMONTH(BQ9,1)</f>
        <v/>
      </c>
      <c r="BS9" s="337">
        <f>EOMONTH(BR9,1)</f>
        <v/>
      </c>
      <c r="BT9" s="337">
        <f>EOMONTH(BS9,1)</f>
        <v/>
      </c>
      <c r="BU9" s="337">
        <f>EOMONTH(BT9,1)</f>
        <v/>
      </c>
      <c r="BV9" s="337">
        <f>EOMONTH(BU9,1)</f>
        <v/>
      </c>
      <c r="BW9" s="337">
        <f>EOMONTH(BV9,1)</f>
        <v/>
      </c>
      <c r="BX9" s="337">
        <f>EOMONTH(BW9,1)</f>
        <v/>
      </c>
      <c r="BY9" s="337">
        <f>EOMONTH(BX9,1)</f>
        <v/>
      </c>
      <c r="BZ9" s="337">
        <f>EOMONTH(BY9,1)</f>
        <v/>
      </c>
      <c r="CA9" s="337">
        <f>EOMONTH(BZ9,1)</f>
        <v/>
      </c>
      <c r="CB9" s="337">
        <f>EOMONTH(CA9,1)</f>
        <v/>
      </c>
      <c r="CC9" s="337">
        <f>EOMONTH(CB9,1)</f>
        <v/>
      </c>
      <c r="CD9" s="337">
        <f>EOMONTH(CC9,1)</f>
        <v/>
      </c>
      <c r="CE9" s="337">
        <f>EOMONTH(CD9,1)</f>
        <v/>
      </c>
      <c r="CF9" s="337">
        <f>EOMONTH(CE9,1)</f>
        <v/>
      </c>
      <c r="CG9" s="337">
        <f>EOMONTH(CF9,1)</f>
        <v/>
      </c>
      <c r="CH9" s="337">
        <f>EOMONTH(CG9,1)</f>
        <v/>
      </c>
      <c r="CI9" s="337">
        <f>EOMONTH(CH9,1)</f>
        <v/>
      </c>
      <c r="CJ9" s="337">
        <f>EOMONTH(CI9,1)</f>
        <v/>
      </c>
      <c r="CK9" s="337">
        <f>EOMONTH(CJ9,1)</f>
        <v/>
      </c>
      <c r="CL9" s="337">
        <f>EOMONTH(CK9,1)</f>
        <v/>
      </c>
      <c r="CM9" s="337">
        <f>EOMONTH(CL9,1)</f>
        <v/>
      </c>
      <c r="CN9" s="337">
        <f>EOMONTH(CM9,1)</f>
        <v/>
      </c>
      <c r="CO9" s="337">
        <f>EOMONTH(CN9,1)</f>
        <v/>
      </c>
      <c r="CP9" s="337">
        <f>EOMONTH(CO9,1)</f>
        <v/>
      </c>
      <c r="CQ9" s="337">
        <f>EOMONTH(CP9,1)</f>
        <v/>
      </c>
      <c r="CR9" s="337">
        <f>EOMONTH(CQ9,1)</f>
        <v/>
      </c>
      <c r="CS9" s="337">
        <f>EOMONTH(CR9,1)</f>
        <v/>
      </c>
      <c r="CT9" s="337">
        <f>EOMONTH(CS9,1)</f>
        <v/>
      </c>
      <c r="CU9" s="337">
        <f>EOMONTH(CT9,1)</f>
        <v/>
      </c>
      <c r="CV9" s="337">
        <f>EOMONTH(CU9,1)</f>
        <v/>
      </c>
      <c r="CW9" s="337">
        <f>EOMONTH(CV9,1)</f>
        <v/>
      </c>
      <c r="CX9" s="337">
        <f>EOMONTH(CW9,1)</f>
        <v/>
      </c>
      <c r="CY9" s="337">
        <f>EOMONTH(CX9,1)</f>
        <v/>
      </c>
      <c r="CZ9" s="337">
        <f>EOMONTH(CY9,1)</f>
        <v/>
      </c>
      <c r="DA9" s="337">
        <f>EOMONTH(CZ9,1)</f>
        <v/>
      </c>
      <c r="DB9" s="337">
        <f>EOMONTH(DA9,1)</f>
        <v/>
      </c>
      <c r="DC9" s="337">
        <f>EOMONTH(DB9,1)</f>
        <v/>
      </c>
      <c r="DD9" s="337">
        <f>EOMONTH(DC9,1)</f>
        <v/>
      </c>
      <c r="DE9" s="337">
        <f>EOMONTH(DD9,1)</f>
        <v/>
      </c>
      <c r="DF9" s="337">
        <f>EOMONTH(DE9,1)</f>
        <v/>
      </c>
      <c r="DG9" s="337">
        <f>EOMONTH(DF9,1)</f>
        <v/>
      </c>
      <c r="DH9" s="337">
        <f>EOMONTH(DG9,1)</f>
        <v/>
      </c>
      <c r="DI9" s="337">
        <f>EOMONTH(DH9,1)</f>
        <v/>
      </c>
      <c r="DJ9" s="337">
        <f>EOMONTH(DI9,1)</f>
        <v/>
      </c>
      <c r="DK9" s="337">
        <f>EOMONTH(DJ9,1)</f>
        <v/>
      </c>
      <c r="DL9" s="337">
        <f>EOMONTH(DK9,1)</f>
        <v/>
      </c>
      <c r="DM9" s="337">
        <f>EOMONTH(DL9,1)</f>
        <v/>
      </c>
      <c r="DN9" s="337">
        <f>EOMONTH(DM9,1)</f>
        <v/>
      </c>
      <c r="DO9" s="337">
        <f>EOMONTH(DN9,1)</f>
        <v/>
      </c>
      <c r="DP9" s="337">
        <f>EOMONTH(DO9,1)</f>
        <v/>
      </c>
      <c r="DQ9" s="337">
        <f>EOMONTH(DP9,1)</f>
        <v/>
      </c>
      <c r="DR9" s="337">
        <f>EOMONTH(DQ9,1)</f>
        <v/>
      </c>
      <c r="DS9" s="337">
        <f>EOMONTH(DR9,1)</f>
        <v/>
      </c>
      <c r="DT9" s="337">
        <f>EOMONTH(DS9,1)</f>
        <v/>
      </c>
      <c r="DU9" s="337">
        <f>EOMONTH(DT9,1)</f>
        <v/>
      </c>
      <c r="DV9" s="337">
        <f>EOMONTH(DU9,1)</f>
        <v/>
      </c>
      <c r="DW9" s="322" t="inlineStr">
        <is>
          <t>x</t>
        </is>
      </c>
    </row>
    <row r="10">
      <c r="G10" s="642" t="n"/>
      <c r="H10" s="642" t="n"/>
      <c r="I10" s="642" t="n"/>
      <c r="J10" s="642" t="n"/>
      <c r="K10" s="642" t="n"/>
      <c r="L10" s="642" t="n"/>
      <c r="M10" s="642" t="n"/>
      <c r="N10" s="642" t="n"/>
      <c r="O10" s="642" t="n"/>
      <c r="P10" s="642" t="n"/>
      <c r="Q10" s="642" t="n"/>
      <c r="R10" s="642" t="n"/>
      <c r="S10" s="642" t="n"/>
      <c r="T10" s="642" t="n"/>
      <c r="U10" s="642" t="n"/>
      <c r="V10" s="642" t="n"/>
      <c r="W10" s="642" t="n"/>
      <c r="X10" s="642" t="n"/>
      <c r="Y10" s="642" t="n"/>
      <c r="Z10" s="642" t="n"/>
      <c r="AA10" s="642" t="n"/>
      <c r="AB10" s="642" t="n"/>
      <c r="AC10" s="642" t="n"/>
      <c r="AD10" s="642" t="n"/>
      <c r="AE10" s="642" t="n"/>
      <c r="AF10" s="642" t="n"/>
      <c r="AG10" s="642" t="n"/>
      <c r="AH10" s="642" t="n"/>
      <c r="AI10" s="642" t="n"/>
      <c r="AJ10" s="642" t="n"/>
      <c r="AK10" s="642" t="n"/>
      <c r="AL10" s="642" t="n"/>
      <c r="AM10" s="642" t="n"/>
      <c r="AN10" s="642" t="n"/>
      <c r="AO10" s="642" t="n"/>
      <c r="AP10" s="642" t="n"/>
      <c r="AQ10" s="642" t="n"/>
      <c r="AR10" s="642" t="n"/>
      <c r="AS10" s="642" t="n"/>
      <c r="AT10" s="642" t="n"/>
      <c r="AU10" s="642" t="n"/>
      <c r="AV10" s="642" t="n"/>
      <c r="AW10" s="642" t="n"/>
      <c r="AX10" s="642" t="n"/>
      <c r="AY10" s="642" t="n"/>
      <c r="AZ10" s="642" t="n"/>
      <c r="BA10" s="642" t="n"/>
      <c r="BB10" s="642" t="n"/>
      <c r="BC10" s="642" t="n"/>
      <c r="BD10" s="642" t="n"/>
      <c r="BE10" s="642" t="n"/>
      <c r="BF10" s="642" t="n"/>
      <c r="BG10" s="642" t="n"/>
      <c r="BH10" s="642" t="n"/>
      <c r="BI10" s="642" t="n"/>
      <c r="BJ10" s="642" t="n"/>
      <c r="BK10" s="642" t="n"/>
      <c r="BL10" s="642" t="n"/>
      <c r="BM10" s="642" t="n"/>
      <c r="BN10" s="642" t="n"/>
      <c r="BO10" s="642" t="n"/>
      <c r="BP10" s="642" t="n"/>
      <c r="BQ10" s="642" t="n"/>
      <c r="BR10" s="642" t="n"/>
      <c r="BS10" s="642" t="n"/>
      <c r="BT10" s="642" t="n"/>
      <c r="BU10" s="642" t="n"/>
      <c r="BV10" s="642" t="n"/>
      <c r="BW10" s="642" t="n"/>
      <c r="BX10" s="642" t="n"/>
      <c r="BY10" s="642" t="n"/>
      <c r="BZ10" s="642" t="n"/>
      <c r="CA10" s="642" t="n"/>
      <c r="CB10" s="642" t="n"/>
      <c r="CC10" s="642" t="n"/>
      <c r="CD10" s="642" t="n"/>
      <c r="CE10" s="642" t="n"/>
      <c r="CF10" s="642" t="n"/>
      <c r="CG10" s="642" t="n"/>
      <c r="CH10" s="642" t="n"/>
      <c r="CI10" s="642" t="n"/>
      <c r="CJ10" s="642" t="n"/>
      <c r="CK10" s="642" t="n"/>
      <c r="CL10" s="642" t="n"/>
      <c r="CM10" s="642" t="n"/>
      <c r="CN10" s="642" t="n"/>
      <c r="CO10" s="642" t="n"/>
      <c r="CP10" s="642" t="n"/>
      <c r="CQ10" s="642" t="n"/>
      <c r="CR10" s="642" t="n"/>
      <c r="CS10" s="642" t="n"/>
      <c r="CT10" s="642" t="n"/>
      <c r="CU10" s="642" t="n"/>
      <c r="CV10" s="642" t="n"/>
      <c r="CW10" s="642" t="n"/>
      <c r="CX10" s="642" t="n"/>
      <c r="CY10" s="642" t="n"/>
      <c r="CZ10" s="642" t="n"/>
      <c r="DA10" s="642" t="n"/>
      <c r="DB10" s="642" t="n"/>
      <c r="DC10" s="642" t="n"/>
      <c r="DD10" s="642" t="n"/>
      <c r="DE10" s="642" t="n"/>
      <c r="DF10" s="642" t="n"/>
      <c r="DG10" s="642" t="n"/>
      <c r="DH10" s="642" t="n"/>
      <c r="DI10" s="642" t="n"/>
      <c r="DJ10" s="642" t="n"/>
      <c r="DK10" s="642" t="n"/>
      <c r="DL10" s="642" t="n"/>
      <c r="DM10" s="642" t="n"/>
      <c r="DN10" s="642" t="n"/>
      <c r="DO10" s="642" t="n"/>
      <c r="DP10" s="642" t="n"/>
      <c r="DQ10" s="642" t="n"/>
      <c r="DR10" s="642" t="n"/>
      <c r="DS10" s="642" t="n"/>
      <c r="DT10" s="642" t="n"/>
      <c r="DU10" s="642" t="n"/>
      <c r="DV10" s="642" t="n"/>
      <c r="DW10" s="322" t="inlineStr">
        <is>
          <t>x</t>
        </is>
      </c>
    </row>
    <row r="11" outlineLevel="1">
      <c r="C11" s="338" t="inlineStr">
        <is>
          <t>Unlevered Cash Flow Pre-Fees</t>
        </is>
      </c>
      <c r="F11" s="646">
        <f>IF(F8&gt;$D$5,0,'Scenario 2'!E119)</f>
        <v/>
      </c>
      <c r="G11" s="646">
        <f>IF(G8&gt;$D$5,0,IFERROR(INDEX('Scenario 2'!$F$120:$J$120,MATCH(G7,'Scenario 2'!$F$110:$J$110,0))/12,0))</f>
        <v/>
      </c>
      <c r="H11" s="646">
        <f>IF(H8&gt;$D$5,0,IFERROR(INDEX('Scenario 2'!$F$120:$J$120,MATCH(H7,'Scenario 2'!$F$110:$J$110,0))/12,0))</f>
        <v/>
      </c>
      <c r="I11" s="646">
        <f>IF(I8&gt;$D$5,0,IFERROR(INDEX('Scenario 2'!$F$120:$J$120,MATCH(I7,'Scenario 2'!$F$110:$J$110,0))/12,0))</f>
        <v/>
      </c>
      <c r="J11" s="646">
        <f>IF(J8&gt;$D$5,0,IFERROR(INDEX('Scenario 2'!$F$120:$J$120,MATCH(J7,'Scenario 2'!$F$110:$J$110,0))/12,0))</f>
        <v/>
      </c>
      <c r="K11" s="646">
        <f>IF(K8&gt;$D$5,0,IFERROR(INDEX('Scenario 2'!$F$120:$J$120,MATCH(K7,'Scenario 2'!$F$110:$J$110,0))/12,0))</f>
        <v/>
      </c>
      <c r="L11" s="646">
        <f>IF(L8&gt;$D$5,0,IFERROR(INDEX('Scenario 2'!$F$120:$J$120,MATCH(L7,'Scenario 2'!$F$110:$J$110,0))/12,0))</f>
        <v/>
      </c>
      <c r="M11" s="646">
        <f>IF(M8&gt;$D$5,0,IFERROR(INDEX('Scenario 2'!$F$120:$J$120,MATCH(M7,'Scenario 2'!$F$110:$J$110,0))/12,0))</f>
        <v/>
      </c>
      <c r="N11" s="646">
        <f>IF(N8&gt;$D$5,0,IFERROR(INDEX('Scenario 2'!$F$120:$J$120,MATCH(N7,'Scenario 2'!$F$110:$J$110,0))/12,0))</f>
        <v/>
      </c>
      <c r="O11" s="646">
        <f>IF(O8&gt;$D$5,0,IFERROR(INDEX('Scenario 2'!$F$120:$J$120,MATCH(O7,'Scenario 2'!$F$110:$J$110,0))/12,0))</f>
        <v/>
      </c>
      <c r="P11" s="646">
        <f>IF(P8&gt;$D$5,0,IFERROR(INDEX('Scenario 2'!$F$120:$J$120,MATCH(P7,'Scenario 2'!$F$110:$J$110,0))/12,0))</f>
        <v/>
      </c>
      <c r="Q11" s="646">
        <f>IF(Q8&gt;$D$5,0,IFERROR(INDEX('Scenario 2'!$F$120:$J$120,MATCH(Q7,'Scenario 2'!$F$110:$J$110,0))/12,0))</f>
        <v/>
      </c>
      <c r="R11" s="646">
        <f>IF(R8&gt;$D$5,0,IFERROR(INDEX('Scenario 2'!$F$120:$J$120,MATCH(R7,'Scenario 2'!$F$110:$J$110,0))/12,0))</f>
        <v/>
      </c>
      <c r="S11" s="646">
        <f>IF(S8&gt;$D$5,0,IFERROR(INDEX('Scenario 2'!$F$120:$J$120,MATCH(S7,'Scenario 2'!$F$110:$J$110,0))/12,0))</f>
        <v/>
      </c>
      <c r="T11" s="646">
        <f>IF(T8&gt;$D$5,0,IFERROR(INDEX('Scenario 2'!$F$120:$J$120,MATCH(T7,'Scenario 2'!$F$110:$J$110,0))/12,0))</f>
        <v/>
      </c>
      <c r="U11" s="646">
        <f>IF(U8&gt;$D$5,0,IFERROR(INDEX('Scenario 2'!$F$120:$J$120,MATCH(U7,'Scenario 2'!$F$110:$J$110,0))/12,0))</f>
        <v/>
      </c>
      <c r="V11" s="646">
        <f>IF(V8&gt;$D$5,0,IFERROR(INDEX('Scenario 2'!$F$120:$J$120,MATCH(V7,'Scenario 2'!$F$110:$J$110,0))/12,0))</f>
        <v/>
      </c>
      <c r="W11" s="646">
        <f>IF(W8&gt;$D$5,0,IFERROR(INDEX('Scenario 2'!$F$120:$J$120,MATCH(W7,'Scenario 2'!$F$110:$J$110,0))/12,0))</f>
        <v/>
      </c>
      <c r="X11" s="646">
        <f>IF(X8&gt;$D$5,0,IFERROR(INDEX('Scenario 2'!$F$120:$J$120,MATCH(X7,'Scenario 2'!$F$110:$J$110,0))/12,0))</f>
        <v/>
      </c>
      <c r="Y11" s="646">
        <f>IF(Y8&gt;$D$5,0,IFERROR(INDEX('Scenario 2'!$F$120:$J$120,MATCH(Y7,'Scenario 2'!$F$110:$J$110,0))/12,0))</f>
        <v/>
      </c>
      <c r="Z11" s="646">
        <f>IF(Z8&gt;$D$5,0,IFERROR(INDEX('Scenario 2'!$F$120:$J$120,MATCH(Z7,'Scenario 2'!$F$110:$J$110,0))/12,0))</f>
        <v/>
      </c>
      <c r="AA11" s="646">
        <f>IF(AA8&gt;$D$5,0,IFERROR(INDEX('Scenario 2'!$F$120:$J$120,MATCH(AA7,'Scenario 2'!$F$110:$J$110,0))/12,0))</f>
        <v/>
      </c>
      <c r="AB11" s="646">
        <f>IF(AB8&gt;$D$5,0,IFERROR(INDEX('Scenario 2'!$F$120:$J$120,MATCH(AB7,'Scenario 2'!$F$110:$J$110,0))/12,0))</f>
        <v/>
      </c>
      <c r="AC11" s="646">
        <f>IF(AC8&gt;$D$5,0,IFERROR(INDEX('Scenario 2'!$F$120:$J$120,MATCH(AC7,'Scenario 2'!$F$110:$J$110,0))/12,0))</f>
        <v/>
      </c>
      <c r="AD11" s="646">
        <f>IF(AD8&gt;$D$5,0,IFERROR(INDEX('Scenario 2'!$F$120:$J$120,MATCH(AD7,'Scenario 2'!$F$110:$J$110,0))/12,0))</f>
        <v/>
      </c>
      <c r="AE11" s="646">
        <f>IF(AE8&gt;$D$5,0,IFERROR(INDEX('Scenario 2'!$F$120:$J$120,MATCH(AE7,'Scenario 2'!$F$110:$J$110,0))/12,0))</f>
        <v/>
      </c>
      <c r="AF11" s="646">
        <f>IF(AF8&gt;$D$5,0,IFERROR(INDEX('Scenario 2'!$F$120:$J$120,MATCH(AF7,'Scenario 2'!$F$110:$J$110,0))/12,0))</f>
        <v/>
      </c>
      <c r="AG11" s="646">
        <f>IF(AG8&gt;$D$5,0,IFERROR(INDEX('Scenario 2'!$F$120:$J$120,MATCH(AG7,'Scenario 2'!$F$110:$J$110,0))/12,0))</f>
        <v/>
      </c>
      <c r="AH11" s="646">
        <f>IF(AH8&gt;$D$5,0,IFERROR(INDEX('Scenario 2'!$F$120:$J$120,MATCH(AH7,'Scenario 2'!$F$110:$J$110,0))/12,0))</f>
        <v/>
      </c>
      <c r="AI11" s="646">
        <f>IF(AI8&gt;$D$5,0,IFERROR(INDEX('Scenario 2'!$F$120:$J$120,MATCH(AI7,'Scenario 2'!$F$110:$J$110,0))/12,0))</f>
        <v/>
      </c>
      <c r="AJ11" s="646">
        <f>IF(AJ8&gt;$D$5,0,IFERROR(INDEX('Scenario 2'!$F$120:$J$120,MATCH(AJ7,'Scenario 2'!$F$110:$J$110,0))/12,0))</f>
        <v/>
      </c>
      <c r="AK11" s="646">
        <f>IF(AK8&gt;$D$5,0,IFERROR(INDEX('Scenario 2'!$F$120:$J$120,MATCH(AK7,'Scenario 2'!$F$110:$J$110,0))/12,0))</f>
        <v/>
      </c>
      <c r="AL11" s="646">
        <f>IF(AL8&gt;$D$5,0,IFERROR(INDEX('Scenario 2'!$F$120:$J$120,MATCH(AL7,'Scenario 2'!$F$110:$J$110,0))/12,0))</f>
        <v/>
      </c>
      <c r="AM11" s="646">
        <f>IF(AM8&gt;$D$5,0,IFERROR(INDEX('Scenario 2'!$F$120:$J$120,MATCH(AM7,'Scenario 2'!$F$110:$J$110,0))/12,0))</f>
        <v/>
      </c>
      <c r="AN11" s="646">
        <f>IF(AN8&gt;$D$5,0,IFERROR(INDEX('Scenario 2'!$F$120:$J$120,MATCH(AN7,'Scenario 2'!$F$110:$J$110,0))/12,0))</f>
        <v/>
      </c>
      <c r="AO11" s="646">
        <f>IF(AO8&gt;$D$5,0,IFERROR(INDEX('Scenario 2'!$F$120:$J$120,MATCH(AO7,'Scenario 2'!$F$110:$J$110,0))/12,0))</f>
        <v/>
      </c>
      <c r="AP11" s="646">
        <f>IF(AP8&gt;$D$5,0,IFERROR(INDEX('Scenario 2'!$F$120:$J$120,MATCH(AP7,'Scenario 2'!$F$110:$J$110,0))/12,0))</f>
        <v/>
      </c>
      <c r="AQ11" s="646">
        <f>IF(AQ8&gt;$D$5,0,IFERROR(INDEX('Scenario 2'!$F$120:$J$120,MATCH(AQ7,'Scenario 2'!$F$110:$J$110,0))/12,0))</f>
        <v/>
      </c>
      <c r="AR11" s="646">
        <f>IF(AR8&gt;$D$5,0,IFERROR(INDEX('Scenario 2'!$F$120:$J$120,MATCH(AR7,'Scenario 2'!$F$110:$J$110,0))/12,0))</f>
        <v/>
      </c>
      <c r="AS11" s="646">
        <f>IF(AS8&gt;$D$5,0,IFERROR(INDEX('Scenario 2'!$F$120:$J$120,MATCH(AS7,'Scenario 2'!$F$110:$J$110,0))/12,0))</f>
        <v/>
      </c>
      <c r="AT11" s="646">
        <f>IF(AT8&gt;$D$5,0,IFERROR(INDEX('Scenario 2'!$F$120:$J$120,MATCH(AT7,'Scenario 2'!$F$110:$J$110,0))/12,0))</f>
        <v/>
      </c>
      <c r="AU11" s="646">
        <f>IF(AU8&gt;$D$5,0,IFERROR(INDEX('Scenario 2'!$F$120:$J$120,MATCH(AU7,'Scenario 2'!$F$110:$J$110,0))/12,0))</f>
        <v/>
      </c>
      <c r="AV11" s="646">
        <f>IF(AV8&gt;$D$5,0,IFERROR(INDEX('Scenario 2'!$F$120:$J$120,MATCH(AV7,'Scenario 2'!$F$110:$J$110,0))/12,0))</f>
        <v/>
      </c>
      <c r="AW11" s="646">
        <f>IF(AW8&gt;$D$5,0,IFERROR(INDEX('Scenario 2'!$F$120:$J$120,MATCH(AW7,'Scenario 2'!$F$110:$J$110,0))/12,0))</f>
        <v/>
      </c>
      <c r="AX11" s="646">
        <f>IF(AX8&gt;$D$5,0,IFERROR(INDEX('Scenario 2'!$F$120:$J$120,MATCH(AX7,'Scenario 2'!$F$110:$J$110,0))/12,0))</f>
        <v/>
      </c>
      <c r="AY11" s="646">
        <f>IF(AY8&gt;$D$5,0,IFERROR(INDEX('Scenario 2'!$F$120:$J$120,MATCH(AY7,'Scenario 2'!$F$110:$J$110,0))/12,0))</f>
        <v/>
      </c>
      <c r="AZ11" s="646">
        <f>IF(AZ8&gt;$D$5,0,IFERROR(INDEX('Scenario 2'!$F$120:$J$120,MATCH(AZ7,'Scenario 2'!$F$110:$J$110,0))/12,0))</f>
        <v/>
      </c>
      <c r="BA11" s="646">
        <f>IF(BA8&gt;$D$5,0,IFERROR(INDEX('Scenario 2'!$F$120:$J$120,MATCH(BA7,'Scenario 2'!$F$110:$J$110,0))/12,0))</f>
        <v/>
      </c>
      <c r="BB11" s="646">
        <f>IF(BB8&gt;$D$5,0,IFERROR(INDEX('Scenario 2'!$F$120:$J$120,MATCH(BB7,'Scenario 2'!$F$110:$J$110,0))/12,0))</f>
        <v/>
      </c>
      <c r="BC11" s="646">
        <f>IF(BC8&gt;$D$5,0,IFERROR(INDEX('Scenario 2'!$F$120:$J$120,MATCH(BC7,'Scenario 2'!$F$110:$J$110,0))/12,0))</f>
        <v/>
      </c>
      <c r="BD11" s="646">
        <f>IF(BD8&gt;$D$5,0,IFERROR(INDEX('Scenario 2'!$F$120:$J$120,MATCH(BD7,'Scenario 2'!$F$110:$J$110,0))/12,0))</f>
        <v/>
      </c>
      <c r="BE11" s="646">
        <f>IF(BE8&gt;$D$5,0,IFERROR(INDEX('Scenario 2'!$F$120:$J$120,MATCH(BE7,'Scenario 2'!$F$110:$J$110,0))/12,0))</f>
        <v/>
      </c>
      <c r="BF11" s="646">
        <f>IF(BF8&gt;$D$5,0,IFERROR(INDEX('Scenario 2'!$F$120:$J$120,MATCH(BF7,'Scenario 2'!$F$110:$J$110,0))/12,0))</f>
        <v/>
      </c>
      <c r="BG11" s="646">
        <f>IF(BG8&gt;$D$5,0,IFERROR(INDEX('Scenario 2'!$F$120:$J$120,MATCH(BG7,'Scenario 2'!$F$110:$J$110,0))/12,0))</f>
        <v/>
      </c>
      <c r="BH11" s="646">
        <f>IF(BH8&gt;$D$5,0,IFERROR(INDEX('Scenario 2'!$F$120:$J$120,MATCH(BH7,'Scenario 2'!$F$110:$J$110,0))/12,0))</f>
        <v/>
      </c>
      <c r="BI11" s="646">
        <f>IF(BI8&gt;$D$5,0,IFERROR(INDEX('Scenario 2'!$F$120:$J$120,MATCH(BI7,'Scenario 2'!$F$110:$J$110,0))/12,0))</f>
        <v/>
      </c>
      <c r="BJ11" s="646">
        <f>IF(BJ8&gt;$D$5,0,IFERROR(INDEX('Scenario 2'!$F$120:$J$120,MATCH(BJ7,'Scenario 2'!$F$110:$J$110,0))/12,0))</f>
        <v/>
      </c>
      <c r="BK11" s="646">
        <f>IF(BK8&gt;$D$5,0,IFERROR(INDEX('Scenario 2'!$F$120:$J$120,MATCH(BK7,'Scenario 2'!$F$110:$J$110,0))/12,0))</f>
        <v/>
      </c>
      <c r="BL11" s="646">
        <f>IF(BL8&gt;$D$5,0,IFERROR(INDEX('Scenario 2'!$F$120:$J$120,MATCH(BL7,'Scenario 2'!$F$110:$J$110,0))/12,0))</f>
        <v/>
      </c>
      <c r="BM11" s="646">
        <f>IF(BM8&gt;$D$5,0,IFERROR(INDEX('Scenario 2'!$F$120:$J$120,MATCH(BM7,'Scenario 2'!$F$110:$J$110,0))/12,0))</f>
        <v/>
      </c>
      <c r="BN11" s="646">
        <f>IF(BN8&gt;$D$5,0,IFERROR(INDEX('Scenario 2'!$F$120:$J$120,MATCH(BN7,'Scenario 2'!$F$110:$J$110,0))/12,0))</f>
        <v/>
      </c>
      <c r="BO11" s="646">
        <f>IF(BO8&gt;$D$5,0,IFERROR(INDEX('Scenario 2'!$F$120:$J$120,MATCH(BO7,'Scenario 2'!$F$110:$J$110,0))/12,0))</f>
        <v/>
      </c>
      <c r="BP11" s="646">
        <f>IF(BP8&gt;$D$5,0,IFERROR(INDEX('Scenario 2'!$F$120:$J$120,MATCH(BP7,'Scenario 2'!$F$110:$J$110,0))/12,0))</f>
        <v/>
      </c>
      <c r="BQ11" s="646">
        <f>IF(BQ8&gt;$D$5,0,IFERROR(INDEX('Scenario 2'!$F$120:$J$120,MATCH(BQ7,'Scenario 2'!$F$110:$J$110,0))/12,0))</f>
        <v/>
      </c>
      <c r="BR11" s="646">
        <f>IF(BR8&gt;$D$5,0,IFERROR(INDEX('Scenario 2'!$F$120:$J$120,MATCH(BR7,'Scenario 2'!$F$110:$J$110,0))/12,0))</f>
        <v/>
      </c>
      <c r="BS11" s="646">
        <f>IF(BS8&gt;$D$5,0,IFERROR(INDEX('Scenario 2'!$F$120:$J$120,MATCH(BS7,'Scenario 2'!$F$110:$J$110,0))/12,0))</f>
        <v/>
      </c>
      <c r="BT11" s="646">
        <f>IF(BT8&gt;$D$5,0,IFERROR(INDEX('Scenario 2'!$F$120:$J$120,MATCH(BT7,'Scenario 2'!$F$110:$J$110,0))/12,0))</f>
        <v/>
      </c>
      <c r="BU11" s="646">
        <f>IF(BU8&gt;$D$5,0,IFERROR(INDEX('Scenario 2'!$F$120:$J$120,MATCH(BU7,'Scenario 2'!$F$110:$J$110,0))/12,0))</f>
        <v/>
      </c>
      <c r="BV11" s="646">
        <f>IF(BV8&gt;$D$5,0,IFERROR(INDEX('Scenario 2'!$F$120:$J$120,MATCH(BV7,'Scenario 2'!$F$110:$J$110,0))/12,0))</f>
        <v/>
      </c>
      <c r="BW11" s="646">
        <f>IF(BW8&gt;$D$5,0,IFERROR(INDEX('Scenario 2'!$F$120:$J$120,MATCH(BW7,'Scenario 2'!$F$110:$J$110,0))/12,0))</f>
        <v/>
      </c>
      <c r="BX11" s="646">
        <f>IF(BX8&gt;$D$5,0,IFERROR(INDEX('Scenario 2'!$F$120:$J$120,MATCH(BX7,'Scenario 2'!$F$110:$J$110,0))/12,0))</f>
        <v/>
      </c>
      <c r="BY11" s="646">
        <f>IF(BY8&gt;$D$5,0,IFERROR(INDEX('Scenario 2'!$F$120:$J$120,MATCH(BY7,'Scenario 2'!$F$110:$J$110,0))/12,0))</f>
        <v/>
      </c>
      <c r="BZ11" s="646">
        <f>IF(BZ8&gt;$D$5,0,IFERROR(INDEX('Scenario 2'!$F$120:$J$120,MATCH(BZ7,'Scenario 2'!$F$110:$J$110,0))/12,0))</f>
        <v/>
      </c>
      <c r="CA11" s="646">
        <f>IF(CA8&gt;$D$5,0,IFERROR(INDEX('Scenario 2'!$F$120:$J$120,MATCH(CA7,'Scenario 2'!$F$110:$J$110,0))/12,0))</f>
        <v/>
      </c>
      <c r="CB11" s="646">
        <f>IF(CB8&gt;$D$5,0,IFERROR(INDEX('Scenario 2'!$F$120:$J$120,MATCH(CB7,'Scenario 2'!$F$110:$J$110,0))/12,0))</f>
        <v/>
      </c>
      <c r="CC11" s="646">
        <f>IF(CC8&gt;$D$5,0,IFERROR(INDEX('Scenario 2'!$F$120:$J$120,MATCH(CC7,'Scenario 2'!$F$110:$J$110,0))/12,0))</f>
        <v/>
      </c>
      <c r="CD11" s="646">
        <f>IF(CD8&gt;$D$5,0,IFERROR(INDEX('Scenario 2'!$F$120:$J$120,MATCH(CD7,'Scenario 2'!$F$110:$J$110,0))/12,0))</f>
        <v/>
      </c>
      <c r="CE11" s="646">
        <f>IF(CE8&gt;$D$5,0,IFERROR(INDEX('Scenario 2'!$F$120:$J$120,MATCH(CE7,'Scenario 2'!$F$110:$J$110,0))/12,0))</f>
        <v/>
      </c>
      <c r="CF11" s="646">
        <f>IF(CF8&gt;$D$5,0,IFERROR(INDEX('Scenario 2'!$F$120:$J$120,MATCH(CF7,'Scenario 2'!$F$110:$J$110,0))/12,0))</f>
        <v/>
      </c>
      <c r="CG11" s="646">
        <f>IF(CG8&gt;$D$5,0,IFERROR(INDEX('Scenario 2'!$F$120:$J$120,MATCH(CG7,'Scenario 2'!$F$110:$J$110,0))/12,0))</f>
        <v/>
      </c>
      <c r="CH11" s="646">
        <f>IF(CH8&gt;$D$5,0,IFERROR(INDEX('Scenario 2'!$F$120:$J$120,MATCH(CH7,'Scenario 2'!$F$110:$J$110,0))/12,0))</f>
        <v/>
      </c>
      <c r="CI11" s="646">
        <f>IF(CI8&gt;$D$5,0,IFERROR(INDEX('Scenario 2'!$F$120:$J$120,MATCH(CI7,'Scenario 2'!$F$110:$J$110,0))/12,0))</f>
        <v/>
      </c>
      <c r="CJ11" s="646">
        <f>IF(CJ8&gt;$D$5,0,IFERROR(INDEX('Scenario 2'!$F$120:$J$120,MATCH(CJ7,'Scenario 2'!$F$110:$J$110,0))/12,0))</f>
        <v/>
      </c>
      <c r="CK11" s="646">
        <f>IF(CK8&gt;$D$5,0,IFERROR(INDEX('Scenario 2'!$F$120:$J$120,MATCH(CK7,'Scenario 2'!$F$110:$J$110,0))/12,0))</f>
        <v/>
      </c>
      <c r="CL11" s="646">
        <f>IF(CL8&gt;$D$5,0,IFERROR(INDEX('Scenario 2'!$F$120:$J$120,MATCH(CL7,'Scenario 2'!$F$110:$J$110,0))/12,0))</f>
        <v/>
      </c>
      <c r="CM11" s="646">
        <f>IF(CM8&gt;$D$5,0,IFERROR(INDEX('Scenario 2'!$F$120:$J$120,MATCH(CM7,'Scenario 2'!$F$110:$J$110,0))/12,0))</f>
        <v/>
      </c>
      <c r="CN11" s="646">
        <f>IF(CN8&gt;$D$5,0,IFERROR(INDEX('Scenario 2'!$F$120:$J$120,MATCH(CN7,'Scenario 2'!$F$110:$J$110,0))/12,0))</f>
        <v/>
      </c>
      <c r="CO11" s="646">
        <f>IF(CO8&gt;$D$5,0,IFERROR(INDEX('Scenario 2'!$F$120:$J$120,MATCH(CO7,'Scenario 2'!$F$110:$J$110,0))/12,0))</f>
        <v/>
      </c>
      <c r="CP11" s="646">
        <f>IF(CP8&gt;$D$5,0,IFERROR(INDEX('Scenario 2'!$F$120:$J$120,MATCH(CP7,'Scenario 2'!$F$110:$J$110,0))/12,0))</f>
        <v/>
      </c>
      <c r="CQ11" s="646">
        <f>IF(CQ8&gt;$D$5,0,IFERROR(INDEX('Scenario 2'!$F$120:$J$120,MATCH(CQ7,'Scenario 2'!$F$110:$J$110,0))/12,0))</f>
        <v/>
      </c>
      <c r="CR11" s="646">
        <f>IF(CR8&gt;$D$5,0,IFERROR(INDEX('Scenario 2'!$F$120:$J$120,MATCH(CR7,'Scenario 2'!$F$110:$J$110,0))/12,0))</f>
        <v/>
      </c>
      <c r="CS11" s="646">
        <f>IF(CS8&gt;$D$5,0,IFERROR(INDEX('Scenario 2'!$F$120:$J$120,MATCH(CS7,'Scenario 2'!$F$110:$J$110,0))/12,0))</f>
        <v/>
      </c>
      <c r="CT11" s="646">
        <f>IF(CT8&gt;$D$5,0,IFERROR(INDEX('Scenario 2'!$F$120:$J$120,MATCH(CT7,'Scenario 2'!$F$110:$J$110,0))/12,0))</f>
        <v/>
      </c>
      <c r="CU11" s="646">
        <f>IF(CU8&gt;$D$5,0,IFERROR(INDEX('Scenario 2'!$F$120:$J$120,MATCH(CU7,'Scenario 2'!$F$110:$J$110,0))/12,0))</f>
        <v/>
      </c>
      <c r="CV11" s="646">
        <f>IF(CV8&gt;$D$5,0,IFERROR(INDEX('Scenario 2'!$F$120:$J$120,MATCH(CV7,'Scenario 2'!$F$110:$J$110,0))/12,0))</f>
        <v/>
      </c>
      <c r="CW11" s="646">
        <f>IF(CW8&gt;$D$5,0,IFERROR(INDEX('Scenario 2'!$F$120:$J$120,MATCH(CW7,'Scenario 2'!$F$110:$J$110,0))/12,0))</f>
        <v/>
      </c>
      <c r="CX11" s="646">
        <f>IF(CX8&gt;$D$5,0,IFERROR(INDEX('Scenario 2'!$F$120:$J$120,MATCH(CX7,'Scenario 2'!$F$110:$J$110,0))/12,0))</f>
        <v/>
      </c>
      <c r="CY11" s="646">
        <f>IF(CY8&gt;$D$5,0,IFERROR(INDEX('Scenario 2'!$F$120:$J$120,MATCH(CY7,'Scenario 2'!$F$110:$J$110,0))/12,0))</f>
        <v/>
      </c>
      <c r="CZ11" s="646">
        <f>IF(CZ8&gt;$D$5,0,IFERROR(INDEX('Scenario 2'!$F$120:$J$120,MATCH(CZ7,'Scenario 2'!$F$110:$J$110,0))/12,0))</f>
        <v/>
      </c>
      <c r="DA11" s="646">
        <f>IF(DA8&gt;$D$5,0,IFERROR(INDEX('Scenario 2'!$F$120:$J$120,MATCH(DA7,'Scenario 2'!$F$110:$J$110,0))/12,0))</f>
        <v/>
      </c>
      <c r="DB11" s="646">
        <f>IF(DB8&gt;$D$5,0,IFERROR(INDEX('Scenario 2'!$F$120:$J$120,MATCH(DB7,'Scenario 2'!$F$110:$J$110,0))/12,0))</f>
        <v/>
      </c>
      <c r="DC11" s="646">
        <f>IF(DC8&gt;$D$5,0,IFERROR(INDEX('Scenario 2'!$F$120:$J$120,MATCH(DC7,'Scenario 2'!$F$110:$J$110,0))/12,0))</f>
        <v/>
      </c>
      <c r="DD11" s="646">
        <f>IF(DD8&gt;$D$5,0,IFERROR(INDEX('Scenario 2'!$F$120:$J$120,MATCH(DD7,'Scenario 2'!$F$110:$J$110,0))/12,0))</f>
        <v/>
      </c>
      <c r="DE11" s="646">
        <f>IF(DE8&gt;$D$5,0,IFERROR(INDEX('Scenario 2'!$F$120:$J$120,MATCH(DE7,'Scenario 2'!$F$110:$J$110,0))/12,0))</f>
        <v/>
      </c>
      <c r="DF11" s="646">
        <f>IF(DF8&gt;$D$5,0,IFERROR(INDEX('Scenario 2'!$F$120:$J$120,MATCH(DF7,'Scenario 2'!$F$110:$J$110,0))/12,0))</f>
        <v/>
      </c>
      <c r="DG11" s="646">
        <f>IF(DG8&gt;$D$5,0,IFERROR(INDEX('Scenario 2'!$F$120:$J$120,MATCH(DG7,'Scenario 2'!$F$110:$J$110,0))/12,0))</f>
        <v/>
      </c>
      <c r="DH11" s="646">
        <f>IF(DH8&gt;$D$5,0,IFERROR(INDEX('Scenario 2'!$F$120:$J$120,MATCH(DH7,'Scenario 2'!$F$110:$J$110,0))/12,0))</f>
        <v/>
      </c>
      <c r="DI11" s="646">
        <f>IF(DI8&gt;$D$5,0,IFERROR(INDEX('Scenario 2'!$F$120:$J$120,MATCH(DI7,'Scenario 2'!$F$110:$J$110,0))/12,0))</f>
        <v/>
      </c>
      <c r="DJ11" s="646">
        <f>IF(DJ8&gt;$D$5,0,IFERROR(INDEX('Scenario 2'!$F$120:$J$120,MATCH(DJ7,'Scenario 2'!$F$110:$J$110,0))/12,0))</f>
        <v/>
      </c>
      <c r="DK11" s="646">
        <f>IF(DK8&gt;$D$5,0,IFERROR(INDEX('Scenario 2'!$F$120:$J$120,MATCH(DK7,'Scenario 2'!$F$110:$J$110,0))/12,0))</f>
        <v/>
      </c>
      <c r="DL11" s="646">
        <f>IF(DL8&gt;$D$5,0,IFERROR(INDEX('Scenario 2'!$F$120:$J$120,MATCH(DL7,'Scenario 2'!$F$110:$J$110,0))/12,0))</f>
        <v/>
      </c>
      <c r="DM11" s="646">
        <f>IF(DM8&gt;$D$5,0,IFERROR(INDEX('Scenario 2'!$F$120:$J$120,MATCH(DM7,'Scenario 2'!$F$110:$J$110,0))/12,0))</f>
        <v/>
      </c>
      <c r="DN11" s="646">
        <f>IF(DN8&gt;$D$5,0,IFERROR(INDEX('Scenario 2'!$F$120:$J$120,MATCH(DN7,'Scenario 2'!$F$110:$J$110,0))/12,0))</f>
        <v/>
      </c>
      <c r="DO11" s="646">
        <f>IF(DO8&gt;$D$5,0,IFERROR(INDEX('Scenario 2'!$F$120:$J$120,MATCH(DO7,'Scenario 2'!$F$110:$J$110,0))/12,0))</f>
        <v/>
      </c>
      <c r="DP11" s="646">
        <f>IF(DP8&gt;$D$5,0,IFERROR(INDEX('Scenario 2'!$F$120:$J$120,MATCH(DP7,'Scenario 2'!$F$110:$J$110,0))/12,0))</f>
        <v/>
      </c>
      <c r="DQ11" s="646">
        <f>IF(DQ8&gt;$D$5,0,IFERROR(INDEX('Scenario 2'!$F$120:$J$120,MATCH(DQ7,'Scenario 2'!$F$110:$J$110,0))/12,0))</f>
        <v/>
      </c>
      <c r="DR11" s="646">
        <f>IF(DR8&gt;$D$5,0,IFERROR(INDEX('Scenario 2'!$F$120:$J$120,MATCH(DR7,'Scenario 2'!$F$110:$J$110,0))/12,0))</f>
        <v/>
      </c>
      <c r="DS11" s="646">
        <f>IF(DS8&gt;$D$5,0,IFERROR(INDEX('Scenario 2'!$F$120:$J$120,MATCH(DS7,'Scenario 2'!$F$110:$J$110,0))/12,0))</f>
        <v/>
      </c>
      <c r="DT11" s="646">
        <f>IF(DT8&gt;$D$5,0,IFERROR(INDEX('Scenario 2'!$F$120:$J$120,MATCH(DT7,'Scenario 2'!$F$110:$J$110,0))/12,0))</f>
        <v/>
      </c>
      <c r="DU11" s="646">
        <f>IF(DU8&gt;$D$5,0,IFERROR(INDEX('Scenario 2'!$F$120:$J$120,MATCH(DU7,'Scenario 2'!$F$110:$J$110,0))/12,0))</f>
        <v/>
      </c>
      <c r="DV11" s="646">
        <f>IF(DV8&gt;$D$5,0,IFERROR(INDEX('Scenario 2'!$F$120:$J$120,MATCH(DV7,'Scenario 2'!$F$110:$J$110,0))/12,0))</f>
        <v/>
      </c>
      <c r="DW11" s="322" t="inlineStr">
        <is>
          <t>x</t>
        </is>
      </c>
    </row>
    <row r="12" outlineLevel="1">
      <c r="C12" s="338" t="inlineStr">
        <is>
          <t>Sale Proceeds</t>
        </is>
      </c>
      <c r="F12" s="646" t="n"/>
      <c r="G12" s="646">
        <f>IF(G8=$D$5,SUM('Scenario 2'!$F$126:$J$126),0)</f>
        <v/>
      </c>
      <c r="H12" s="646">
        <f>IF(H8=$D$5,SUM('Scenario 2'!$F$126:$J$126),0)</f>
        <v/>
      </c>
      <c r="I12" s="646">
        <f>IF(I8=$D$5,SUM('Scenario 2'!$F$126:$J$126),0)</f>
        <v/>
      </c>
      <c r="J12" s="646">
        <f>IF(J8=$D$5,SUM('Scenario 2'!$F$126:$J$126),0)</f>
        <v/>
      </c>
      <c r="K12" s="646">
        <f>IF(K8=$D$5,SUM('Scenario 2'!$F$126:$J$126),0)</f>
        <v/>
      </c>
      <c r="L12" s="646">
        <f>IF(L8=$D$5,SUM('Scenario 2'!$F$126:$J$126),0)</f>
        <v/>
      </c>
      <c r="M12" s="646">
        <f>IF(M8=$D$5,SUM('Scenario 2'!$F$126:$J$126),0)</f>
        <v/>
      </c>
      <c r="N12" s="646">
        <f>IF(N8=$D$5,SUM('Scenario 2'!$F$126:$J$126),0)</f>
        <v/>
      </c>
      <c r="O12" s="646">
        <f>IF(O8=$D$5,SUM('Scenario 2'!$F$126:$J$126),0)</f>
        <v/>
      </c>
      <c r="P12" s="646">
        <f>IF(P8=$D$5,SUM('Scenario 2'!$F$126:$J$126),0)</f>
        <v/>
      </c>
      <c r="Q12" s="646">
        <f>IF(Q8=$D$5,SUM('Scenario 2'!$F$126:$J$126),0)</f>
        <v/>
      </c>
      <c r="R12" s="646">
        <f>IF(R8=$D$5,SUM('Scenario 2'!$F$126:$J$126),0)</f>
        <v/>
      </c>
      <c r="S12" s="646">
        <f>IF(S8=$D$5,SUM('Scenario 2'!$F$126:$J$126),0)</f>
        <v/>
      </c>
      <c r="T12" s="646">
        <f>IF(T8=$D$5,SUM('Scenario 2'!$F$126:$J$126),0)</f>
        <v/>
      </c>
      <c r="U12" s="646">
        <f>IF(U8=$D$5,SUM('Scenario 2'!$F$126:$J$126),0)</f>
        <v/>
      </c>
      <c r="V12" s="646">
        <f>IF(V8=$D$5,SUM('Scenario 2'!$F$126:$J$126),0)</f>
        <v/>
      </c>
      <c r="W12" s="646">
        <f>IF(W8=$D$5,SUM('Scenario 2'!$F$126:$J$126),0)</f>
        <v/>
      </c>
      <c r="X12" s="646">
        <f>IF(X8=$D$5,SUM('Scenario 2'!$F$126:$J$126),0)</f>
        <v/>
      </c>
      <c r="Y12" s="646">
        <f>IF(Y8=$D$5,SUM('Scenario 2'!$F$126:$J$126),0)</f>
        <v/>
      </c>
      <c r="Z12" s="646">
        <f>IF(Z8=$D$5,SUM('Scenario 2'!$F$126:$J$126),0)</f>
        <v/>
      </c>
      <c r="AA12" s="646">
        <f>IF(AA8=$D$5,SUM('Scenario 2'!$F$126:$J$126),0)</f>
        <v/>
      </c>
      <c r="AB12" s="646">
        <f>IF(AB8=$D$5,SUM('Scenario 2'!$F$126:$J$126),0)</f>
        <v/>
      </c>
      <c r="AC12" s="646">
        <f>IF(AC8=$D$5,SUM('Scenario 2'!$F$126:$J$126),0)</f>
        <v/>
      </c>
      <c r="AD12" s="646">
        <f>IF(AD8=$D$5,SUM('Scenario 2'!$F$126:$J$126),0)</f>
        <v/>
      </c>
      <c r="AE12" s="646">
        <f>IF(AE8=$D$5,SUM('Scenario 2'!$F$126:$J$126),0)</f>
        <v/>
      </c>
      <c r="AF12" s="646">
        <f>IF(AF8=$D$5,SUM('Scenario 2'!$F$126:$J$126),0)</f>
        <v/>
      </c>
      <c r="AG12" s="646">
        <f>IF(AG8=$D$5,SUM('Scenario 2'!$F$126:$J$126),0)</f>
        <v/>
      </c>
      <c r="AH12" s="646">
        <f>IF(AH8=$D$5,SUM('Scenario 2'!$F$126:$J$126),0)</f>
        <v/>
      </c>
      <c r="AI12" s="646">
        <f>IF(AI8=$D$5,SUM('Scenario 2'!$F$126:$J$126),0)</f>
        <v/>
      </c>
      <c r="AJ12" s="646">
        <f>IF(AJ8=$D$5,SUM('Scenario 2'!$F$126:$J$126),0)</f>
        <v/>
      </c>
      <c r="AK12" s="646">
        <f>IF(AK8=$D$5,SUM('Scenario 2'!$F$126:$J$126),0)</f>
        <v/>
      </c>
      <c r="AL12" s="646">
        <f>IF(AL8=$D$5,SUM('Scenario 2'!$F$126:$J$126),0)</f>
        <v/>
      </c>
      <c r="AM12" s="646">
        <f>IF(AM8=$D$5,SUM('Scenario 2'!$F$126:$J$126),0)</f>
        <v/>
      </c>
      <c r="AN12" s="646">
        <f>IF(AN8=$D$5,SUM('Scenario 2'!$F$126:$J$126),0)</f>
        <v/>
      </c>
      <c r="AO12" s="646">
        <f>IF(AO8=$D$5,SUM('Scenario 2'!$F$126:$J$126),0)</f>
        <v/>
      </c>
      <c r="AP12" s="646">
        <f>IF(AP8=$D$5,SUM('Scenario 2'!$F$126:$J$126),0)</f>
        <v/>
      </c>
      <c r="AQ12" s="646">
        <f>IF(AQ8=$D$5,SUM('Scenario 2'!$F$126:$J$126),0)</f>
        <v/>
      </c>
      <c r="AR12" s="646">
        <f>IF(AR8=$D$5,SUM('Scenario 2'!$F$126:$J$126),0)</f>
        <v/>
      </c>
      <c r="AS12" s="646">
        <f>IF(AS8=$D$5,SUM('Scenario 2'!$F$126:$J$126),0)</f>
        <v/>
      </c>
      <c r="AT12" s="646">
        <f>IF(AT8=$D$5,SUM('Scenario 2'!$F$126:$J$126),0)</f>
        <v/>
      </c>
      <c r="AU12" s="646">
        <f>IF(AU8=$D$5,SUM('Scenario 2'!$F$126:$J$126),0)</f>
        <v/>
      </c>
      <c r="AV12" s="646">
        <f>IF(AV8=$D$5,SUM('Scenario 2'!$F$126:$J$126),0)</f>
        <v/>
      </c>
      <c r="AW12" s="646">
        <f>IF(AW8=$D$5,SUM('Scenario 2'!$F$126:$J$126),0)</f>
        <v/>
      </c>
      <c r="AX12" s="646">
        <f>IF(AX8=$D$5,SUM('Scenario 2'!$F$126:$J$126),0)</f>
        <v/>
      </c>
      <c r="AY12" s="646">
        <f>IF(AY8=$D$5,SUM('Scenario 2'!$F$126:$J$126),0)</f>
        <v/>
      </c>
      <c r="AZ12" s="646">
        <f>IF(AZ8=$D$5,SUM('Scenario 2'!$F$126:$J$126),0)</f>
        <v/>
      </c>
      <c r="BA12" s="646">
        <f>IF(BA8=$D$5,SUM('Scenario 2'!$F$126:$J$126),0)</f>
        <v/>
      </c>
      <c r="BB12" s="646">
        <f>IF(BB8=$D$5,SUM('Scenario 2'!$F$126:$J$126),0)</f>
        <v/>
      </c>
      <c r="BC12" s="646">
        <f>IF(BC8=$D$5,SUM('Scenario 2'!$F$126:$J$126),0)</f>
        <v/>
      </c>
      <c r="BD12" s="646">
        <f>IF(BD8=$D$5,SUM('Scenario 2'!$F$126:$J$126),0)</f>
        <v/>
      </c>
      <c r="BE12" s="646">
        <f>IF(BE8=$D$5,SUM('Scenario 2'!$F$126:$J$126),0)</f>
        <v/>
      </c>
      <c r="BF12" s="646">
        <f>IF(BF8=$D$5,SUM('Scenario 2'!$F$126:$J$126),0)</f>
        <v/>
      </c>
      <c r="BG12" s="646">
        <f>IF(BG8=$D$5,SUM('Scenario 2'!$F$126:$J$126),0)</f>
        <v/>
      </c>
      <c r="BH12" s="646">
        <f>IF(BH8=$D$5,SUM('Scenario 2'!$F$126:$J$126),0)</f>
        <v/>
      </c>
      <c r="BI12" s="646">
        <f>IF(BI8=$D$5,SUM('Scenario 2'!$F$126:$J$126),0)</f>
        <v/>
      </c>
      <c r="BJ12" s="646">
        <f>IF(BJ8=$D$5,SUM('Scenario 2'!$F$126:$J$126),0)</f>
        <v/>
      </c>
      <c r="BK12" s="646">
        <f>IF(BK8=$D$5,SUM('Scenario 2'!$F$126:$J$126),0)</f>
        <v/>
      </c>
      <c r="BL12" s="646">
        <f>IF(BL8=$D$5,SUM('Scenario 2'!$F$126:$J$126),0)</f>
        <v/>
      </c>
      <c r="BM12" s="646">
        <f>IF(BM8=$D$5,SUM('Scenario 2'!$F$126:$J$126),0)</f>
        <v/>
      </c>
      <c r="BN12" s="646">
        <f>IF(BN8=$D$5,SUM('Scenario 2'!$F$126:$J$126),0)</f>
        <v/>
      </c>
      <c r="BO12" s="646">
        <f>IF(BO8=$D$5,SUM('Scenario 2'!$F$126:$J$126),0)</f>
        <v/>
      </c>
      <c r="BP12" s="646">
        <f>IF(BP8=$D$5,SUM('Scenario 2'!$F$126:$J$126),0)</f>
        <v/>
      </c>
      <c r="BQ12" s="646">
        <f>IF(BQ8=$D$5,SUM('Scenario 2'!$F$126:$J$126),0)</f>
        <v/>
      </c>
      <c r="BR12" s="646">
        <f>IF(BR8=$D$5,SUM('Scenario 2'!$F$126:$J$126),0)</f>
        <v/>
      </c>
      <c r="BS12" s="646">
        <f>IF(BS8=$D$5,SUM('Scenario 2'!$F$126:$J$126),0)</f>
        <v/>
      </c>
      <c r="BT12" s="646">
        <f>IF(BT8=$D$5,SUM('Scenario 2'!$F$126:$J$126),0)</f>
        <v/>
      </c>
      <c r="BU12" s="646">
        <f>IF(BU8=$D$5,SUM('Scenario 2'!$F$126:$J$126),0)</f>
        <v/>
      </c>
      <c r="BV12" s="646">
        <f>IF(BV8=$D$5,SUM('Scenario 2'!$F$126:$J$126),0)</f>
        <v/>
      </c>
      <c r="BW12" s="646">
        <f>IF(BW8=$D$5,SUM('Scenario 2'!$F$126:$J$126),0)</f>
        <v/>
      </c>
      <c r="BX12" s="646">
        <f>IF(BX8=$D$5,SUM('Scenario 2'!$F$126:$J$126),0)</f>
        <v/>
      </c>
      <c r="BY12" s="646">
        <f>IF(BY8=$D$5,SUM('Scenario 2'!$F$126:$J$126),0)</f>
        <v/>
      </c>
      <c r="BZ12" s="646">
        <f>IF(BZ8=$D$5,SUM('Scenario 2'!$F$126:$J$126),0)</f>
        <v/>
      </c>
      <c r="CA12" s="646">
        <f>IF(CA8=$D$5,SUM('Scenario 2'!$F$126:$J$126),0)</f>
        <v/>
      </c>
      <c r="CB12" s="646">
        <f>IF(CB8=$D$5,SUM('Scenario 2'!$F$126:$J$126),0)</f>
        <v/>
      </c>
      <c r="CC12" s="646">
        <f>IF(CC8=$D$5,SUM('Scenario 2'!$F$126:$J$126),0)</f>
        <v/>
      </c>
      <c r="CD12" s="646">
        <f>IF(CD8=$D$5,SUM('Scenario 2'!$F$126:$J$126),0)</f>
        <v/>
      </c>
      <c r="CE12" s="646">
        <f>IF(CE8=$D$5,SUM('Scenario 2'!$F$126:$J$126),0)</f>
        <v/>
      </c>
      <c r="CF12" s="646">
        <f>IF(CF8=$D$5,SUM('Scenario 2'!$F$126:$J$126),0)</f>
        <v/>
      </c>
      <c r="CG12" s="646">
        <f>IF(CG8=$D$5,SUM('Scenario 2'!$F$126:$J$126),0)</f>
        <v/>
      </c>
      <c r="CH12" s="646">
        <f>IF(CH8=$D$5,SUM('Scenario 2'!$F$126:$J$126),0)</f>
        <v/>
      </c>
      <c r="CI12" s="646">
        <f>IF(CI8=$D$5,SUM('Scenario 2'!$F$126:$J$126),0)</f>
        <v/>
      </c>
      <c r="CJ12" s="646">
        <f>IF(CJ8=$D$5,SUM('Scenario 2'!$F$126:$J$126),0)</f>
        <v/>
      </c>
      <c r="CK12" s="646">
        <f>IF(CK8=$D$5,SUM('Scenario 2'!$F$126:$J$126),0)</f>
        <v/>
      </c>
      <c r="CL12" s="646">
        <f>IF(CL8=$D$5,SUM('Scenario 2'!$F$126:$J$126),0)</f>
        <v/>
      </c>
      <c r="CM12" s="646">
        <f>IF(CM8=$D$5,SUM('Scenario 2'!$F$126:$J$126),0)</f>
        <v/>
      </c>
      <c r="CN12" s="646">
        <f>IF(CN8=$D$5,SUM('Scenario 2'!$F$126:$J$126),0)</f>
        <v/>
      </c>
      <c r="CO12" s="646">
        <f>IF(CO8=$D$5,SUM('Scenario 2'!$F$126:$J$126),0)</f>
        <v/>
      </c>
      <c r="CP12" s="646">
        <f>IF(CP8=$D$5,SUM('Scenario 2'!$F$126:$J$126),0)</f>
        <v/>
      </c>
      <c r="CQ12" s="646">
        <f>IF(CQ8=$D$5,SUM('Scenario 2'!$F$126:$J$126),0)</f>
        <v/>
      </c>
      <c r="CR12" s="646">
        <f>IF(CR8=$D$5,SUM('Scenario 2'!$F$126:$J$126),0)</f>
        <v/>
      </c>
      <c r="CS12" s="646">
        <f>IF(CS8=$D$5,SUM('Scenario 2'!$F$126:$J$126),0)</f>
        <v/>
      </c>
      <c r="CT12" s="646">
        <f>IF(CT8=$D$5,SUM('Scenario 2'!$F$126:$J$126),0)</f>
        <v/>
      </c>
      <c r="CU12" s="646">
        <f>IF(CU8=$D$5,SUM('Scenario 2'!$F$126:$J$126),0)</f>
        <v/>
      </c>
      <c r="CV12" s="646">
        <f>IF(CV8=$D$5,SUM('Scenario 2'!$F$126:$J$126),0)</f>
        <v/>
      </c>
      <c r="CW12" s="646">
        <f>IF(CW8=$D$5,SUM('Scenario 2'!$F$126:$J$126),0)</f>
        <v/>
      </c>
      <c r="CX12" s="646">
        <f>IF(CX8=$D$5,SUM('Scenario 2'!$F$126:$J$126),0)</f>
        <v/>
      </c>
      <c r="CY12" s="646">
        <f>IF(CY8=$D$5,SUM('Scenario 2'!$F$126:$J$126),0)</f>
        <v/>
      </c>
      <c r="CZ12" s="646">
        <f>IF(CZ8=$D$5,SUM('Scenario 2'!$F$126:$J$126),0)</f>
        <v/>
      </c>
      <c r="DA12" s="646">
        <f>IF(DA8=$D$5,SUM('Scenario 2'!$F$126:$J$126),0)</f>
        <v/>
      </c>
      <c r="DB12" s="646">
        <f>IF(DB8=$D$5,SUM('Scenario 2'!$F$126:$J$126),0)</f>
        <v/>
      </c>
      <c r="DC12" s="646">
        <f>IF(DC8=$D$5,SUM('Scenario 2'!$F$126:$J$126),0)</f>
        <v/>
      </c>
      <c r="DD12" s="646">
        <f>IF(DD8=$D$5,SUM('Scenario 2'!$F$126:$J$126),0)</f>
        <v/>
      </c>
      <c r="DE12" s="646">
        <f>IF(DE8=$D$5,SUM('Scenario 2'!$F$126:$J$126),0)</f>
        <v/>
      </c>
      <c r="DF12" s="646">
        <f>IF(DF8=$D$5,SUM('Scenario 2'!$F$126:$J$126),0)</f>
        <v/>
      </c>
      <c r="DG12" s="646">
        <f>IF(DG8=$D$5,SUM('Scenario 2'!$F$126:$J$126),0)</f>
        <v/>
      </c>
      <c r="DH12" s="646">
        <f>IF(DH8=$D$5,SUM('Scenario 2'!$F$126:$J$126),0)</f>
        <v/>
      </c>
      <c r="DI12" s="646">
        <f>IF(DI8=$D$5,SUM('Scenario 2'!$F$126:$J$126),0)</f>
        <v/>
      </c>
      <c r="DJ12" s="646">
        <f>IF(DJ8=$D$5,SUM('Scenario 2'!$F$126:$J$126),0)</f>
        <v/>
      </c>
      <c r="DK12" s="646">
        <f>IF(DK8=$D$5,SUM('Scenario 2'!$F$126:$J$126),0)</f>
        <v/>
      </c>
      <c r="DL12" s="646">
        <f>IF(DL8=$D$5,SUM('Scenario 2'!$F$126:$J$126),0)</f>
        <v/>
      </c>
      <c r="DM12" s="646">
        <f>IF(DM8=$D$5,SUM('Scenario 2'!$F$126:$J$126),0)</f>
        <v/>
      </c>
      <c r="DN12" s="646">
        <f>IF(DN8=$D$5,SUM('Scenario 2'!$F$126:$J$126),0)</f>
        <v/>
      </c>
      <c r="DO12" s="646">
        <f>IF(DO8=$D$5,SUM('Scenario 2'!$F$126:$J$126),0)</f>
        <v/>
      </c>
      <c r="DP12" s="646">
        <f>IF(DP8=$D$5,SUM('Scenario 2'!$F$126:$J$126),0)</f>
        <v/>
      </c>
      <c r="DQ12" s="646">
        <f>IF(DQ8=$D$5,SUM('Scenario 2'!$F$126:$J$126),0)</f>
        <v/>
      </c>
      <c r="DR12" s="646">
        <f>IF(DR8=$D$5,SUM('Scenario 2'!$F$126:$J$126),0)</f>
        <v/>
      </c>
      <c r="DS12" s="646">
        <f>IF(DS8=$D$5,SUM('Scenario 2'!$F$126:$J$126),0)</f>
        <v/>
      </c>
      <c r="DT12" s="646">
        <f>IF(DT8=$D$5,SUM('Scenario 2'!$F$126:$J$126),0)</f>
        <v/>
      </c>
      <c r="DU12" s="646">
        <f>IF(DU8=$D$5,SUM('Scenario 2'!$F$126:$J$126),0)</f>
        <v/>
      </c>
      <c r="DV12" s="646">
        <f>IF(DV8=$D$5,SUM('Scenario 2'!$F$126:$J$126),0)</f>
        <v/>
      </c>
      <c r="DW12" s="322" t="inlineStr">
        <is>
          <t>x</t>
        </is>
      </c>
    </row>
    <row r="13" ht="17.25" customHeight="1" thickBot="1">
      <c r="C13" s="340" t="inlineStr">
        <is>
          <t>Unlevered Cash Flows</t>
        </is>
      </c>
      <c r="D13" s="340" t="n"/>
      <c r="E13" s="340" t="n"/>
      <c r="F13" s="647">
        <f>SUM(F11:F12)</f>
        <v/>
      </c>
      <c r="G13" s="647">
        <f>SUM(G11:G12)</f>
        <v/>
      </c>
      <c r="H13" s="647">
        <f>SUM(H11:H12)</f>
        <v/>
      </c>
      <c r="I13" s="647">
        <f>SUM(I11:I12)</f>
        <v/>
      </c>
      <c r="J13" s="647">
        <f>SUM(J11:J12)</f>
        <v/>
      </c>
      <c r="K13" s="647">
        <f>SUM(K11:K12)</f>
        <v/>
      </c>
      <c r="L13" s="647">
        <f>SUM(L11:L12)</f>
        <v/>
      </c>
      <c r="M13" s="647">
        <f>SUM(M11:M12)</f>
        <v/>
      </c>
      <c r="N13" s="647">
        <f>SUM(N11:N12)</f>
        <v/>
      </c>
      <c r="O13" s="647">
        <f>SUM(O11:O12)</f>
        <v/>
      </c>
      <c r="P13" s="647">
        <f>SUM(P11:P12)</f>
        <v/>
      </c>
      <c r="Q13" s="647">
        <f>SUM(Q11:Q12)</f>
        <v/>
      </c>
      <c r="R13" s="647">
        <f>SUM(R11:R12)</f>
        <v/>
      </c>
      <c r="S13" s="647">
        <f>SUM(S11:S12)</f>
        <v/>
      </c>
      <c r="T13" s="647">
        <f>SUM(T11:T12)</f>
        <v/>
      </c>
      <c r="U13" s="647">
        <f>SUM(U11:U12)</f>
        <v/>
      </c>
      <c r="V13" s="647">
        <f>SUM(V11:V12)</f>
        <v/>
      </c>
      <c r="W13" s="647">
        <f>SUM(W11:W12)</f>
        <v/>
      </c>
      <c r="X13" s="647">
        <f>SUM(X11:X12)</f>
        <v/>
      </c>
      <c r="Y13" s="647">
        <f>SUM(Y11:Y12)</f>
        <v/>
      </c>
      <c r="Z13" s="647">
        <f>SUM(Z11:Z12)</f>
        <v/>
      </c>
      <c r="AA13" s="647">
        <f>SUM(AA11:AA12)</f>
        <v/>
      </c>
      <c r="AB13" s="647">
        <f>SUM(AB11:AB12)</f>
        <v/>
      </c>
      <c r="AC13" s="647">
        <f>SUM(AC11:AC12)</f>
        <v/>
      </c>
      <c r="AD13" s="647">
        <f>SUM(AD11:AD12)</f>
        <v/>
      </c>
      <c r="AE13" s="647">
        <f>SUM(AE11:AE12)</f>
        <v/>
      </c>
      <c r="AF13" s="647">
        <f>SUM(AF11:AF12)</f>
        <v/>
      </c>
      <c r="AG13" s="647">
        <f>SUM(AG11:AG12)</f>
        <v/>
      </c>
      <c r="AH13" s="647">
        <f>SUM(AH11:AH12)</f>
        <v/>
      </c>
      <c r="AI13" s="647">
        <f>SUM(AI11:AI12)</f>
        <v/>
      </c>
      <c r="AJ13" s="647">
        <f>SUM(AJ11:AJ12)</f>
        <v/>
      </c>
      <c r="AK13" s="647">
        <f>SUM(AK11:AK12)</f>
        <v/>
      </c>
      <c r="AL13" s="647">
        <f>SUM(AL11:AL12)</f>
        <v/>
      </c>
      <c r="AM13" s="647">
        <f>SUM(AM11:AM12)</f>
        <v/>
      </c>
      <c r="AN13" s="647">
        <f>SUM(AN11:AN12)</f>
        <v/>
      </c>
      <c r="AO13" s="647">
        <f>SUM(AO11:AO12)</f>
        <v/>
      </c>
      <c r="AP13" s="647">
        <f>SUM(AP11:AP12)</f>
        <v/>
      </c>
      <c r="AQ13" s="647">
        <f>SUM(AQ11:AQ12)</f>
        <v/>
      </c>
      <c r="AR13" s="647">
        <f>SUM(AR11:AR12)</f>
        <v/>
      </c>
      <c r="AS13" s="647">
        <f>SUM(AS11:AS12)</f>
        <v/>
      </c>
      <c r="AT13" s="647">
        <f>SUM(AT11:AT12)</f>
        <v/>
      </c>
      <c r="AU13" s="647">
        <f>SUM(AU11:AU12)</f>
        <v/>
      </c>
      <c r="AV13" s="647">
        <f>SUM(AV11:AV12)</f>
        <v/>
      </c>
      <c r="AW13" s="647">
        <f>SUM(AW11:AW12)</f>
        <v/>
      </c>
      <c r="AX13" s="647">
        <f>SUM(AX11:AX12)</f>
        <v/>
      </c>
      <c r="AY13" s="647">
        <f>SUM(AY11:AY12)</f>
        <v/>
      </c>
      <c r="AZ13" s="647">
        <f>SUM(AZ11:AZ12)</f>
        <v/>
      </c>
      <c r="BA13" s="647">
        <f>SUM(BA11:BA12)</f>
        <v/>
      </c>
      <c r="BB13" s="647">
        <f>SUM(BB11:BB12)</f>
        <v/>
      </c>
      <c r="BC13" s="647">
        <f>SUM(BC11:BC12)</f>
        <v/>
      </c>
      <c r="BD13" s="647">
        <f>SUM(BD11:BD12)</f>
        <v/>
      </c>
      <c r="BE13" s="647">
        <f>SUM(BE11:BE12)</f>
        <v/>
      </c>
      <c r="BF13" s="647">
        <f>SUM(BF11:BF12)</f>
        <v/>
      </c>
      <c r="BG13" s="647">
        <f>SUM(BG11:BG12)</f>
        <v/>
      </c>
      <c r="BH13" s="647">
        <f>SUM(BH11:BH12)</f>
        <v/>
      </c>
      <c r="BI13" s="647">
        <f>SUM(BI11:BI12)</f>
        <v/>
      </c>
      <c r="BJ13" s="647">
        <f>SUM(BJ11:BJ12)</f>
        <v/>
      </c>
      <c r="BK13" s="647">
        <f>SUM(BK11:BK12)</f>
        <v/>
      </c>
      <c r="BL13" s="647">
        <f>SUM(BL11:BL12)</f>
        <v/>
      </c>
      <c r="BM13" s="647">
        <f>SUM(BM11:BM12)</f>
        <v/>
      </c>
      <c r="BN13" s="647">
        <f>SUM(BN11:BN12)</f>
        <v/>
      </c>
      <c r="BO13" s="647">
        <f>SUM(BO11:BO12)</f>
        <v/>
      </c>
      <c r="BP13" s="647">
        <f>SUM(BP11:BP12)</f>
        <v/>
      </c>
      <c r="BQ13" s="647">
        <f>SUM(BQ11:BQ12)</f>
        <v/>
      </c>
      <c r="BR13" s="647">
        <f>SUM(BR11:BR12)</f>
        <v/>
      </c>
      <c r="BS13" s="647">
        <f>SUM(BS11:BS12)</f>
        <v/>
      </c>
      <c r="BT13" s="647">
        <f>SUM(BT11:BT12)</f>
        <v/>
      </c>
      <c r="BU13" s="647">
        <f>SUM(BU11:BU12)</f>
        <v/>
      </c>
      <c r="BV13" s="647">
        <f>SUM(BV11:BV12)</f>
        <v/>
      </c>
      <c r="BW13" s="647">
        <f>SUM(BW11:BW12)</f>
        <v/>
      </c>
      <c r="BX13" s="647">
        <f>SUM(BX11:BX12)</f>
        <v/>
      </c>
      <c r="BY13" s="647">
        <f>SUM(BY11:BY12)</f>
        <v/>
      </c>
      <c r="BZ13" s="647">
        <f>SUM(BZ11:BZ12)</f>
        <v/>
      </c>
      <c r="CA13" s="647">
        <f>SUM(CA11:CA12)</f>
        <v/>
      </c>
      <c r="CB13" s="647">
        <f>SUM(CB11:CB12)</f>
        <v/>
      </c>
      <c r="CC13" s="647">
        <f>SUM(CC11:CC12)</f>
        <v/>
      </c>
      <c r="CD13" s="647">
        <f>SUM(CD11:CD12)</f>
        <v/>
      </c>
      <c r="CE13" s="647">
        <f>SUM(CE11:CE12)</f>
        <v/>
      </c>
      <c r="CF13" s="647">
        <f>SUM(CF11:CF12)</f>
        <v/>
      </c>
      <c r="CG13" s="647">
        <f>SUM(CG11:CG12)</f>
        <v/>
      </c>
      <c r="CH13" s="647">
        <f>SUM(CH11:CH12)</f>
        <v/>
      </c>
      <c r="CI13" s="647">
        <f>SUM(CI11:CI12)</f>
        <v/>
      </c>
      <c r="CJ13" s="647">
        <f>SUM(CJ11:CJ12)</f>
        <v/>
      </c>
      <c r="CK13" s="647">
        <f>SUM(CK11:CK12)</f>
        <v/>
      </c>
      <c r="CL13" s="647">
        <f>SUM(CL11:CL12)</f>
        <v/>
      </c>
      <c r="CM13" s="647">
        <f>SUM(CM11:CM12)</f>
        <v/>
      </c>
      <c r="CN13" s="647">
        <f>SUM(CN11:CN12)</f>
        <v/>
      </c>
      <c r="CO13" s="647">
        <f>SUM(CO11:CO12)</f>
        <v/>
      </c>
      <c r="CP13" s="647">
        <f>SUM(CP11:CP12)</f>
        <v/>
      </c>
      <c r="CQ13" s="647">
        <f>SUM(CQ11:CQ12)</f>
        <v/>
      </c>
      <c r="CR13" s="647">
        <f>SUM(CR11:CR12)</f>
        <v/>
      </c>
      <c r="CS13" s="647">
        <f>SUM(CS11:CS12)</f>
        <v/>
      </c>
      <c r="CT13" s="647">
        <f>SUM(CT11:CT12)</f>
        <v/>
      </c>
      <c r="CU13" s="647">
        <f>SUM(CU11:CU12)</f>
        <v/>
      </c>
      <c r="CV13" s="647">
        <f>SUM(CV11:CV12)</f>
        <v/>
      </c>
      <c r="CW13" s="647">
        <f>SUM(CW11:CW12)</f>
        <v/>
      </c>
      <c r="CX13" s="647">
        <f>SUM(CX11:CX12)</f>
        <v/>
      </c>
      <c r="CY13" s="647">
        <f>SUM(CY11:CY12)</f>
        <v/>
      </c>
      <c r="CZ13" s="647">
        <f>SUM(CZ11:CZ12)</f>
        <v/>
      </c>
      <c r="DA13" s="647">
        <f>SUM(DA11:DA12)</f>
        <v/>
      </c>
      <c r="DB13" s="647">
        <f>SUM(DB11:DB12)</f>
        <v/>
      </c>
      <c r="DC13" s="647">
        <f>SUM(DC11:DC12)</f>
        <v/>
      </c>
      <c r="DD13" s="647">
        <f>SUM(DD11:DD12)</f>
        <v/>
      </c>
      <c r="DE13" s="647">
        <f>SUM(DE11:DE12)</f>
        <v/>
      </c>
      <c r="DF13" s="647">
        <f>SUM(DF11:DF12)</f>
        <v/>
      </c>
      <c r="DG13" s="647">
        <f>SUM(DG11:DG12)</f>
        <v/>
      </c>
      <c r="DH13" s="647">
        <f>SUM(DH11:DH12)</f>
        <v/>
      </c>
      <c r="DI13" s="647">
        <f>SUM(DI11:DI12)</f>
        <v/>
      </c>
      <c r="DJ13" s="647">
        <f>SUM(DJ11:DJ12)</f>
        <v/>
      </c>
      <c r="DK13" s="647">
        <f>SUM(DK11:DK12)</f>
        <v/>
      </c>
      <c r="DL13" s="647">
        <f>SUM(DL11:DL12)</f>
        <v/>
      </c>
      <c r="DM13" s="647">
        <f>SUM(DM11:DM12)</f>
        <v/>
      </c>
      <c r="DN13" s="647">
        <f>SUM(DN11:DN12)</f>
        <v/>
      </c>
      <c r="DO13" s="647">
        <f>SUM(DO11:DO12)</f>
        <v/>
      </c>
      <c r="DP13" s="647">
        <f>SUM(DP11:DP12)</f>
        <v/>
      </c>
      <c r="DQ13" s="647">
        <f>SUM(DQ11:DQ12)</f>
        <v/>
      </c>
      <c r="DR13" s="647">
        <f>SUM(DR11:DR12)</f>
        <v/>
      </c>
      <c r="DS13" s="647">
        <f>SUM(DS11:DS12)</f>
        <v/>
      </c>
      <c r="DT13" s="647">
        <f>SUM(DT11:DT12)</f>
        <v/>
      </c>
      <c r="DU13" s="647">
        <f>SUM(DU11:DU12)</f>
        <v/>
      </c>
      <c r="DV13" s="647">
        <f>SUM(DV11:DV12)</f>
        <v/>
      </c>
      <c r="DW13" s="322" t="inlineStr">
        <is>
          <t>x</t>
        </is>
      </c>
    </row>
    <row r="14" ht="17.25" customHeight="1" thickTop="1">
      <c r="B14" s="529" t="n"/>
      <c r="C14" s="529" t="n"/>
      <c r="D14" s="529" t="n"/>
      <c r="E14" s="529" t="n"/>
      <c r="F14" s="648" t="n"/>
      <c r="I14" s="343" t="n"/>
      <c r="DW14" s="322" t="inlineStr">
        <is>
          <t>x</t>
        </is>
      </c>
    </row>
    <row r="15">
      <c r="C15" s="344" t="inlineStr">
        <is>
          <t>Unlevered Deal-Level Returns</t>
        </is>
      </c>
      <c r="D15" s="345" t="n"/>
      <c r="E15" s="346" t="n"/>
      <c r="I15" s="343" t="n"/>
      <c r="DW15" s="322" t="inlineStr">
        <is>
          <t>x</t>
        </is>
      </c>
    </row>
    <row r="16">
      <c r="C16" s="347" t="inlineStr">
        <is>
          <t>IRR</t>
        </is>
      </c>
      <c r="D16" s="348">
        <f>XIRR(F13:DV13,$F$9:$DV$9)</f>
        <v/>
      </c>
      <c r="E16" s="349" t="n"/>
      <c r="I16" s="343" t="n"/>
      <c r="DW16" s="322" t="inlineStr">
        <is>
          <t>x</t>
        </is>
      </c>
    </row>
    <row r="17">
      <c r="C17" s="350" t="inlineStr">
        <is>
          <t>MOIC</t>
        </is>
      </c>
      <c r="D17" s="649">
        <f t="array" ref="D17">SUMPRODUCT(--(F13:DV13&gt;0),F13:DV13)/-SUMPRODUCT(--(F13:DV13&lt;0),F13:DV13)</f>
        <v/>
      </c>
      <c r="E17" s="650" t="n"/>
      <c r="I17" s="343" t="n"/>
      <c r="DW17" s="322" t="inlineStr">
        <is>
          <t>x</t>
        </is>
      </c>
    </row>
    <row r="18">
      <c r="C18" s="353" t="inlineStr">
        <is>
          <t>Profit</t>
        </is>
      </c>
      <c r="D18" s="354">
        <f>SUM(F13:DV13)</f>
        <v/>
      </c>
      <c r="E18" s="651" t="n"/>
      <c r="I18" s="343" t="n"/>
      <c r="DW18" s="322" t="inlineStr">
        <is>
          <t>x</t>
        </is>
      </c>
    </row>
    <row r="19">
      <c r="F19" s="648" t="n"/>
      <c r="I19" s="343" t="n"/>
      <c r="DW19" s="322" t="inlineStr">
        <is>
          <t>x</t>
        </is>
      </c>
    </row>
    <row r="20" ht="17.25" customHeight="1" thickBot="1">
      <c r="C20" s="356" t="inlineStr">
        <is>
          <t>Levered Cash Flow</t>
        </is>
      </c>
      <c r="D20" s="340" t="n"/>
      <c r="E20" s="340" t="n"/>
      <c r="F20" s="647">
        <f>+'Scenario 2'!E131</f>
        <v/>
      </c>
      <c r="G20" s="647">
        <f>IFERROR(INDEX('Scenario 2'!$F$132:$J$132,MATCH(G7,'Scenario 2'!$F$110:$J$110,0))/12,0)+IF($D$5=G$8,SUM('Scenario 2'!$F$126:$J$126,'Scenario 2'!$F$129:$J$129))</f>
        <v/>
      </c>
      <c r="H20" s="647">
        <f>IFERROR(INDEX('Scenario 2'!$F$132:$J$132,MATCH(H7,'Scenario 2'!$F$110:$J$110,0))/12,0)+IF($D$5=H$8,SUM('Scenario 2'!$F$126:$J$126,'Scenario 2'!$F$129:$J$129))</f>
        <v/>
      </c>
      <c r="I20" s="647">
        <f>IFERROR(INDEX('Scenario 2'!$F$132:$J$132,MATCH(I7,'Scenario 2'!$F$110:$J$110,0))/12,0)+IF($D$5=I$8,SUM('Scenario 2'!$F$126:$J$126,'Scenario 2'!$F$129:$J$129))</f>
        <v/>
      </c>
      <c r="J20" s="647">
        <f>IFERROR(INDEX('Scenario 2'!$F$132:$J$132,MATCH(J7,'Scenario 2'!$F$110:$J$110,0))/12,0)+IF($D$5=J$8,SUM('Scenario 2'!$F$126:$J$126,'Scenario 2'!$F$129:$J$129))</f>
        <v/>
      </c>
      <c r="K20" s="647">
        <f>IFERROR(INDEX('Scenario 2'!$F$132:$J$132,MATCH(K7,'Scenario 2'!$F$110:$J$110,0))/12,0)+IF($D$5=K$8,SUM('Scenario 2'!$F$126:$J$126,'Scenario 2'!$F$129:$J$129))</f>
        <v/>
      </c>
      <c r="L20" s="647">
        <f>IFERROR(INDEX('Scenario 2'!$F$132:$J$132,MATCH(L7,'Scenario 2'!$F$110:$J$110,0))/12,0)+IF($D$5=L$8,SUM('Scenario 2'!$F$126:$J$126,'Scenario 2'!$F$129:$J$129))</f>
        <v/>
      </c>
      <c r="M20" s="647">
        <f>IFERROR(INDEX('Scenario 2'!$F$132:$J$132,MATCH(M7,'Scenario 2'!$F$110:$J$110,0))/12,0)+IF($D$5=M$8,SUM('Scenario 2'!$F$126:$J$126,'Scenario 2'!$F$129:$J$129))</f>
        <v/>
      </c>
      <c r="N20" s="647">
        <f>IFERROR(INDEX('Scenario 2'!$F$132:$J$132,MATCH(N7,'Scenario 2'!$F$110:$J$110,0))/12,0)+IF($D$5=N$8,SUM('Scenario 2'!$F$126:$J$126,'Scenario 2'!$F$129:$J$129))</f>
        <v/>
      </c>
      <c r="O20" s="647">
        <f>IFERROR(INDEX('Scenario 2'!$F$132:$J$132,MATCH(O7,'Scenario 2'!$F$110:$J$110,0))/12,0)+IF($D$5=O$8,SUM('Scenario 2'!$F$126:$J$126,'Scenario 2'!$F$129:$J$129))</f>
        <v/>
      </c>
      <c r="P20" s="647">
        <f>IFERROR(INDEX('Scenario 2'!$F$132:$J$132,MATCH(P7,'Scenario 2'!$F$110:$J$110,0))/12,0)+IF($D$5=P$8,SUM('Scenario 2'!$F$126:$J$126,'Scenario 2'!$F$129:$J$129))</f>
        <v/>
      </c>
      <c r="Q20" s="647">
        <f>IFERROR(INDEX('Scenario 2'!$F$132:$J$132,MATCH(Q7,'Scenario 2'!$F$110:$J$110,0))/12,0)+IF($D$5=Q$8,SUM('Scenario 2'!$F$126:$J$126,'Scenario 2'!$F$129:$J$129))</f>
        <v/>
      </c>
      <c r="R20" s="647">
        <f>IFERROR(INDEX('Scenario 2'!$F$132:$J$132,MATCH(R7,'Scenario 2'!$F$110:$J$110,0))/12,0)+IF($D$5=R$8,SUM('Scenario 2'!$F$126:$J$126,'Scenario 2'!$F$129:$J$129))</f>
        <v/>
      </c>
      <c r="S20" s="647">
        <f>IFERROR(INDEX('Scenario 2'!$F$132:$J$132,MATCH(S7,'Scenario 2'!$F$110:$J$110,0))/12,0)+IF($D$5=S$8,SUM('Scenario 2'!$F$126:$J$126,'Scenario 2'!$F$129:$J$129))</f>
        <v/>
      </c>
      <c r="T20" s="647">
        <f>IFERROR(INDEX('Scenario 2'!$F$132:$J$132,MATCH(T7,'Scenario 2'!$F$110:$J$110,0))/12,0)+IF($D$5=T$8,SUM('Scenario 2'!$F$126:$J$126,'Scenario 2'!$F$129:$J$129))</f>
        <v/>
      </c>
      <c r="U20" s="647">
        <f>IFERROR(INDEX('Scenario 2'!$F$132:$J$132,MATCH(U7,'Scenario 2'!$F$110:$J$110,0))/12,0)+IF($D$5=U$8,SUM('Scenario 2'!$F$126:$J$126,'Scenario 2'!$F$129:$J$129))</f>
        <v/>
      </c>
      <c r="V20" s="647">
        <f>IFERROR(INDEX('Scenario 2'!$F$132:$J$132,MATCH(V7,'Scenario 2'!$F$110:$J$110,0))/12,0)+IF($D$5=V$8,SUM('Scenario 2'!$F$126:$J$126,'Scenario 2'!$F$129:$J$129))</f>
        <v/>
      </c>
      <c r="W20" s="647">
        <f>IFERROR(INDEX('Scenario 2'!$F$132:$J$132,MATCH(W7,'Scenario 2'!$F$110:$J$110,0))/12,0)+IF($D$5=W$8,SUM('Scenario 2'!$F$126:$J$126,'Scenario 2'!$F$129:$J$129))</f>
        <v/>
      </c>
      <c r="X20" s="647">
        <f>IFERROR(INDEX('Scenario 2'!$F$132:$J$132,MATCH(X7,'Scenario 2'!$F$110:$J$110,0))/12,0)+IF($D$5=X$8,SUM('Scenario 2'!$F$126:$J$126,'Scenario 2'!$F$129:$J$129))</f>
        <v/>
      </c>
      <c r="Y20" s="647">
        <f>IFERROR(INDEX('Scenario 2'!$F$132:$J$132,MATCH(Y7,'Scenario 2'!$F$110:$J$110,0))/12,0)+IF($D$5=Y$8,SUM('Scenario 2'!$F$126:$J$126,'Scenario 2'!$F$129:$J$129))</f>
        <v/>
      </c>
      <c r="Z20" s="647">
        <f>IFERROR(INDEX('Scenario 2'!$F$132:$J$132,MATCH(Z7,'Scenario 2'!$F$110:$J$110,0))/12,0)+IF($D$5=Z$8,SUM('Scenario 2'!$F$126:$J$126,'Scenario 2'!$F$129:$J$129))</f>
        <v/>
      </c>
      <c r="AA20" s="647">
        <f>IFERROR(INDEX('Scenario 2'!$F$132:$J$132,MATCH(AA7,'Scenario 2'!$F$110:$J$110,0))/12,0)+IF($D$5=AA$8,SUM('Scenario 2'!$F$126:$J$126,'Scenario 2'!$F$129:$J$129))</f>
        <v/>
      </c>
      <c r="AB20" s="647">
        <f>IFERROR(INDEX('Scenario 2'!$F$132:$J$132,MATCH(AB7,'Scenario 2'!$F$110:$J$110,0))/12,0)+IF($D$5=AB$8,SUM('Scenario 2'!$F$126:$J$126,'Scenario 2'!$F$129:$J$129))</f>
        <v/>
      </c>
      <c r="AC20" s="647">
        <f>IFERROR(INDEX('Scenario 2'!$F$132:$J$132,MATCH(AC7,'Scenario 2'!$F$110:$J$110,0))/12,0)+IF($D$5=AC$8,SUM('Scenario 2'!$F$126:$J$126,'Scenario 2'!$F$129:$J$129))</f>
        <v/>
      </c>
      <c r="AD20" s="647">
        <f>IFERROR(INDEX('Scenario 2'!$F$132:$J$132,MATCH(AD7,'Scenario 2'!$F$110:$J$110,0))/12,0)+IF($D$5=AD$8,SUM('Scenario 2'!$F$126:$J$126,'Scenario 2'!$F$129:$J$129))</f>
        <v/>
      </c>
      <c r="AE20" s="647">
        <f>IFERROR(INDEX('Scenario 2'!$F$132:$J$132,MATCH(AE7,'Scenario 2'!$F$110:$J$110,0))/12,0)+IF($D$5=AE$8,SUM('Scenario 2'!$F$126:$J$126,'Scenario 2'!$F$129:$J$129))</f>
        <v/>
      </c>
      <c r="AF20" s="647">
        <f>IFERROR(INDEX('Scenario 2'!$F$132:$J$132,MATCH(AF7,'Scenario 2'!$F$110:$J$110,0))/12,0)+IF($D$5=AF$8,SUM('Scenario 2'!$F$126:$J$126,'Scenario 2'!$F$129:$J$129))</f>
        <v/>
      </c>
      <c r="AG20" s="647">
        <f>IFERROR(INDEX('Scenario 2'!$F$132:$J$132,MATCH(AG7,'Scenario 2'!$F$110:$J$110,0))/12,0)+IF($D$5=AG$8,SUM('Scenario 2'!$F$126:$J$126,'Scenario 2'!$F$129:$J$129))</f>
        <v/>
      </c>
      <c r="AH20" s="647">
        <f>IFERROR(INDEX('Scenario 2'!$F$132:$J$132,MATCH(AH7,'Scenario 2'!$F$110:$J$110,0))/12,0)+IF($D$5=AH$8,SUM('Scenario 2'!$F$126:$J$126,'Scenario 2'!$F$129:$J$129))</f>
        <v/>
      </c>
      <c r="AI20" s="647">
        <f>IFERROR(INDEX('Scenario 2'!$F$132:$J$132,MATCH(AI7,'Scenario 2'!$F$110:$J$110,0))/12,0)+IF($D$5=AI$8,SUM('Scenario 2'!$F$126:$J$126,'Scenario 2'!$F$129:$J$129))</f>
        <v/>
      </c>
      <c r="AJ20" s="647">
        <f>IFERROR(INDEX('Scenario 2'!$F$132:$J$132,MATCH(AJ7,'Scenario 2'!$F$110:$J$110,0))/12,0)+IF($D$5=AJ$8,SUM('Scenario 2'!$F$126:$J$126,'Scenario 2'!$F$129:$J$129))</f>
        <v/>
      </c>
      <c r="AK20" s="647">
        <f>IFERROR(INDEX('Scenario 2'!$F$132:$J$132,MATCH(AK7,'Scenario 2'!$F$110:$J$110,0))/12,0)+IF($D$5=AK$8,SUM('Scenario 2'!$F$126:$J$126,'Scenario 2'!$F$129:$J$129))</f>
        <v/>
      </c>
      <c r="AL20" s="647">
        <f>IFERROR(INDEX('Scenario 2'!$F$132:$J$132,MATCH(AL7,'Scenario 2'!$F$110:$J$110,0))/12,0)+IF($D$5=AL$8,SUM('Scenario 2'!$F$126:$J$126,'Scenario 2'!$F$129:$J$129))</f>
        <v/>
      </c>
      <c r="AM20" s="647">
        <f>IFERROR(INDEX('Scenario 2'!$F$132:$J$132,MATCH(AM7,'Scenario 2'!$F$110:$J$110,0))/12,0)+IF($D$5=AM$8,SUM('Scenario 2'!$F$126:$J$126,'Scenario 2'!$F$129:$J$129))</f>
        <v/>
      </c>
      <c r="AN20" s="647">
        <f>IFERROR(INDEX('Scenario 2'!$F$132:$J$132,MATCH(AN7,'Scenario 2'!$F$110:$J$110,0))/12,0)+IF($D$5=AN$8,SUM('Scenario 2'!$F$126:$J$126,'Scenario 2'!$F$129:$J$129))</f>
        <v/>
      </c>
      <c r="AO20" s="647">
        <f>IFERROR(INDEX('Scenario 2'!$F$132:$J$132,MATCH(AO7,'Scenario 2'!$F$110:$J$110,0))/12,0)+IF($D$5=AO$8,SUM('Scenario 2'!$F$126:$J$126,'Scenario 2'!$F$129:$J$129))</f>
        <v/>
      </c>
      <c r="AP20" s="647">
        <f>IFERROR(INDEX('Scenario 2'!$F$132:$J$132,MATCH(AP7,'Scenario 2'!$F$110:$J$110,0))/12,0)+IF($D$5=AP$8,SUM('Scenario 2'!$F$126:$J$126,'Scenario 2'!$F$129:$J$129))</f>
        <v/>
      </c>
      <c r="AQ20" s="647">
        <f>IFERROR(INDEX('Scenario 2'!$F$132:$J$132,MATCH(AQ7,'Scenario 2'!$F$110:$J$110,0))/12,0)+IF($D$5=AQ$8,SUM('Scenario 2'!$F$126:$J$126,'Scenario 2'!$F$129:$J$129))</f>
        <v/>
      </c>
      <c r="AR20" s="647">
        <f>IFERROR(INDEX('Scenario 2'!$F$132:$J$132,MATCH(AR7,'Scenario 2'!$F$110:$J$110,0))/12,0)+IF($D$5=AR$8,SUM('Scenario 2'!$F$126:$J$126,'Scenario 2'!$F$129:$J$129))</f>
        <v/>
      </c>
      <c r="AS20" s="647">
        <f>IFERROR(INDEX('Scenario 2'!$F$132:$J$132,MATCH(AS7,'Scenario 2'!$F$110:$J$110,0))/12,0)+IF($D$5=AS$8,SUM('Scenario 2'!$F$126:$J$126,'Scenario 2'!$F$129:$J$129))</f>
        <v/>
      </c>
      <c r="AT20" s="647">
        <f>IFERROR(INDEX('Scenario 2'!$F$132:$J$132,MATCH(AT7,'Scenario 2'!$F$110:$J$110,0))/12,0)+IF($D$5=AT$8,SUM('Scenario 2'!$F$126:$J$126,'Scenario 2'!$F$129:$J$129))</f>
        <v/>
      </c>
      <c r="AU20" s="647">
        <f>IFERROR(INDEX('Scenario 2'!$F$132:$J$132,MATCH(AU7,'Scenario 2'!$F$110:$J$110,0))/12,0)+IF($D$5=AU$8,SUM('Scenario 2'!$F$126:$J$126,'Scenario 2'!$F$129:$J$129))</f>
        <v/>
      </c>
      <c r="AV20" s="647">
        <f>IFERROR(INDEX('Scenario 2'!$F$132:$J$132,MATCH(AV7,'Scenario 2'!$F$110:$J$110,0))/12,0)+IF($D$5=AV$8,SUM('Scenario 2'!$F$126:$J$126,'Scenario 2'!$F$129:$J$129))</f>
        <v/>
      </c>
      <c r="AW20" s="647">
        <f>IFERROR(INDEX('Scenario 2'!$F$132:$J$132,MATCH(AW7,'Scenario 2'!$F$110:$J$110,0))/12,0)+IF($D$5=AW$8,SUM('Scenario 2'!$F$126:$J$126,'Scenario 2'!$F$129:$J$129))</f>
        <v/>
      </c>
      <c r="AX20" s="647">
        <f>IFERROR(INDEX('Scenario 2'!$F$132:$J$132,MATCH(AX7,'Scenario 2'!$F$110:$J$110,0))/12,0)+IF($D$5=AX$8,SUM('Scenario 2'!$F$126:$J$126,'Scenario 2'!$F$129:$J$129))</f>
        <v/>
      </c>
      <c r="AY20" s="647">
        <f>IFERROR(INDEX('Scenario 2'!$F$132:$J$132,MATCH(AY7,'Scenario 2'!$F$110:$J$110,0))/12,0)+IF($D$5=AY$8,SUM('Scenario 2'!$F$126:$J$126,'Scenario 2'!$F$129:$J$129))</f>
        <v/>
      </c>
      <c r="AZ20" s="647">
        <f>IFERROR(INDEX('Scenario 2'!$F$132:$J$132,MATCH(AZ7,'Scenario 2'!$F$110:$J$110,0))/12,0)+IF($D$5=AZ$8,SUM('Scenario 2'!$F$126:$J$126,'Scenario 2'!$F$129:$J$129))</f>
        <v/>
      </c>
      <c r="BA20" s="647">
        <f>IFERROR(INDEX('Scenario 2'!$F$132:$J$132,MATCH(BA7,'Scenario 2'!$F$110:$J$110,0))/12,0)+IF($D$5=BA$8,SUM('Scenario 2'!$F$126:$J$126,'Scenario 2'!$F$129:$J$129))</f>
        <v/>
      </c>
      <c r="BB20" s="647">
        <f>IFERROR(INDEX('Scenario 2'!$F$132:$J$132,MATCH(BB7,'Scenario 2'!$F$110:$J$110,0))/12,0)+IF($D$5=BB$8,SUM('Scenario 2'!$F$126:$J$126,'Scenario 2'!$F$129:$J$129))</f>
        <v/>
      </c>
      <c r="BC20" s="647">
        <f>IFERROR(INDEX('Scenario 2'!$F$132:$J$132,MATCH(BC7,'Scenario 2'!$F$110:$J$110,0))/12,0)+IF($D$5=BC$8,SUM('Scenario 2'!$F$126:$J$126,'Scenario 2'!$F$129:$J$129))</f>
        <v/>
      </c>
      <c r="BD20" s="647">
        <f>IFERROR(INDEX('Scenario 2'!$F$132:$J$132,MATCH(BD7,'Scenario 2'!$F$110:$J$110,0))/12,0)+IF($D$5=BD$8,SUM('Scenario 2'!$F$126:$J$126,'Scenario 2'!$F$129:$J$129))</f>
        <v/>
      </c>
      <c r="BE20" s="647">
        <f>IFERROR(INDEX('Scenario 2'!$F$132:$J$132,MATCH(BE7,'Scenario 2'!$F$110:$J$110,0))/12,0)+IF($D$5=BE$8,SUM('Scenario 2'!$F$126:$J$126,'Scenario 2'!$F$129:$J$129))</f>
        <v/>
      </c>
      <c r="BF20" s="647">
        <f>IFERROR(INDEX('Scenario 2'!$F$132:$J$132,MATCH(BF7,'Scenario 2'!$F$110:$J$110,0))/12,0)+IF($D$5=BF$8,SUM('Scenario 2'!$F$126:$J$126,'Scenario 2'!$F$129:$J$129))</f>
        <v/>
      </c>
      <c r="BG20" s="647">
        <f>IFERROR(INDEX('Scenario 2'!$F$132:$J$132,MATCH(BG7,'Scenario 2'!$F$110:$J$110,0))/12,0)+IF($D$5=BG$8,SUM('Scenario 2'!$F$126:$J$126,'Scenario 2'!$F$129:$J$129))</f>
        <v/>
      </c>
      <c r="BH20" s="647">
        <f>IFERROR(INDEX('Scenario 2'!$F$132:$J$132,MATCH(BH7,'Scenario 2'!$F$110:$J$110,0))/12,0)+IF($D$5=BH$8,SUM('Scenario 2'!$F$126:$J$126,'Scenario 2'!$F$129:$J$129))</f>
        <v/>
      </c>
      <c r="BI20" s="647">
        <f>IFERROR(INDEX('Scenario 2'!$F$132:$J$132,MATCH(BI7,'Scenario 2'!$F$110:$J$110,0))/12,0)+IF($D$5=BI$8,SUM('Scenario 2'!$F$126:$J$126,'Scenario 2'!$F$129:$J$129))</f>
        <v/>
      </c>
      <c r="BJ20" s="647">
        <f>IFERROR(INDEX('Scenario 2'!$F$132:$J$132,MATCH(BJ7,'Scenario 2'!$F$110:$J$110,0))/12,0)+IF($D$5=BJ$8,SUM('Scenario 2'!$F$126:$J$126,'Scenario 2'!$F$129:$J$129))</f>
        <v/>
      </c>
      <c r="BK20" s="647">
        <f>IFERROR(INDEX('Scenario 2'!$F$132:$J$132,MATCH(BK7,'Scenario 2'!$F$110:$J$110,0))/12,0)+IF($D$5=BK$8,SUM('Scenario 2'!$F$126:$J$126,'Scenario 2'!$F$129:$J$129))</f>
        <v/>
      </c>
      <c r="BL20" s="647">
        <f>IFERROR(INDEX('Scenario 2'!$F$132:$J$132,MATCH(BL7,'Scenario 2'!$F$110:$J$110,0))/12,0)+IF($D$5=BL$8,SUM('Scenario 2'!$F$126:$J$126,'Scenario 2'!$F$129:$J$129))</f>
        <v/>
      </c>
      <c r="BM20" s="647">
        <f>IFERROR(INDEX('Scenario 2'!$F$132:$J$132,MATCH(BM7,'Scenario 2'!$F$110:$J$110,0))/12,0)+IF($D$5=BM$8,SUM('Scenario 2'!$F$126:$J$126,'Scenario 2'!$F$129:$J$129))</f>
        <v/>
      </c>
      <c r="BN20" s="647">
        <f>IFERROR(INDEX('Scenario 2'!$F$132:$J$132,MATCH(BN7,'Scenario 2'!$F$110:$J$110,0))/12,0)+IF($D$5=BN$8,SUM('Scenario 2'!$F$126:$J$126,'Scenario 2'!$F$129:$J$129))</f>
        <v/>
      </c>
      <c r="BO20" s="647">
        <f>IFERROR(INDEX('Scenario 2'!$F$132:$J$132,MATCH(BO7,'Scenario 2'!$F$110:$J$110,0))/12,0)+IF($D$5=BO$8,SUM('Scenario 2'!$F$126:$J$126,'Scenario 2'!$F$129:$J$129))</f>
        <v/>
      </c>
      <c r="BP20" s="647">
        <f>IFERROR(INDEX('Scenario 2'!$F$132:$J$132,MATCH(BP7,'Scenario 2'!$F$110:$J$110,0))/12,0)+IF($D$5=BP$8,SUM('Scenario 2'!$F$126:$J$126,'Scenario 2'!$F$129:$J$129))</f>
        <v/>
      </c>
      <c r="BQ20" s="647">
        <f>IFERROR(INDEX('Scenario 2'!$F$132:$J$132,MATCH(BQ7,'Scenario 2'!$F$110:$J$110,0))/12,0)+IF($D$5=BQ$8,SUM('Scenario 2'!$F$126:$J$126,'Scenario 2'!$F$129:$J$129))</f>
        <v/>
      </c>
      <c r="BR20" s="647">
        <f>IFERROR(INDEX('Scenario 2'!$F$132:$J$132,MATCH(BR7,'Scenario 2'!$F$110:$J$110,0))/12,0)+IF($D$5=BR$8,SUM('Scenario 2'!$F$126:$J$126,'Scenario 2'!$F$129:$J$129))</f>
        <v/>
      </c>
      <c r="BS20" s="647">
        <f>IFERROR(INDEX('Scenario 2'!$F$132:$J$132,MATCH(BS7,'Scenario 2'!$F$110:$J$110,0))/12,0)+IF($D$5=BS$8,SUM('Scenario 2'!$F$126:$J$126,'Scenario 2'!$F$129:$J$129))</f>
        <v/>
      </c>
      <c r="BT20" s="647">
        <f>IFERROR(INDEX('Scenario 2'!$F$132:$J$132,MATCH(BT7,'Scenario 2'!$F$110:$J$110,0))/12,0)+IF($D$5=BT$8,SUM('Scenario 2'!$F$126:$J$126,'Scenario 2'!$F$129:$J$129))</f>
        <v/>
      </c>
      <c r="BU20" s="647">
        <f>IFERROR(INDEX('Scenario 2'!$F$132:$J$132,MATCH(BU7,'Scenario 2'!$F$110:$J$110,0))/12,0)+IF($D$5=BU$8,SUM('Scenario 2'!$F$126:$J$126,'Scenario 2'!$F$129:$J$129))</f>
        <v/>
      </c>
      <c r="BV20" s="647">
        <f>IFERROR(INDEX('Scenario 2'!$F$132:$J$132,MATCH(BV7,'Scenario 2'!$F$110:$J$110,0))/12,0)+IF($D$5=BV$8,SUM('Scenario 2'!$F$126:$J$126,'Scenario 2'!$F$129:$J$129))</f>
        <v/>
      </c>
      <c r="BW20" s="647">
        <f>IFERROR(INDEX('Scenario 2'!$F$132:$J$132,MATCH(BW7,'Scenario 2'!$F$110:$J$110,0))/12,0)+IF($D$5=BW$8,SUM('Scenario 2'!$F$126:$J$126,'Scenario 2'!$F$129:$J$129))</f>
        <v/>
      </c>
      <c r="BX20" s="647">
        <f>IFERROR(INDEX('Scenario 2'!$F$132:$J$132,MATCH(BX7,'Scenario 2'!$F$110:$J$110,0))/12,0)+IF($D$5=BX$8,SUM('Scenario 2'!$F$126:$J$126,'Scenario 2'!$F$129:$J$129))</f>
        <v/>
      </c>
      <c r="BY20" s="647">
        <f>IFERROR(INDEX('Scenario 2'!$F$132:$J$132,MATCH(BY7,'Scenario 2'!$F$110:$J$110,0))/12,0)+IF($D$5=BY$8,SUM('Scenario 2'!$F$126:$J$126,'Scenario 2'!$F$129:$J$129))</f>
        <v/>
      </c>
      <c r="BZ20" s="647">
        <f>IFERROR(INDEX('Scenario 2'!$F$132:$J$132,MATCH(BZ7,'Scenario 2'!$F$110:$J$110,0))/12,0)+IF($D$5=BZ$8,SUM('Scenario 2'!$F$126:$J$126,'Scenario 2'!$F$129:$J$129))</f>
        <v/>
      </c>
      <c r="CA20" s="647">
        <f>IFERROR(INDEX('Scenario 2'!$F$132:$J$132,MATCH(CA7,'Scenario 2'!$F$110:$J$110,0))/12,0)+IF($D$5=CA$8,SUM('Scenario 2'!$F$126:$J$126,'Scenario 2'!$F$129:$J$129))</f>
        <v/>
      </c>
      <c r="CB20" s="647">
        <f>IFERROR(INDEX('Scenario 2'!$F$132:$J$132,MATCH(CB7,'Scenario 2'!$F$110:$J$110,0))/12,0)+IF($D$5=CB$8,SUM('Scenario 2'!$F$126:$J$126,'Scenario 2'!$F$129:$J$129))</f>
        <v/>
      </c>
      <c r="CC20" s="647">
        <f>IFERROR(INDEX('Scenario 2'!$F$132:$J$132,MATCH(CC7,'Scenario 2'!$F$110:$J$110,0))/12,0)+IF($D$5=CC$8,SUM('Scenario 2'!$F$126:$J$126,'Scenario 2'!$F$129:$J$129))</f>
        <v/>
      </c>
      <c r="CD20" s="647">
        <f>IFERROR(INDEX('Scenario 2'!$F$132:$J$132,MATCH(CD7,'Scenario 2'!$F$110:$J$110,0))/12,0)+IF($D$5=CD$8,SUM('Scenario 2'!$F$126:$J$126,'Scenario 2'!$F$129:$J$129))</f>
        <v/>
      </c>
      <c r="CE20" s="647">
        <f>IFERROR(INDEX('Scenario 2'!$F$132:$J$132,MATCH(CE7,'Scenario 2'!$F$110:$J$110,0))/12,0)+IF($D$5=CE$8,SUM('Scenario 2'!$F$126:$J$126,'Scenario 2'!$F$129:$J$129))</f>
        <v/>
      </c>
      <c r="CF20" s="647">
        <f>IFERROR(INDEX('Scenario 2'!$F$132:$J$132,MATCH(CF7,'Scenario 2'!$F$110:$J$110,0))/12,0)+IF($D$5=CF$8,SUM('Scenario 2'!$F$126:$J$126,'Scenario 2'!$F$129:$J$129))</f>
        <v/>
      </c>
      <c r="CG20" s="647">
        <f>IFERROR(INDEX('Scenario 2'!$F$132:$J$132,MATCH(CG7,'Scenario 2'!$F$110:$J$110,0))/12,0)+IF($D$5=CG$8,SUM('Scenario 2'!$F$126:$J$126,'Scenario 2'!$F$129:$J$129))</f>
        <v/>
      </c>
      <c r="CH20" s="647">
        <f>IFERROR(INDEX('Scenario 2'!$F$132:$J$132,MATCH(CH7,'Scenario 2'!$F$110:$J$110,0))/12,0)+IF($D$5=CH$8,SUM('Scenario 2'!$F$126:$J$126,'Scenario 2'!$F$129:$J$129))</f>
        <v/>
      </c>
      <c r="CI20" s="647">
        <f>IFERROR(INDEX('Scenario 2'!$F$132:$J$132,MATCH(CI7,'Scenario 2'!$F$110:$J$110,0))/12,0)+IF($D$5=CI$8,SUM('Scenario 2'!$F$126:$J$126,'Scenario 2'!$F$129:$J$129))</f>
        <v/>
      </c>
      <c r="CJ20" s="647">
        <f>IFERROR(INDEX('Scenario 2'!$F$132:$J$132,MATCH(CJ7,'Scenario 2'!$F$110:$J$110,0))/12,0)+IF($D$5=CJ$8,SUM('Scenario 2'!$F$126:$J$126,'Scenario 2'!$F$129:$J$129))</f>
        <v/>
      </c>
      <c r="CK20" s="647">
        <f>IFERROR(INDEX('Scenario 2'!$F$132:$J$132,MATCH(CK7,'Scenario 2'!$F$110:$J$110,0))/12,0)+IF($D$5=CK$8,SUM('Scenario 2'!$F$126:$J$126,'Scenario 2'!$F$129:$J$129))</f>
        <v/>
      </c>
      <c r="CL20" s="647">
        <f>IFERROR(INDEX('Scenario 2'!$F$132:$J$132,MATCH(CL7,'Scenario 2'!$F$110:$J$110,0))/12,0)+IF($D$5=CL$8,SUM('Scenario 2'!$F$126:$J$126,'Scenario 2'!$F$129:$J$129))</f>
        <v/>
      </c>
      <c r="CM20" s="647">
        <f>IFERROR(INDEX('Scenario 2'!$F$132:$J$132,MATCH(CM7,'Scenario 2'!$F$110:$J$110,0))/12,0)+IF($D$5=CM$8,SUM('Scenario 2'!$F$126:$J$126,'Scenario 2'!$F$129:$J$129))</f>
        <v/>
      </c>
      <c r="CN20" s="647">
        <f>IFERROR(INDEX('Scenario 2'!$F$132:$J$132,MATCH(CN7,'Scenario 2'!$F$110:$J$110,0))/12,0)+IF($D$5=CN$8,SUM('Scenario 2'!$F$126:$J$126,'Scenario 2'!$F$129:$J$129))</f>
        <v/>
      </c>
      <c r="CO20" s="647">
        <f>IFERROR(INDEX('Scenario 2'!$F$132:$J$132,MATCH(CO7,'Scenario 2'!$F$110:$J$110,0))/12,0)+IF($D$5=CO$8,SUM('Scenario 2'!$F$126:$J$126,'Scenario 2'!$F$129:$J$129))</f>
        <v/>
      </c>
      <c r="CP20" s="647">
        <f>IFERROR(INDEX('Scenario 2'!$F$132:$J$132,MATCH(CP7,'Scenario 2'!$F$110:$J$110,0))/12,0)+IF($D$5=CP$8,SUM('Scenario 2'!$F$126:$J$126,'Scenario 2'!$F$129:$J$129))</f>
        <v/>
      </c>
      <c r="CQ20" s="647">
        <f>IFERROR(INDEX('Scenario 2'!$F$132:$J$132,MATCH(CQ7,'Scenario 2'!$F$110:$J$110,0))/12,0)+IF($D$5=CQ$8,SUM('Scenario 2'!$F$126:$J$126,'Scenario 2'!$F$129:$J$129))</f>
        <v/>
      </c>
      <c r="CR20" s="647">
        <f>IFERROR(INDEX('Scenario 2'!$F$132:$J$132,MATCH(CR7,'Scenario 2'!$F$110:$J$110,0))/12,0)+IF($D$5=CR$8,SUM('Scenario 2'!$F$126:$J$126,'Scenario 2'!$F$129:$J$129))</f>
        <v/>
      </c>
      <c r="CS20" s="647">
        <f>IFERROR(INDEX('Scenario 2'!$F$132:$J$132,MATCH(CS7,'Scenario 2'!$F$110:$J$110,0))/12,0)+IF($D$5=CS$8,SUM('Scenario 2'!$F$126:$J$126,'Scenario 2'!$F$129:$J$129))</f>
        <v/>
      </c>
      <c r="CT20" s="647">
        <f>IFERROR(INDEX('Scenario 2'!$F$132:$J$132,MATCH(CT7,'Scenario 2'!$F$110:$J$110,0))/12,0)+IF($D$5=CT$8,SUM('Scenario 2'!$F$126:$J$126,'Scenario 2'!$F$129:$J$129))</f>
        <v/>
      </c>
      <c r="CU20" s="647">
        <f>IFERROR(INDEX('Scenario 2'!$F$132:$J$132,MATCH(CU7,'Scenario 2'!$F$110:$J$110,0))/12,0)+IF($D$5=CU$8,SUM('Scenario 2'!$F$126:$J$126,'Scenario 2'!$F$129:$J$129))</f>
        <v/>
      </c>
      <c r="CV20" s="647">
        <f>IFERROR(INDEX('Scenario 2'!$F$132:$J$132,MATCH(CV7,'Scenario 2'!$F$110:$J$110,0))/12,0)+IF($D$5=CV$8,SUM('Scenario 2'!$F$126:$J$126,'Scenario 2'!$F$129:$J$129))</f>
        <v/>
      </c>
      <c r="CW20" s="647">
        <f>IFERROR(INDEX('Scenario 2'!$F$132:$J$132,MATCH(CW7,'Scenario 2'!$F$110:$J$110,0))/12,0)+IF($D$5=CW$8,SUM('Scenario 2'!$F$126:$J$126,'Scenario 2'!$F$129:$J$129))</f>
        <v/>
      </c>
      <c r="CX20" s="647">
        <f>IFERROR(INDEX('Scenario 2'!$F$132:$J$132,MATCH(CX7,'Scenario 2'!$F$110:$J$110,0))/12,0)+IF($D$5=CX$8,SUM('Scenario 2'!$F$126:$J$126,'Scenario 2'!$F$129:$J$129))</f>
        <v/>
      </c>
      <c r="CY20" s="647">
        <f>IFERROR(INDEX('Scenario 2'!$F$132:$J$132,MATCH(CY7,'Scenario 2'!$F$110:$J$110,0))/12,0)+IF($D$5=CY$8,SUM('Scenario 2'!$F$126:$J$126,'Scenario 2'!$F$129:$J$129))</f>
        <v/>
      </c>
      <c r="CZ20" s="647">
        <f>IFERROR(INDEX('Scenario 2'!$F$132:$J$132,MATCH(CZ7,'Scenario 2'!$F$110:$J$110,0))/12,0)+IF($D$5=CZ$8,SUM('Scenario 2'!$F$126:$J$126,'Scenario 2'!$F$129:$J$129))</f>
        <v/>
      </c>
      <c r="DA20" s="647">
        <f>IFERROR(INDEX('Scenario 2'!$F$132:$J$132,MATCH(DA7,'Scenario 2'!$F$110:$J$110,0))/12,0)+IF($D$5=DA$8,SUM('Scenario 2'!$F$126:$J$126,'Scenario 2'!$F$129:$J$129))</f>
        <v/>
      </c>
      <c r="DB20" s="647">
        <f>IFERROR(INDEX('Scenario 2'!$F$132:$J$132,MATCH(DB7,'Scenario 2'!$F$110:$J$110,0))/12,0)+IF($D$5=DB$8,SUM('Scenario 2'!$F$126:$J$126,'Scenario 2'!$F$129:$J$129))</f>
        <v/>
      </c>
      <c r="DC20" s="647">
        <f>IFERROR(INDEX('Scenario 2'!$F$132:$J$132,MATCH(DC7,'Scenario 2'!$F$110:$J$110,0))/12,0)+IF($D$5=DC$8,SUM('Scenario 2'!$F$126:$J$126,'Scenario 2'!$F$129:$J$129))</f>
        <v/>
      </c>
      <c r="DD20" s="647">
        <f>IFERROR(INDEX('Scenario 2'!$F$132:$J$132,MATCH(DD7,'Scenario 2'!$F$110:$J$110,0))/12,0)+IF($D$5=DD$8,SUM('Scenario 2'!$F$126:$J$126,'Scenario 2'!$F$129:$J$129))</f>
        <v/>
      </c>
      <c r="DE20" s="647">
        <f>IFERROR(INDEX('Scenario 2'!$F$132:$J$132,MATCH(DE7,'Scenario 2'!$F$110:$J$110,0))/12,0)+IF($D$5=DE$8,SUM('Scenario 2'!$F$126:$J$126,'Scenario 2'!$F$129:$J$129))</f>
        <v/>
      </c>
      <c r="DF20" s="647">
        <f>IFERROR(INDEX('Scenario 2'!$F$132:$J$132,MATCH(DF7,'Scenario 2'!$F$110:$J$110,0))/12,0)+IF($D$5=DF$8,SUM('Scenario 2'!$F$126:$J$126,'Scenario 2'!$F$129:$J$129))</f>
        <v/>
      </c>
      <c r="DG20" s="647">
        <f>IFERROR(INDEX('Scenario 2'!$F$132:$J$132,MATCH(DG7,'Scenario 2'!$F$110:$J$110,0))/12,0)+IF($D$5=DG$8,SUM('Scenario 2'!$F$126:$J$126,'Scenario 2'!$F$129:$J$129))</f>
        <v/>
      </c>
      <c r="DH20" s="647">
        <f>IFERROR(INDEX('Scenario 2'!$F$132:$J$132,MATCH(DH7,'Scenario 2'!$F$110:$J$110,0))/12,0)+IF($D$5=DH$8,SUM('Scenario 2'!$F$126:$J$126,'Scenario 2'!$F$129:$J$129))</f>
        <v/>
      </c>
      <c r="DI20" s="647">
        <f>IFERROR(INDEX('Scenario 2'!$F$132:$J$132,MATCH(DI7,'Scenario 2'!$F$110:$J$110,0))/12,0)+IF($D$5=DI$8,SUM('Scenario 2'!$F$126:$J$126,'Scenario 2'!$F$129:$J$129))</f>
        <v/>
      </c>
      <c r="DJ20" s="647">
        <f>IFERROR(INDEX('Scenario 2'!$F$132:$J$132,MATCH(DJ7,'Scenario 2'!$F$110:$J$110,0))/12,0)+IF($D$5=DJ$8,SUM('Scenario 2'!$F$126:$J$126,'Scenario 2'!$F$129:$J$129))</f>
        <v/>
      </c>
      <c r="DK20" s="647">
        <f>IFERROR(INDEX('Scenario 2'!$F$132:$J$132,MATCH(DK7,'Scenario 2'!$F$110:$J$110,0))/12,0)+IF($D$5=DK$8,SUM('Scenario 2'!$F$126:$J$126,'Scenario 2'!$F$129:$J$129))</f>
        <v/>
      </c>
      <c r="DL20" s="647">
        <f>IFERROR(INDEX('Scenario 2'!$F$132:$J$132,MATCH(DL7,'Scenario 2'!$F$110:$J$110,0))/12,0)+IF($D$5=DL$8,SUM('Scenario 2'!$F$126:$J$126,'Scenario 2'!$F$129:$J$129))</f>
        <v/>
      </c>
      <c r="DM20" s="647">
        <f>IFERROR(INDEX('Scenario 2'!$F$132:$J$132,MATCH(DM7,'Scenario 2'!$F$110:$J$110,0))/12,0)+IF($D$5=DM$8,SUM('Scenario 2'!$F$126:$J$126,'Scenario 2'!$F$129:$J$129))</f>
        <v/>
      </c>
      <c r="DN20" s="647">
        <f>IFERROR(INDEX('Scenario 2'!$F$132:$J$132,MATCH(DN7,'Scenario 2'!$F$110:$J$110,0))/12,0)+IF($D$5=DN$8,SUM('Scenario 2'!$F$126:$J$126,'Scenario 2'!$F$129:$J$129))</f>
        <v/>
      </c>
      <c r="DO20" s="647">
        <f>IFERROR(INDEX('Scenario 2'!$F$132:$J$132,MATCH(DO7,'Scenario 2'!$F$110:$J$110,0))/12,0)+IF($D$5=DO$8,SUM('Scenario 2'!$F$126:$J$126,'Scenario 2'!$F$129:$J$129))</f>
        <v/>
      </c>
      <c r="DP20" s="647">
        <f>IFERROR(INDEX('Scenario 2'!$F$132:$J$132,MATCH(DP7,'Scenario 2'!$F$110:$J$110,0))/12,0)+IF($D$5=DP$8,SUM('Scenario 2'!$F$126:$J$126,'Scenario 2'!$F$129:$J$129))</f>
        <v/>
      </c>
      <c r="DQ20" s="647">
        <f>IFERROR(INDEX('Scenario 2'!$F$132:$J$132,MATCH(DQ7,'Scenario 2'!$F$110:$J$110,0))/12,0)+IF($D$5=DQ$8,SUM('Scenario 2'!$F$126:$J$126,'Scenario 2'!$F$129:$J$129))</f>
        <v/>
      </c>
      <c r="DR20" s="647">
        <f>IFERROR(INDEX('Scenario 2'!$F$132:$J$132,MATCH(DR7,'Scenario 2'!$F$110:$J$110,0))/12,0)+IF($D$5=DR$8,SUM('Scenario 2'!$F$126:$J$126,'Scenario 2'!$F$129:$J$129))</f>
        <v/>
      </c>
      <c r="DS20" s="647">
        <f>IFERROR(INDEX('Scenario 2'!$F$132:$J$132,MATCH(DS7,'Scenario 2'!$F$110:$J$110,0))/12,0)+IF($D$5=DS$8,SUM('Scenario 2'!$F$126:$J$126,'Scenario 2'!$F$129:$J$129))</f>
        <v/>
      </c>
      <c r="DT20" s="647">
        <f>IFERROR(INDEX('Scenario 2'!$F$132:$J$132,MATCH(DT7,'Scenario 2'!$F$110:$J$110,0))/12,0)+IF($D$5=DT$8,SUM('Scenario 2'!$F$126:$J$126,'Scenario 2'!$F$129:$J$129))</f>
        <v/>
      </c>
      <c r="DU20" s="647">
        <f>IFERROR(INDEX('Scenario 2'!$F$132:$J$132,MATCH(DU7,'Scenario 2'!$F$110:$J$110,0))/12,0)+IF($D$5=DU$8,SUM('Scenario 2'!$F$126:$J$126,'Scenario 2'!$F$129:$J$129))</f>
        <v/>
      </c>
      <c r="DV20" s="647">
        <f>IFERROR(INDEX('Scenario 2'!$F$132:$J$132,MATCH(DV7,'Scenario 2'!$F$110:$J$110,0))/12,0)+IF($D$5=DV$8,SUM('Scenario 2'!$F$126:$J$126,'Scenario 2'!$F$129:$J$129))</f>
        <v/>
      </c>
      <c r="DW20" s="322" t="inlineStr">
        <is>
          <t>x</t>
        </is>
      </c>
    </row>
    <row r="21" ht="17.25" customHeight="1" thickTop="1">
      <c r="F21" s="652">
        <f>SUM($F20:F20)</f>
        <v/>
      </c>
      <c r="G21" s="652">
        <f>SUM($F20:G20)</f>
        <v/>
      </c>
      <c r="H21" s="652">
        <f>SUM($F20:H20)</f>
        <v/>
      </c>
      <c r="I21" s="652">
        <f>SUM($F20:I20)</f>
        <v/>
      </c>
      <c r="J21" s="652">
        <f>SUM($F20:J20)</f>
        <v/>
      </c>
      <c r="K21" s="652">
        <f>SUM($F20:K20)</f>
        <v/>
      </c>
      <c r="L21" s="652">
        <f>SUM($F20:L20)</f>
        <v/>
      </c>
      <c r="M21" s="652">
        <f>SUM($F20:M20)</f>
        <v/>
      </c>
      <c r="N21" s="652">
        <f>SUM($F20:N20)</f>
        <v/>
      </c>
      <c r="O21" s="652">
        <f>SUM($F20:O20)</f>
        <v/>
      </c>
      <c r="P21" s="652">
        <f>SUM($F20:P20)</f>
        <v/>
      </c>
      <c r="Q21" s="652">
        <f>SUM($F20:Q20)</f>
        <v/>
      </c>
      <c r="R21" s="652">
        <f>SUM($F20:R20)</f>
        <v/>
      </c>
      <c r="S21" s="652">
        <f>SUM($F20:S20)</f>
        <v/>
      </c>
      <c r="T21" s="652">
        <f>SUM($F20:T20)</f>
        <v/>
      </c>
      <c r="U21" s="652">
        <f>SUM($F20:U20)</f>
        <v/>
      </c>
      <c r="V21" s="652">
        <f>SUM($F20:V20)</f>
        <v/>
      </c>
      <c r="W21" s="652">
        <f>SUM($F20:W20)</f>
        <v/>
      </c>
      <c r="X21" s="652">
        <f>SUM($F20:X20)</f>
        <v/>
      </c>
      <c r="Y21" s="652">
        <f>SUM($F20:Y20)</f>
        <v/>
      </c>
      <c r="Z21" s="652">
        <f>SUM($F20:Z20)</f>
        <v/>
      </c>
      <c r="AA21" s="652">
        <f>SUM($F20:AA20)</f>
        <v/>
      </c>
      <c r="AB21" s="652">
        <f>SUM($F20:AB20)</f>
        <v/>
      </c>
      <c r="AC21" s="652">
        <f>SUM($F20:AC20)</f>
        <v/>
      </c>
      <c r="AD21" s="652">
        <f>SUM($F20:AD20)</f>
        <v/>
      </c>
      <c r="AE21" s="652">
        <f>SUM($F20:AE20)</f>
        <v/>
      </c>
      <c r="AF21" s="652">
        <f>SUM($F20:AF20)</f>
        <v/>
      </c>
      <c r="AG21" s="652">
        <f>SUM($F20:AG20)</f>
        <v/>
      </c>
      <c r="AH21" s="652">
        <f>SUM($F20:AH20)</f>
        <v/>
      </c>
      <c r="AI21" s="652">
        <f>SUM($F20:AI20)</f>
        <v/>
      </c>
      <c r="AJ21" s="652">
        <f>SUM($F20:AJ20)</f>
        <v/>
      </c>
      <c r="AK21" s="652">
        <f>SUM($F20:AK20)</f>
        <v/>
      </c>
      <c r="AL21" s="652">
        <f>SUM($F20:AL20)</f>
        <v/>
      </c>
      <c r="AM21" s="652">
        <f>SUM($F20:AM20)</f>
        <v/>
      </c>
      <c r="AN21" s="652">
        <f>SUM($F20:AN20)</f>
        <v/>
      </c>
      <c r="AO21" s="652">
        <f>SUM($F20:AO20)</f>
        <v/>
      </c>
      <c r="AP21" s="652">
        <f>SUM($F20:AP20)</f>
        <v/>
      </c>
      <c r="AQ21" s="652">
        <f>SUM($F20:AQ20)</f>
        <v/>
      </c>
      <c r="AR21" s="652">
        <f>SUM($F20:AR20)</f>
        <v/>
      </c>
      <c r="AS21" s="652">
        <f>SUM($F20:AS20)</f>
        <v/>
      </c>
      <c r="AT21" s="652">
        <f>SUM($F20:AT20)</f>
        <v/>
      </c>
      <c r="AU21" s="652">
        <f>SUM($F20:AU20)</f>
        <v/>
      </c>
      <c r="AV21" s="652">
        <f>SUM($F20:AV20)</f>
        <v/>
      </c>
      <c r="AW21" s="652">
        <f>SUM($F20:AW20)</f>
        <v/>
      </c>
      <c r="AX21" s="652">
        <f>SUM($F20:AX20)</f>
        <v/>
      </c>
      <c r="AY21" s="652">
        <f>SUM($F20:AY20)</f>
        <v/>
      </c>
      <c r="AZ21" s="652">
        <f>SUM($F20:AZ20)</f>
        <v/>
      </c>
      <c r="BA21" s="652">
        <f>SUM($F20:BA20)</f>
        <v/>
      </c>
      <c r="BB21" s="652">
        <f>SUM($F20:BB20)</f>
        <v/>
      </c>
      <c r="BC21" s="652">
        <f>SUM($F20:BC20)</f>
        <v/>
      </c>
      <c r="BD21" s="652">
        <f>SUM($F20:BD20)</f>
        <v/>
      </c>
      <c r="BE21" s="652">
        <f>SUM($F20:BE20)</f>
        <v/>
      </c>
      <c r="BF21" s="652">
        <f>SUM($F20:BF20)</f>
        <v/>
      </c>
      <c r="BG21" s="652">
        <f>SUM($F20:BG20)</f>
        <v/>
      </c>
      <c r="BH21" s="652">
        <f>SUM($F20:BH20)</f>
        <v/>
      </c>
      <c r="BI21" s="652">
        <f>SUM($F20:BI20)</f>
        <v/>
      </c>
      <c r="BJ21" s="652">
        <f>SUM($F20:BJ20)</f>
        <v/>
      </c>
      <c r="BK21" s="652">
        <f>SUM($F20:BK20)</f>
        <v/>
      </c>
      <c r="BL21" s="652">
        <f>SUM($F20:BL20)</f>
        <v/>
      </c>
      <c r="BM21" s="652">
        <f>SUM($F20:BM20)</f>
        <v/>
      </c>
      <c r="BN21" s="652">
        <f>SUM($F20:BN20)</f>
        <v/>
      </c>
      <c r="BO21" s="652">
        <f>SUM($F20:BO20)</f>
        <v/>
      </c>
      <c r="BP21" s="652">
        <f>SUM($F20:BP20)</f>
        <v/>
      </c>
      <c r="BQ21" s="652">
        <f>SUM($F20:BQ20)</f>
        <v/>
      </c>
      <c r="BR21" s="652">
        <f>SUM($F20:BR20)</f>
        <v/>
      </c>
      <c r="BS21" s="652">
        <f>SUM($F20:BS20)</f>
        <v/>
      </c>
      <c r="BT21" s="652">
        <f>SUM($F20:BT20)</f>
        <v/>
      </c>
      <c r="BU21" s="652">
        <f>SUM($F20:BU20)</f>
        <v/>
      </c>
      <c r="BV21" s="652">
        <f>SUM($F20:BV20)</f>
        <v/>
      </c>
      <c r="BW21" s="652">
        <f>SUM($F20:BW20)</f>
        <v/>
      </c>
      <c r="BX21" s="652">
        <f>SUM($F20:BX20)</f>
        <v/>
      </c>
      <c r="BY21" s="652">
        <f>SUM($F20:BY20)</f>
        <v/>
      </c>
      <c r="BZ21" s="652">
        <f>SUM($F20:BZ20)</f>
        <v/>
      </c>
      <c r="CA21" s="652">
        <f>SUM($F20:CA20)</f>
        <v/>
      </c>
      <c r="CB21" s="652">
        <f>SUM($F20:CB20)</f>
        <v/>
      </c>
      <c r="CC21" s="652">
        <f>SUM($F20:CC20)</f>
        <v/>
      </c>
      <c r="CD21" s="652">
        <f>SUM($F20:CD20)</f>
        <v/>
      </c>
      <c r="CE21" s="652">
        <f>SUM($F20:CE20)</f>
        <v/>
      </c>
      <c r="CF21" s="652">
        <f>SUM($F20:CF20)</f>
        <v/>
      </c>
      <c r="CG21" s="652">
        <f>SUM($F20:CG20)</f>
        <v/>
      </c>
      <c r="CH21" s="652">
        <f>SUM($F20:CH20)</f>
        <v/>
      </c>
      <c r="CI21" s="652">
        <f>SUM($F20:CI20)</f>
        <v/>
      </c>
      <c r="CJ21" s="652">
        <f>SUM($F20:CJ20)</f>
        <v/>
      </c>
      <c r="CK21" s="652">
        <f>SUM($F20:CK20)</f>
        <v/>
      </c>
      <c r="CL21" s="652">
        <f>SUM($F20:CL20)</f>
        <v/>
      </c>
      <c r="CM21" s="652">
        <f>SUM($F20:CM20)</f>
        <v/>
      </c>
      <c r="CN21" s="652">
        <f>SUM($F20:CN20)</f>
        <v/>
      </c>
      <c r="CO21" s="652">
        <f>SUM($F20:CO20)</f>
        <v/>
      </c>
      <c r="CP21" s="652">
        <f>SUM($F20:CP20)</f>
        <v/>
      </c>
      <c r="CQ21" s="652">
        <f>SUM($F20:CQ20)</f>
        <v/>
      </c>
      <c r="CR21" s="652">
        <f>SUM($F20:CR20)</f>
        <v/>
      </c>
      <c r="CS21" s="652">
        <f>SUM($F20:CS20)</f>
        <v/>
      </c>
      <c r="CT21" s="652">
        <f>SUM($F20:CT20)</f>
        <v/>
      </c>
      <c r="CU21" s="652">
        <f>SUM($F20:CU20)</f>
        <v/>
      </c>
      <c r="CV21" s="652">
        <f>SUM($F20:CV20)</f>
        <v/>
      </c>
      <c r="CW21" s="652">
        <f>SUM($F20:CW20)</f>
        <v/>
      </c>
      <c r="CX21" s="652">
        <f>SUM($F20:CX20)</f>
        <v/>
      </c>
      <c r="CY21" s="652">
        <f>SUM($F20:CY20)</f>
        <v/>
      </c>
      <c r="CZ21" s="652">
        <f>SUM($F20:CZ20)</f>
        <v/>
      </c>
      <c r="DA21" s="652">
        <f>SUM($F20:DA20)</f>
        <v/>
      </c>
      <c r="DB21" s="652">
        <f>SUM($F20:DB20)</f>
        <v/>
      </c>
      <c r="DC21" s="652">
        <f>SUM($F20:DC20)</f>
        <v/>
      </c>
      <c r="DD21" s="652">
        <f>SUM($F20:DD20)</f>
        <v/>
      </c>
      <c r="DE21" s="652">
        <f>SUM($F20:DE20)</f>
        <v/>
      </c>
      <c r="DF21" s="652">
        <f>SUM($F20:DF20)</f>
        <v/>
      </c>
      <c r="DG21" s="652">
        <f>SUM($F20:DG20)</f>
        <v/>
      </c>
      <c r="DH21" s="652">
        <f>SUM($F20:DH20)</f>
        <v/>
      </c>
      <c r="DI21" s="652">
        <f>SUM($F20:DI20)</f>
        <v/>
      </c>
      <c r="DJ21" s="652">
        <f>SUM($F20:DJ20)</f>
        <v/>
      </c>
      <c r="DK21" s="652">
        <f>SUM($F20:DK20)</f>
        <v/>
      </c>
      <c r="DL21" s="652">
        <f>SUM($F20:DL20)</f>
        <v/>
      </c>
      <c r="DM21" s="652">
        <f>SUM($F20:DM20)</f>
        <v/>
      </c>
      <c r="DN21" s="652">
        <f>SUM($F20:DN20)</f>
        <v/>
      </c>
      <c r="DO21" s="652">
        <f>SUM($F20:DO20)</f>
        <v/>
      </c>
      <c r="DP21" s="652">
        <f>SUM($F20:DP20)</f>
        <v/>
      </c>
      <c r="DQ21" s="652">
        <f>SUM($F20:DQ20)</f>
        <v/>
      </c>
      <c r="DR21" s="652">
        <f>SUM($F20:DR20)</f>
        <v/>
      </c>
      <c r="DS21" s="652">
        <f>SUM($F20:DS20)</f>
        <v/>
      </c>
      <c r="DT21" s="652">
        <f>SUM($F20:DT20)</f>
        <v/>
      </c>
      <c r="DU21" s="652">
        <f>SUM($F20:DU20)</f>
        <v/>
      </c>
      <c r="DV21" s="652">
        <f>SUM($F20:DV20)</f>
        <v/>
      </c>
      <c r="DW21" s="322" t="inlineStr">
        <is>
          <t>x</t>
        </is>
      </c>
    </row>
    <row r="22">
      <c r="C22" s="344" t="inlineStr">
        <is>
          <t>Levered Deal-Level Returns</t>
        </is>
      </c>
      <c r="D22" s="345" t="n"/>
      <c r="E22" s="346" t="n"/>
      <c r="G22" s="642" t="n"/>
      <c r="DW22" s="322" t="inlineStr">
        <is>
          <t>x</t>
        </is>
      </c>
    </row>
    <row r="23">
      <c r="C23" s="347" t="inlineStr">
        <is>
          <t>IRR</t>
        </is>
      </c>
      <c r="D23" s="348">
        <f>XIRR(F20:DV20,$F$9:$DV$9)</f>
        <v/>
      </c>
      <c r="E23" s="349" t="n"/>
      <c r="G23" s="642" t="n"/>
      <c r="DW23" s="322" t="inlineStr">
        <is>
          <t>x</t>
        </is>
      </c>
    </row>
    <row r="24">
      <c r="C24" s="350" t="inlineStr">
        <is>
          <t>MOIC</t>
        </is>
      </c>
      <c r="D24" s="649">
        <f t="array" ref="D24">SUMPRODUCT(--(F20:DV20&gt;0),F20:DV20)/-SUMPRODUCT(--(F20:DV20&lt;0),F20:DV20)</f>
        <v/>
      </c>
      <c r="E24" s="650" t="n"/>
      <c r="DW24" s="322" t="inlineStr">
        <is>
          <t>x</t>
        </is>
      </c>
    </row>
    <row r="25">
      <c r="C25" s="353" t="inlineStr">
        <is>
          <t>Profit</t>
        </is>
      </c>
      <c r="D25" s="354">
        <f>SUM(F20:DV20)</f>
        <v/>
      </c>
      <c r="E25" s="651" t="n"/>
      <c r="G25" s="358" t="n"/>
      <c r="DW25" s="322" t="inlineStr">
        <is>
          <t>x</t>
        </is>
      </c>
    </row>
    <row r="26">
      <c r="DW26" s="322" t="inlineStr">
        <is>
          <t>x</t>
        </is>
      </c>
    </row>
    <row r="27" hidden="1" outlineLevel="1">
      <c r="C27" s="359" t="n">
        <v>1</v>
      </c>
      <c r="D27" s="360" t="n"/>
      <c r="E27" s="360" t="n"/>
      <c r="F27" s="360" t="n"/>
      <c r="G27" s="360" t="n"/>
      <c r="H27" s="360" t="n"/>
      <c r="I27" s="360" t="n"/>
      <c r="J27" s="360" t="n"/>
      <c r="K27" s="360" t="n"/>
      <c r="L27" s="360" t="n"/>
      <c r="M27" s="360" t="n"/>
      <c r="N27" s="360" t="n"/>
      <c r="O27" s="360" t="n"/>
      <c r="P27" s="360" t="n"/>
      <c r="Q27" s="360" t="n"/>
      <c r="R27" s="360" t="n"/>
      <c r="S27" s="360" t="n"/>
      <c r="T27" s="360" t="n"/>
      <c r="U27" s="360" t="n"/>
      <c r="V27" s="360" t="n"/>
      <c r="W27" s="360" t="n"/>
      <c r="X27" s="360" t="n"/>
      <c r="Y27" s="360" t="n"/>
      <c r="Z27" s="360" t="n"/>
      <c r="AA27" s="360" t="n"/>
      <c r="AB27" s="360" t="n"/>
      <c r="AC27" s="360" t="n"/>
      <c r="AD27" s="360" t="n"/>
      <c r="AE27" s="360" t="n"/>
      <c r="AF27" s="360" t="n"/>
      <c r="AG27" s="360" t="n"/>
      <c r="AH27" s="360" t="n"/>
      <c r="AI27" s="360" t="n"/>
      <c r="AJ27" s="360" t="n"/>
      <c r="AK27" s="360" t="n"/>
      <c r="AL27" s="360" t="n"/>
      <c r="AM27" s="360" t="n"/>
      <c r="AN27" s="360" t="n"/>
      <c r="AO27" s="360" t="n"/>
      <c r="AP27" s="360" t="n"/>
      <c r="AQ27" s="360" t="n"/>
      <c r="AR27" s="360" t="n"/>
      <c r="AS27" s="360" t="n"/>
      <c r="AT27" s="360" t="n"/>
      <c r="AU27" s="360" t="n"/>
      <c r="AV27" s="360" t="n"/>
      <c r="AW27" s="360" t="n"/>
      <c r="AX27" s="360" t="n"/>
      <c r="AY27" s="360" t="n"/>
      <c r="AZ27" s="360" t="n"/>
      <c r="BA27" s="360" t="n"/>
      <c r="BB27" s="360" t="n"/>
      <c r="BC27" s="360" t="n"/>
      <c r="BD27" s="360" t="n"/>
      <c r="BE27" s="360" t="n"/>
      <c r="BF27" s="360" t="n"/>
      <c r="BG27" s="360" t="n"/>
      <c r="BH27" s="360" t="n"/>
      <c r="BI27" s="360" t="n"/>
      <c r="BJ27" s="360" t="n"/>
      <c r="BK27" s="360" t="n"/>
      <c r="BL27" s="360" t="n"/>
      <c r="BM27" s="360" t="n"/>
      <c r="BN27" s="360" t="n"/>
      <c r="BO27" s="360" t="n"/>
      <c r="BP27" s="360" t="n"/>
      <c r="BQ27" s="360" t="n"/>
      <c r="BR27" s="360" t="n"/>
      <c r="BS27" s="360" t="n"/>
      <c r="BT27" s="360" t="n"/>
      <c r="BU27" s="360" t="n"/>
      <c r="BV27" s="360" t="n"/>
      <c r="BW27" s="360" t="n"/>
      <c r="BX27" s="360" t="n"/>
      <c r="BY27" s="360" t="n"/>
      <c r="BZ27" s="360" t="n"/>
      <c r="CA27" s="360" t="n"/>
      <c r="CB27" s="360" t="n"/>
      <c r="CC27" s="360" t="n"/>
      <c r="CD27" s="360" t="n"/>
      <c r="CE27" s="360" t="n"/>
      <c r="CF27" s="360" t="n"/>
      <c r="CG27" s="360" t="n"/>
      <c r="CH27" s="360" t="n"/>
      <c r="CI27" s="360" t="n"/>
      <c r="CJ27" s="360" t="n"/>
      <c r="CK27" s="360" t="n"/>
      <c r="CL27" s="360" t="n"/>
      <c r="CM27" s="360" t="n"/>
      <c r="CN27" s="360" t="n"/>
      <c r="CO27" s="360" t="n"/>
      <c r="CP27" s="360" t="n"/>
      <c r="CQ27" s="360" t="n"/>
      <c r="CR27" s="360" t="n"/>
      <c r="CS27" s="360" t="n"/>
      <c r="CT27" s="360" t="n"/>
      <c r="CU27" s="360" t="n"/>
      <c r="CV27" s="360" t="n"/>
      <c r="CW27" s="360" t="n"/>
      <c r="CX27" s="360" t="n"/>
      <c r="CY27" s="360" t="n"/>
      <c r="CZ27" s="360" t="n"/>
      <c r="DA27" s="360" t="n"/>
      <c r="DB27" s="360" t="n"/>
      <c r="DC27" s="360" t="n"/>
      <c r="DD27" s="360" t="n"/>
      <c r="DE27" s="360" t="n"/>
      <c r="DF27" s="360" t="n"/>
      <c r="DG27" s="360" t="n"/>
      <c r="DH27" s="360" t="n"/>
      <c r="DI27" s="360" t="n"/>
      <c r="DJ27" s="360" t="n"/>
      <c r="DK27" s="360" t="n"/>
      <c r="DL27" s="360" t="n"/>
      <c r="DM27" s="360" t="n"/>
      <c r="DN27" s="360" t="n"/>
      <c r="DO27" s="360" t="n"/>
      <c r="DP27" s="360" t="n"/>
      <c r="DQ27" s="360" t="n"/>
      <c r="DR27" s="360" t="n"/>
      <c r="DS27" s="360" t="n"/>
      <c r="DT27" s="360" t="n"/>
      <c r="DU27" s="360" t="n"/>
      <c r="DV27" s="360" t="n"/>
      <c r="DW27" s="322" t="inlineStr">
        <is>
          <t>x</t>
        </is>
      </c>
    </row>
    <row r="28" hidden="1" outlineLevel="1">
      <c r="C28" s="360" t="n"/>
      <c r="D28" s="360" t="n"/>
      <c r="E28" s="360" t="n"/>
      <c r="F28" s="360" t="n"/>
      <c r="G28" s="360" t="n"/>
      <c r="H28" s="360" t="n"/>
      <c r="I28" s="360" t="n"/>
      <c r="J28" s="360" t="n"/>
      <c r="K28" s="360" t="n"/>
      <c r="L28" s="360" t="n"/>
      <c r="M28" s="360" t="n"/>
      <c r="N28" s="360" t="n"/>
      <c r="O28" s="360" t="n"/>
      <c r="P28" s="360" t="n"/>
      <c r="Q28" s="360" t="n"/>
      <c r="R28" s="360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60" t="n"/>
      <c r="AB28" s="360" t="n"/>
      <c r="AC28" s="360" t="n"/>
      <c r="AD28" s="360" t="n"/>
      <c r="AE28" s="360" t="n"/>
      <c r="AF28" s="360" t="n"/>
      <c r="AG28" s="360" t="n"/>
      <c r="AH28" s="360" t="n"/>
      <c r="AI28" s="360" t="n"/>
      <c r="AJ28" s="360" t="n"/>
      <c r="AK28" s="360" t="n"/>
      <c r="AL28" s="360" t="n"/>
      <c r="AM28" s="360" t="n"/>
      <c r="AN28" s="360" t="n"/>
      <c r="AO28" s="360" t="n"/>
      <c r="AP28" s="360" t="n"/>
      <c r="AQ28" s="360" t="n"/>
      <c r="AR28" s="360" t="n"/>
      <c r="AS28" s="360" t="n"/>
      <c r="AT28" s="360" t="n"/>
      <c r="AU28" s="360" t="n"/>
      <c r="AV28" s="360" t="n"/>
      <c r="AW28" s="360" t="n"/>
      <c r="AX28" s="360" t="n"/>
      <c r="AY28" s="360" t="n"/>
      <c r="AZ28" s="360" t="n"/>
      <c r="BA28" s="360" t="n"/>
      <c r="BB28" s="360" t="n"/>
      <c r="BC28" s="360" t="n"/>
      <c r="BD28" s="360" t="n"/>
      <c r="BE28" s="360" t="n"/>
      <c r="BF28" s="360" t="n"/>
      <c r="BG28" s="360" t="n"/>
      <c r="BH28" s="360" t="n"/>
      <c r="BI28" s="360" t="n"/>
      <c r="BJ28" s="360" t="n"/>
      <c r="BK28" s="360" t="n"/>
      <c r="BL28" s="360" t="n"/>
      <c r="BM28" s="360" t="n"/>
      <c r="BN28" s="360" t="n"/>
      <c r="BO28" s="360" t="n"/>
      <c r="BP28" s="360" t="n"/>
      <c r="BQ28" s="360" t="n"/>
      <c r="BR28" s="360" t="n"/>
      <c r="BS28" s="360" t="n"/>
      <c r="BT28" s="360" t="n"/>
      <c r="BU28" s="360" t="n"/>
      <c r="BV28" s="360" t="n"/>
      <c r="BW28" s="360" t="n"/>
      <c r="BX28" s="360" t="n"/>
      <c r="BY28" s="360" t="n"/>
      <c r="BZ28" s="360" t="n"/>
      <c r="CA28" s="360" t="n"/>
      <c r="CB28" s="360" t="n"/>
      <c r="CC28" s="360" t="n"/>
      <c r="CD28" s="360" t="n"/>
      <c r="CE28" s="360" t="n"/>
      <c r="CF28" s="360" t="n"/>
      <c r="CG28" s="360" t="n"/>
      <c r="CH28" s="360" t="n"/>
      <c r="CI28" s="360" t="n"/>
      <c r="CJ28" s="360" t="n"/>
      <c r="CK28" s="360" t="n"/>
      <c r="CL28" s="360" t="n"/>
      <c r="CM28" s="360" t="n"/>
      <c r="CN28" s="360" t="n"/>
      <c r="CO28" s="360" t="n"/>
      <c r="CP28" s="360" t="n"/>
      <c r="CQ28" s="360" t="n"/>
      <c r="CR28" s="360" t="n"/>
      <c r="CS28" s="360" t="n"/>
      <c r="CT28" s="360" t="n"/>
      <c r="CU28" s="360" t="n"/>
      <c r="CV28" s="360" t="n"/>
      <c r="CW28" s="360" t="n"/>
      <c r="CX28" s="360" t="n"/>
      <c r="CY28" s="360" t="n"/>
      <c r="CZ28" s="360" t="n"/>
      <c r="DA28" s="360" t="n"/>
      <c r="DB28" s="360" t="n"/>
      <c r="DC28" s="360" t="n"/>
      <c r="DD28" s="360" t="n"/>
      <c r="DE28" s="360" t="n"/>
      <c r="DF28" s="360" t="n"/>
      <c r="DG28" s="360" t="n"/>
      <c r="DH28" s="360" t="n"/>
      <c r="DI28" s="360" t="n"/>
      <c r="DJ28" s="360" t="n"/>
      <c r="DK28" s="360" t="n"/>
      <c r="DL28" s="360" t="n"/>
      <c r="DM28" s="360" t="n"/>
      <c r="DN28" s="360" t="n"/>
      <c r="DO28" s="360" t="n"/>
      <c r="DP28" s="360" t="n"/>
      <c r="DQ28" s="360" t="n"/>
      <c r="DR28" s="360" t="n"/>
      <c r="DS28" s="360" t="n"/>
      <c r="DT28" s="360" t="n"/>
      <c r="DU28" s="360" t="n"/>
      <c r="DV28" s="360" t="n"/>
      <c r="DW28" s="322" t="inlineStr">
        <is>
          <t>x</t>
        </is>
      </c>
    </row>
    <row r="29" hidden="1" outlineLevel="1">
      <c r="C29" s="361" t="inlineStr">
        <is>
          <t>Equity Contribution Summary</t>
        </is>
      </c>
      <c r="D29" s="362" t="n"/>
      <c r="E29" s="360" t="n"/>
      <c r="F29" s="360" t="n"/>
      <c r="G29" s="360" t="n"/>
      <c r="H29" s="360" t="n"/>
      <c r="I29" s="360" t="n"/>
      <c r="J29" s="360" t="n"/>
      <c r="K29" s="360" t="n"/>
      <c r="L29" s="360" t="n"/>
      <c r="M29" s="360" t="n"/>
      <c r="N29" s="360" t="n"/>
      <c r="O29" s="360" t="n"/>
      <c r="P29" s="360" t="n"/>
      <c r="Q29" s="360" t="n"/>
      <c r="R29" s="360" t="n"/>
      <c r="S29" s="360" t="n"/>
      <c r="T29" s="360" t="n"/>
      <c r="U29" s="360" t="n"/>
      <c r="V29" s="360" t="n"/>
      <c r="W29" s="360" t="n"/>
      <c r="X29" s="360" t="n"/>
      <c r="Y29" s="360" t="n"/>
      <c r="Z29" s="360" t="n"/>
      <c r="AA29" s="360" t="n"/>
      <c r="AB29" s="360" t="n"/>
      <c r="AC29" s="360" t="n"/>
      <c r="AD29" s="360" t="n"/>
      <c r="AE29" s="360" t="n"/>
      <c r="AF29" s="360" t="n"/>
      <c r="AG29" s="360" t="n"/>
      <c r="AH29" s="360" t="n"/>
      <c r="AI29" s="360" t="n"/>
      <c r="AJ29" s="360" t="n"/>
      <c r="AK29" s="360" t="n"/>
      <c r="AL29" s="360" t="n"/>
      <c r="AM29" s="360" t="n"/>
      <c r="AN29" s="360" t="n"/>
      <c r="AO29" s="360" t="n"/>
      <c r="AP29" s="360" t="n"/>
      <c r="AQ29" s="360" t="n"/>
      <c r="AR29" s="360" t="n"/>
      <c r="AS29" s="360" t="n"/>
      <c r="AT29" s="360" t="n"/>
      <c r="AU29" s="360" t="n"/>
      <c r="AV29" s="360" t="n"/>
      <c r="AW29" s="360" t="n"/>
      <c r="AX29" s="360" t="n"/>
      <c r="AY29" s="360" t="n"/>
      <c r="AZ29" s="360" t="n"/>
      <c r="BA29" s="360" t="n"/>
      <c r="BB29" s="360" t="n"/>
      <c r="BC29" s="360" t="n"/>
      <c r="BD29" s="360" t="n"/>
      <c r="BE29" s="360" t="n"/>
      <c r="BF29" s="360" t="n"/>
      <c r="BG29" s="360" t="n"/>
      <c r="BH29" s="360" t="n"/>
      <c r="BI29" s="360" t="n"/>
      <c r="BJ29" s="360" t="n"/>
      <c r="BK29" s="360" t="n"/>
      <c r="BL29" s="360" t="n"/>
      <c r="BM29" s="360" t="n"/>
      <c r="BN29" s="360" t="n"/>
      <c r="BO29" s="360" t="n"/>
      <c r="BP29" s="360" t="n"/>
      <c r="BQ29" s="360" t="n"/>
      <c r="BR29" s="360" t="n"/>
      <c r="BS29" s="360" t="n"/>
      <c r="BT29" s="360" t="n"/>
      <c r="BU29" s="360" t="n"/>
      <c r="BV29" s="360" t="n"/>
      <c r="BW29" s="360" t="n"/>
      <c r="BX29" s="360" t="n"/>
      <c r="BY29" s="360" t="n"/>
      <c r="BZ29" s="360" t="n"/>
      <c r="CA29" s="360" t="n"/>
      <c r="CB29" s="360" t="n"/>
      <c r="CC29" s="360" t="n"/>
      <c r="CD29" s="360" t="n"/>
      <c r="CE29" s="360" t="n"/>
      <c r="CF29" s="360" t="n"/>
      <c r="CG29" s="360" t="n"/>
      <c r="CH29" s="360" t="n"/>
      <c r="CI29" s="360" t="n"/>
      <c r="CJ29" s="360" t="n"/>
      <c r="CK29" s="360" t="n"/>
      <c r="CL29" s="360" t="n"/>
      <c r="CM29" s="360" t="n"/>
      <c r="CN29" s="360" t="n"/>
      <c r="CO29" s="360" t="n"/>
      <c r="CP29" s="360" t="n"/>
      <c r="CQ29" s="360" t="n"/>
      <c r="CR29" s="360" t="n"/>
      <c r="CS29" s="360" t="n"/>
      <c r="CT29" s="360" t="n"/>
      <c r="CU29" s="360" t="n"/>
      <c r="CV29" s="360" t="n"/>
      <c r="CW29" s="360" t="n"/>
      <c r="CX29" s="360" t="n"/>
      <c r="CY29" s="360" t="n"/>
      <c r="CZ29" s="360" t="n"/>
      <c r="DA29" s="360" t="n"/>
      <c r="DB29" s="360" t="n"/>
      <c r="DC29" s="360" t="n"/>
      <c r="DD29" s="360" t="n"/>
      <c r="DE29" s="360" t="n"/>
      <c r="DF29" s="360" t="n"/>
      <c r="DG29" s="360" t="n"/>
      <c r="DH29" s="360" t="n"/>
      <c r="DI29" s="360" t="n"/>
      <c r="DJ29" s="360" t="n"/>
      <c r="DK29" s="360" t="n"/>
      <c r="DL29" s="360" t="n"/>
      <c r="DM29" s="360" t="n"/>
      <c r="DN29" s="360" t="n"/>
      <c r="DO29" s="360" t="n"/>
      <c r="DP29" s="360" t="n"/>
      <c r="DQ29" s="360" t="n"/>
      <c r="DR29" s="360" t="n"/>
      <c r="DS29" s="360" t="n"/>
      <c r="DT29" s="360" t="n"/>
      <c r="DU29" s="360" t="n"/>
      <c r="DV29" s="360" t="n"/>
    </row>
    <row r="30" hidden="1" outlineLevel="1">
      <c r="C30" s="363" t="inlineStr">
        <is>
          <t>Member</t>
        </is>
      </c>
      <c r="D30" s="364" t="inlineStr">
        <is>
          <t>%</t>
        </is>
      </c>
      <c r="E30" s="365" t="n"/>
      <c r="F30" s="365" t="n"/>
      <c r="G30" s="360" t="n"/>
      <c r="H30" s="360" t="n"/>
      <c r="I30" s="360" t="n"/>
      <c r="J30" s="360" t="n"/>
      <c r="K30" s="360" t="n"/>
      <c r="L30" s="360" t="n"/>
      <c r="M30" s="360" t="n"/>
      <c r="N30" s="360" t="n"/>
      <c r="O30" s="360" t="n"/>
      <c r="P30" s="360" t="n"/>
      <c r="Q30" s="360" t="n"/>
      <c r="R30" s="360" t="n"/>
      <c r="S30" s="360" t="n"/>
      <c r="T30" s="360" t="n"/>
      <c r="U30" s="360" t="n"/>
      <c r="V30" s="360" t="n"/>
      <c r="W30" s="360" t="n"/>
      <c r="X30" s="360" t="n"/>
      <c r="Y30" s="360" t="n"/>
      <c r="Z30" s="360" t="n"/>
      <c r="AA30" s="360" t="n"/>
      <c r="AB30" s="360" t="n"/>
      <c r="AC30" s="360" t="n"/>
      <c r="AD30" s="360" t="n"/>
      <c r="AE30" s="360" t="n"/>
      <c r="AF30" s="360" t="n"/>
      <c r="AG30" s="360" t="n"/>
      <c r="AH30" s="360" t="n"/>
      <c r="AI30" s="360" t="n"/>
      <c r="AJ30" s="360" t="n"/>
      <c r="AK30" s="360" t="n"/>
      <c r="AL30" s="360" t="n"/>
      <c r="AM30" s="360" t="n"/>
      <c r="AN30" s="360" t="n"/>
      <c r="AO30" s="360" t="n"/>
      <c r="AP30" s="360" t="n"/>
      <c r="AQ30" s="360" t="n"/>
      <c r="AR30" s="360" t="n"/>
      <c r="AS30" s="360" t="n"/>
      <c r="AT30" s="360" t="n"/>
      <c r="AU30" s="360" t="n"/>
      <c r="AV30" s="360" t="n"/>
      <c r="AW30" s="360" t="n"/>
      <c r="AX30" s="360" t="n"/>
      <c r="AY30" s="360" t="n"/>
      <c r="AZ30" s="360" t="n"/>
      <c r="BA30" s="360" t="n"/>
      <c r="BB30" s="360" t="n"/>
      <c r="BC30" s="360" t="n"/>
      <c r="BD30" s="360" t="n"/>
      <c r="BE30" s="360" t="n"/>
      <c r="BF30" s="360" t="n"/>
      <c r="BG30" s="360" t="n"/>
      <c r="BH30" s="360" t="n"/>
      <c r="BI30" s="360" t="n"/>
      <c r="BJ30" s="360" t="n"/>
      <c r="BK30" s="360" t="n"/>
      <c r="BL30" s="360" t="n"/>
      <c r="BM30" s="360" t="n"/>
      <c r="BN30" s="360" t="n"/>
      <c r="BO30" s="360" t="n"/>
      <c r="BP30" s="360" t="n"/>
      <c r="BQ30" s="360" t="n"/>
      <c r="BR30" s="360" t="n"/>
      <c r="BS30" s="360" t="n"/>
      <c r="BT30" s="360" t="n"/>
      <c r="BU30" s="360" t="n"/>
      <c r="BV30" s="360" t="n"/>
      <c r="BW30" s="360" t="n"/>
      <c r="BX30" s="360" t="n"/>
      <c r="BY30" s="360" t="n"/>
      <c r="BZ30" s="360" t="n"/>
      <c r="CA30" s="360" t="n"/>
      <c r="CB30" s="360" t="n"/>
      <c r="CC30" s="360" t="n"/>
      <c r="CD30" s="360" t="n"/>
      <c r="CE30" s="360" t="n"/>
      <c r="CF30" s="360" t="n"/>
      <c r="CG30" s="360" t="n"/>
      <c r="CH30" s="360" t="n"/>
      <c r="CI30" s="360" t="n"/>
      <c r="CJ30" s="360" t="n"/>
      <c r="CK30" s="360" t="n"/>
      <c r="CL30" s="360" t="n"/>
      <c r="CM30" s="360" t="n"/>
      <c r="CN30" s="360" t="n"/>
      <c r="CO30" s="360" t="n"/>
      <c r="CP30" s="360" t="n"/>
      <c r="CQ30" s="360" t="n"/>
      <c r="CR30" s="360" t="n"/>
      <c r="CS30" s="360" t="n"/>
      <c r="CT30" s="360" t="n"/>
      <c r="CU30" s="360" t="n"/>
      <c r="CV30" s="360" t="n"/>
      <c r="CW30" s="360" t="n"/>
      <c r="CX30" s="360" t="n"/>
      <c r="CY30" s="360" t="n"/>
      <c r="CZ30" s="360" t="n"/>
      <c r="DA30" s="360" t="n"/>
      <c r="DB30" s="360" t="n"/>
      <c r="DC30" s="360" t="n"/>
      <c r="DD30" s="360" t="n"/>
      <c r="DE30" s="360" t="n"/>
      <c r="DF30" s="360" t="n"/>
      <c r="DG30" s="360" t="n"/>
      <c r="DH30" s="360" t="n"/>
      <c r="DI30" s="360" t="n"/>
      <c r="DJ30" s="360" t="n"/>
      <c r="DK30" s="360" t="n"/>
      <c r="DL30" s="360" t="n"/>
      <c r="DM30" s="360" t="n"/>
      <c r="DN30" s="360" t="n"/>
      <c r="DO30" s="360" t="n"/>
      <c r="DP30" s="360" t="n"/>
      <c r="DQ30" s="360" t="n"/>
      <c r="DR30" s="360" t="n"/>
      <c r="DS30" s="360" t="n"/>
      <c r="DT30" s="360" t="n"/>
      <c r="DU30" s="360" t="n"/>
      <c r="DV30" s="360" t="n"/>
      <c r="DW30" s="322" t="inlineStr">
        <is>
          <t>x</t>
        </is>
      </c>
    </row>
    <row r="31" hidden="1" outlineLevel="1">
      <c r="C31" s="366">
        <f>'Partnership Terms + Fees'!F7</f>
        <v/>
      </c>
      <c r="D31" s="367">
        <f>'Partnership Terms + Fees'!F8</f>
        <v/>
      </c>
      <c r="E31" s="368" t="n"/>
      <c r="F31" s="360" t="n"/>
      <c r="G31" s="360" t="n"/>
      <c r="H31" s="360" t="n"/>
      <c r="I31" s="360" t="n"/>
      <c r="J31" s="360" t="n"/>
      <c r="K31" s="360" t="n"/>
      <c r="L31" s="360" t="n"/>
      <c r="M31" s="360" t="n"/>
      <c r="N31" s="360" t="n"/>
      <c r="O31" s="360" t="n"/>
      <c r="P31" s="360" t="n"/>
      <c r="Q31" s="360" t="n"/>
      <c r="R31" s="360" t="n"/>
      <c r="S31" s="360" t="n"/>
      <c r="T31" s="360" t="n"/>
      <c r="U31" s="360" t="n"/>
      <c r="V31" s="360" t="n"/>
      <c r="W31" s="360" t="n"/>
      <c r="X31" s="360" t="n"/>
      <c r="Y31" s="360" t="n"/>
      <c r="Z31" s="360" t="n"/>
      <c r="AA31" s="360" t="n"/>
      <c r="AB31" s="360" t="n"/>
      <c r="AC31" s="360" t="n"/>
      <c r="AD31" s="360" t="n"/>
      <c r="AE31" s="360" t="n"/>
      <c r="AF31" s="360" t="n"/>
      <c r="AG31" s="360" t="n"/>
      <c r="AH31" s="360" t="n"/>
      <c r="AI31" s="360" t="n"/>
      <c r="AJ31" s="360" t="n"/>
      <c r="AK31" s="360" t="n"/>
      <c r="AL31" s="360" t="n"/>
      <c r="AM31" s="360" t="n"/>
      <c r="AN31" s="360" t="n"/>
      <c r="AO31" s="360" t="n"/>
      <c r="AP31" s="360" t="n"/>
      <c r="AQ31" s="360" t="n"/>
      <c r="AR31" s="360" t="n"/>
      <c r="AS31" s="360" t="n"/>
      <c r="AT31" s="360" t="n"/>
      <c r="AU31" s="360" t="n"/>
      <c r="AV31" s="360" t="n"/>
      <c r="AW31" s="360" t="n"/>
      <c r="AX31" s="360" t="n"/>
      <c r="AY31" s="360" t="n"/>
      <c r="AZ31" s="360" t="n"/>
      <c r="BA31" s="360" t="n"/>
      <c r="BB31" s="360" t="n"/>
      <c r="BC31" s="360" t="n"/>
      <c r="BD31" s="360" t="n"/>
      <c r="BE31" s="360" t="n"/>
      <c r="BF31" s="360" t="n"/>
      <c r="BG31" s="360" t="n"/>
      <c r="BH31" s="360" t="n"/>
      <c r="BI31" s="360" t="n"/>
      <c r="BJ31" s="360" t="n"/>
      <c r="BK31" s="360" t="n"/>
      <c r="BL31" s="360" t="n"/>
      <c r="BM31" s="360" t="n"/>
      <c r="BN31" s="360" t="n"/>
      <c r="BO31" s="360" t="n"/>
      <c r="BP31" s="360" t="n"/>
      <c r="BQ31" s="360" t="n"/>
      <c r="BR31" s="360" t="n"/>
      <c r="BS31" s="360" t="n"/>
      <c r="BT31" s="360" t="n"/>
      <c r="BU31" s="360" t="n"/>
      <c r="BV31" s="360" t="n"/>
      <c r="BW31" s="360" t="n"/>
      <c r="BX31" s="360" t="n"/>
      <c r="BY31" s="360" t="n"/>
      <c r="BZ31" s="360" t="n"/>
      <c r="CA31" s="360" t="n"/>
      <c r="CB31" s="360" t="n"/>
      <c r="CC31" s="360" t="n"/>
      <c r="CD31" s="360" t="n"/>
      <c r="CE31" s="360" t="n"/>
      <c r="CF31" s="360" t="n"/>
      <c r="CG31" s="360" t="n"/>
      <c r="CH31" s="360" t="n"/>
      <c r="CI31" s="360" t="n"/>
      <c r="CJ31" s="360" t="n"/>
      <c r="CK31" s="360" t="n"/>
      <c r="CL31" s="360" t="n"/>
      <c r="CM31" s="360" t="n"/>
      <c r="CN31" s="360" t="n"/>
      <c r="CO31" s="360" t="n"/>
      <c r="CP31" s="360" t="n"/>
      <c r="CQ31" s="360" t="n"/>
      <c r="CR31" s="360" t="n"/>
      <c r="CS31" s="360" t="n"/>
      <c r="CT31" s="360" t="n"/>
      <c r="CU31" s="360" t="n"/>
      <c r="CV31" s="360" t="n"/>
      <c r="CW31" s="360" t="n"/>
      <c r="CX31" s="360" t="n"/>
      <c r="CY31" s="360" t="n"/>
      <c r="CZ31" s="360" t="n"/>
      <c r="DA31" s="360" t="n"/>
      <c r="DB31" s="360" t="n"/>
      <c r="DC31" s="360" t="n"/>
      <c r="DD31" s="360" t="n"/>
      <c r="DE31" s="360" t="n"/>
      <c r="DF31" s="360" t="n"/>
      <c r="DG31" s="360" t="n"/>
      <c r="DH31" s="360" t="n"/>
      <c r="DI31" s="360" t="n"/>
      <c r="DJ31" s="360" t="n"/>
      <c r="DK31" s="360" t="n"/>
      <c r="DL31" s="360" t="n"/>
      <c r="DM31" s="360" t="n"/>
      <c r="DN31" s="360" t="n"/>
      <c r="DO31" s="360" t="n"/>
      <c r="DP31" s="360" t="n"/>
      <c r="DQ31" s="360" t="n"/>
      <c r="DR31" s="360" t="n"/>
      <c r="DS31" s="360" t="n"/>
      <c r="DT31" s="360" t="n"/>
      <c r="DU31" s="360" t="n"/>
      <c r="DV31" s="360" t="n"/>
      <c r="DW31" s="322" t="inlineStr">
        <is>
          <t>x</t>
        </is>
      </c>
    </row>
    <row r="32" hidden="1" outlineLevel="1">
      <c r="C32" s="369">
        <f>'Partnership Terms + Fees'!G7</f>
        <v/>
      </c>
      <c r="D32" s="370">
        <f>'Partnership Terms + Fees'!G8</f>
        <v/>
      </c>
      <c r="E32" s="371" t="n"/>
      <c r="F32" s="360" t="n"/>
      <c r="G32" s="360" t="n"/>
      <c r="H32" s="360" t="n"/>
      <c r="I32" s="360" t="n"/>
      <c r="J32" s="360" t="n"/>
      <c r="K32" s="360" t="n"/>
      <c r="L32" s="360" t="n"/>
      <c r="M32" s="360" t="n"/>
      <c r="N32" s="360" t="n"/>
      <c r="O32" s="360" t="n"/>
      <c r="P32" s="360" t="n"/>
      <c r="Q32" s="360" t="n"/>
      <c r="R32" s="360" t="n"/>
      <c r="S32" s="360" t="n"/>
      <c r="T32" s="360" t="n"/>
      <c r="U32" s="360" t="n"/>
      <c r="V32" s="360" t="n"/>
      <c r="W32" s="360" t="n"/>
      <c r="X32" s="360" t="n"/>
      <c r="Y32" s="360" t="n"/>
      <c r="Z32" s="360" t="n"/>
      <c r="AA32" s="360" t="n"/>
      <c r="AB32" s="360" t="n"/>
      <c r="AC32" s="360" t="n"/>
      <c r="AD32" s="360" t="n"/>
      <c r="AE32" s="360" t="n"/>
      <c r="AF32" s="360" t="n"/>
      <c r="AG32" s="360" t="n"/>
      <c r="AH32" s="360" t="n"/>
      <c r="AI32" s="360" t="n"/>
      <c r="AJ32" s="360" t="n"/>
      <c r="AK32" s="360" t="n"/>
      <c r="AL32" s="360" t="n"/>
      <c r="AM32" s="360" t="n"/>
      <c r="AN32" s="360" t="n"/>
      <c r="AO32" s="360" t="n"/>
      <c r="AP32" s="360" t="n"/>
      <c r="AQ32" s="360" t="n"/>
      <c r="AR32" s="360" t="n"/>
      <c r="AS32" s="360" t="n"/>
      <c r="AT32" s="360" t="n"/>
      <c r="AU32" s="360" t="n"/>
      <c r="AV32" s="360" t="n"/>
      <c r="AW32" s="360" t="n"/>
      <c r="AX32" s="360" t="n"/>
      <c r="AY32" s="360" t="n"/>
      <c r="AZ32" s="360" t="n"/>
      <c r="BA32" s="360" t="n"/>
      <c r="BB32" s="360" t="n"/>
      <c r="BC32" s="360" t="n"/>
      <c r="BD32" s="360" t="n"/>
      <c r="BE32" s="360" t="n"/>
      <c r="BF32" s="360" t="n"/>
      <c r="BG32" s="360" t="n"/>
      <c r="BH32" s="360" t="n"/>
      <c r="BI32" s="360" t="n"/>
      <c r="BJ32" s="360" t="n"/>
      <c r="BK32" s="360" t="n"/>
      <c r="BL32" s="360" t="n"/>
      <c r="BM32" s="360" t="n"/>
      <c r="BN32" s="360" t="n"/>
      <c r="BO32" s="360" t="n"/>
      <c r="BP32" s="360" t="n"/>
      <c r="BQ32" s="360" t="n"/>
      <c r="BR32" s="360" t="n"/>
      <c r="BS32" s="360" t="n"/>
      <c r="BT32" s="360" t="n"/>
      <c r="BU32" s="360" t="n"/>
      <c r="BV32" s="360" t="n"/>
      <c r="BW32" s="360" t="n"/>
      <c r="BX32" s="360" t="n"/>
      <c r="BY32" s="360" t="n"/>
      <c r="BZ32" s="360" t="n"/>
      <c r="CA32" s="360" t="n"/>
      <c r="CB32" s="360" t="n"/>
      <c r="CC32" s="360" t="n"/>
      <c r="CD32" s="360" t="n"/>
      <c r="CE32" s="360" t="n"/>
      <c r="CF32" s="360" t="n"/>
      <c r="CG32" s="360" t="n"/>
      <c r="CH32" s="360" t="n"/>
      <c r="CI32" s="360" t="n"/>
      <c r="CJ32" s="360" t="n"/>
      <c r="CK32" s="360" t="n"/>
      <c r="CL32" s="360" t="n"/>
      <c r="CM32" s="360" t="n"/>
      <c r="CN32" s="360" t="n"/>
      <c r="CO32" s="360" t="n"/>
      <c r="CP32" s="360" t="n"/>
      <c r="CQ32" s="360" t="n"/>
      <c r="CR32" s="360" t="n"/>
      <c r="CS32" s="360" t="n"/>
      <c r="CT32" s="360" t="n"/>
      <c r="CU32" s="360" t="n"/>
      <c r="CV32" s="360" t="n"/>
      <c r="CW32" s="360" t="n"/>
      <c r="CX32" s="360" t="n"/>
      <c r="CY32" s="360" t="n"/>
      <c r="CZ32" s="360" t="n"/>
      <c r="DA32" s="360" t="n"/>
      <c r="DB32" s="360" t="n"/>
      <c r="DC32" s="360" t="n"/>
      <c r="DD32" s="360" t="n"/>
      <c r="DE32" s="360" t="n"/>
      <c r="DF32" s="360" t="n"/>
      <c r="DG32" s="360" t="n"/>
      <c r="DH32" s="360" t="n"/>
      <c r="DI32" s="360" t="n"/>
      <c r="DJ32" s="360" t="n"/>
      <c r="DK32" s="360" t="n"/>
      <c r="DL32" s="360" t="n"/>
      <c r="DM32" s="360" t="n"/>
      <c r="DN32" s="360" t="n"/>
      <c r="DO32" s="360" t="n"/>
      <c r="DP32" s="360" t="n"/>
      <c r="DQ32" s="360" t="n"/>
      <c r="DR32" s="360" t="n"/>
      <c r="DS32" s="360" t="n"/>
      <c r="DT32" s="360" t="n"/>
      <c r="DU32" s="360" t="n"/>
      <c r="DV32" s="360" t="n"/>
      <c r="DW32" s="322" t="inlineStr">
        <is>
          <t>x</t>
        </is>
      </c>
    </row>
    <row r="33" hidden="1" outlineLevel="1" ht="17.25" customHeight="1" thickBot="1">
      <c r="C33" s="372" t="inlineStr">
        <is>
          <t>Total</t>
        </is>
      </c>
      <c r="D33" s="373">
        <f>SUM(D31:D32)</f>
        <v/>
      </c>
      <c r="E33" s="368" t="n"/>
      <c r="F33" s="360" t="n"/>
      <c r="G33" s="360" t="n"/>
      <c r="H33" s="360" t="n"/>
      <c r="I33" s="360" t="n"/>
      <c r="J33" s="360" t="n"/>
      <c r="K33" s="360" t="n"/>
      <c r="L33" s="360" t="n"/>
      <c r="M33" s="360" t="n"/>
      <c r="N33" s="360" t="n"/>
      <c r="O33" s="360" t="n"/>
      <c r="P33" s="360" t="n"/>
      <c r="Q33" s="360" t="n"/>
      <c r="R33" s="360" t="n"/>
      <c r="S33" s="360" t="n"/>
      <c r="T33" s="360" t="n"/>
      <c r="U33" s="360" t="n"/>
      <c r="V33" s="360" t="n"/>
      <c r="W33" s="360" t="n"/>
      <c r="X33" s="360" t="n"/>
      <c r="Y33" s="360" t="n"/>
      <c r="Z33" s="360" t="n"/>
      <c r="AA33" s="360" t="n"/>
      <c r="AB33" s="360" t="n"/>
      <c r="AC33" s="360" t="n"/>
      <c r="AD33" s="360" t="n"/>
      <c r="AE33" s="360" t="n"/>
      <c r="AF33" s="360" t="n"/>
      <c r="AG33" s="360" t="n"/>
      <c r="AH33" s="360" t="n"/>
      <c r="AI33" s="360" t="n"/>
      <c r="AJ33" s="360" t="n"/>
      <c r="AK33" s="360" t="n"/>
      <c r="AL33" s="360" t="n"/>
      <c r="AM33" s="360" t="n"/>
      <c r="AN33" s="360" t="n"/>
      <c r="AO33" s="360" t="n"/>
      <c r="AP33" s="360" t="n"/>
      <c r="AQ33" s="360" t="n"/>
      <c r="AR33" s="360" t="n"/>
      <c r="AS33" s="360" t="n"/>
      <c r="AT33" s="360" t="n"/>
      <c r="AU33" s="360" t="n"/>
      <c r="AV33" s="360" t="n"/>
      <c r="AW33" s="360" t="n"/>
      <c r="AX33" s="360" t="n"/>
      <c r="AY33" s="360" t="n"/>
      <c r="AZ33" s="360" t="n"/>
      <c r="BA33" s="360" t="n"/>
      <c r="BB33" s="360" t="n"/>
      <c r="BC33" s="360" t="n"/>
      <c r="BD33" s="360" t="n"/>
      <c r="BE33" s="360" t="n"/>
      <c r="BF33" s="360" t="n"/>
      <c r="BG33" s="360" t="n"/>
      <c r="BH33" s="360" t="n"/>
      <c r="BI33" s="360" t="n"/>
      <c r="BJ33" s="360" t="n"/>
      <c r="BK33" s="360" t="n"/>
      <c r="BL33" s="360" t="n"/>
      <c r="BM33" s="360" t="n"/>
      <c r="BN33" s="360" t="n"/>
      <c r="BO33" s="360" t="n"/>
      <c r="BP33" s="360" t="n"/>
      <c r="BQ33" s="360" t="n"/>
      <c r="BR33" s="360" t="n"/>
      <c r="BS33" s="360" t="n"/>
      <c r="BT33" s="360" t="n"/>
      <c r="BU33" s="360" t="n"/>
      <c r="BV33" s="360" t="n"/>
      <c r="BW33" s="360" t="n"/>
      <c r="BX33" s="360" t="n"/>
      <c r="BY33" s="360" t="n"/>
      <c r="BZ33" s="360" t="n"/>
      <c r="CA33" s="360" t="n"/>
      <c r="CB33" s="360" t="n"/>
      <c r="CC33" s="360" t="n"/>
      <c r="CD33" s="360" t="n"/>
      <c r="CE33" s="360" t="n"/>
      <c r="CF33" s="360" t="n"/>
      <c r="CG33" s="360" t="n"/>
      <c r="CH33" s="360" t="n"/>
      <c r="CI33" s="360" t="n"/>
      <c r="CJ33" s="360" t="n"/>
      <c r="CK33" s="360" t="n"/>
      <c r="CL33" s="360" t="n"/>
      <c r="CM33" s="360" t="n"/>
      <c r="CN33" s="360" t="n"/>
      <c r="CO33" s="360" t="n"/>
      <c r="CP33" s="360" t="n"/>
      <c r="CQ33" s="360" t="n"/>
      <c r="CR33" s="360" t="n"/>
      <c r="CS33" s="360" t="n"/>
      <c r="CT33" s="360" t="n"/>
      <c r="CU33" s="360" t="n"/>
      <c r="CV33" s="360" t="n"/>
      <c r="CW33" s="360" t="n"/>
      <c r="CX33" s="360" t="n"/>
      <c r="CY33" s="360" t="n"/>
      <c r="CZ33" s="360" t="n"/>
      <c r="DA33" s="360" t="n"/>
      <c r="DB33" s="360" t="n"/>
      <c r="DC33" s="360" t="n"/>
      <c r="DD33" s="360" t="n"/>
      <c r="DE33" s="360" t="n"/>
      <c r="DF33" s="360" t="n"/>
      <c r="DG33" s="360" t="n"/>
      <c r="DH33" s="360" t="n"/>
      <c r="DI33" s="360" t="n"/>
      <c r="DJ33" s="360" t="n"/>
      <c r="DK33" s="360" t="n"/>
      <c r="DL33" s="360" t="n"/>
      <c r="DM33" s="360" t="n"/>
      <c r="DN33" s="360" t="n"/>
      <c r="DO33" s="360" t="n"/>
      <c r="DP33" s="360" t="n"/>
      <c r="DQ33" s="360" t="n"/>
      <c r="DR33" s="360" t="n"/>
      <c r="DS33" s="360" t="n"/>
      <c r="DT33" s="360" t="n"/>
      <c r="DU33" s="360" t="n"/>
      <c r="DV33" s="360" t="n"/>
      <c r="DW33" s="322" t="inlineStr">
        <is>
          <t>x</t>
        </is>
      </c>
    </row>
    <row r="34" hidden="1" outlineLevel="1" ht="17.25" customHeight="1" thickTop="1">
      <c r="C34" s="360" t="n"/>
      <c r="D34" s="360" t="n"/>
      <c r="E34" s="360" t="n"/>
      <c r="F34" s="360" t="n"/>
      <c r="G34" s="360" t="n"/>
      <c r="H34" s="360" t="n"/>
      <c r="I34" s="374" t="n"/>
      <c r="J34" s="374" t="n"/>
      <c r="K34" s="360" t="n"/>
      <c r="L34" s="365" t="n"/>
      <c r="M34" s="360" t="n"/>
      <c r="N34" s="360" t="n"/>
      <c r="O34" s="360" t="n"/>
      <c r="P34" s="360" t="n"/>
      <c r="Q34" s="360" t="n"/>
      <c r="R34" s="360" t="n"/>
      <c r="S34" s="360" t="n"/>
      <c r="T34" s="360" t="n"/>
      <c r="U34" s="360" t="n"/>
      <c r="V34" s="360" t="n"/>
      <c r="W34" s="360" t="n"/>
      <c r="X34" s="360" t="n"/>
      <c r="Y34" s="360" t="n"/>
      <c r="Z34" s="360" t="n"/>
      <c r="AA34" s="360" t="n"/>
      <c r="AB34" s="360" t="n"/>
      <c r="AC34" s="360" t="n"/>
      <c r="AD34" s="360" t="n"/>
      <c r="AE34" s="360" t="n"/>
      <c r="AF34" s="360" t="n"/>
      <c r="AG34" s="360" t="n"/>
      <c r="AH34" s="360" t="n"/>
      <c r="AI34" s="360" t="n"/>
      <c r="AJ34" s="360" t="n"/>
      <c r="AK34" s="360" t="n"/>
      <c r="AL34" s="360" t="n"/>
      <c r="AM34" s="360" t="n"/>
      <c r="AN34" s="360" t="n"/>
      <c r="AO34" s="360" t="n"/>
      <c r="AP34" s="360" t="n"/>
      <c r="AQ34" s="360" t="n"/>
      <c r="AR34" s="360" t="n"/>
      <c r="AS34" s="360" t="n"/>
      <c r="AT34" s="360" t="n"/>
      <c r="AU34" s="360" t="n"/>
      <c r="AV34" s="360" t="n"/>
      <c r="AW34" s="360" t="n"/>
      <c r="AX34" s="360" t="n"/>
      <c r="AY34" s="360" t="n"/>
      <c r="AZ34" s="360" t="n"/>
      <c r="BA34" s="360" t="n"/>
      <c r="BB34" s="360" t="n"/>
      <c r="BC34" s="360" t="n"/>
      <c r="BD34" s="360" t="n"/>
      <c r="BE34" s="360" t="n"/>
      <c r="BF34" s="360" t="n"/>
      <c r="BG34" s="360" t="n"/>
      <c r="BH34" s="360" t="n"/>
      <c r="BI34" s="360" t="n"/>
      <c r="BJ34" s="360" t="n"/>
      <c r="BK34" s="360" t="n"/>
      <c r="BL34" s="360" t="n"/>
      <c r="BM34" s="360" t="n"/>
      <c r="BN34" s="360" t="n"/>
      <c r="BO34" s="360" t="n"/>
      <c r="BP34" s="360" t="n"/>
      <c r="BQ34" s="360" t="n"/>
      <c r="BR34" s="360" t="n"/>
      <c r="BS34" s="360" t="n"/>
      <c r="BT34" s="360" t="n"/>
      <c r="BU34" s="360" t="n"/>
      <c r="BV34" s="360" t="n"/>
      <c r="BW34" s="360" t="n"/>
      <c r="BX34" s="360" t="n"/>
      <c r="BY34" s="360" t="n"/>
      <c r="BZ34" s="360" t="n"/>
      <c r="CA34" s="360" t="n"/>
      <c r="CB34" s="360" t="n"/>
      <c r="CC34" s="360" t="n"/>
      <c r="CD34" s="360" t="n"/>
      <c r="CE34" s="360" t="n"/>
      <c r="CF34" s="360" t="n"/>
      <c r="CG34" s="360" t="n"/>
      <c r="CH34" s="360" t="n"/>
      <c r="CI34" s="360" t="n"/>
      <c r="CJ34" s="360" t="n"/>
      <c r="CK34" s="360" t="n"/>
      <c r="CL34" s="360" t="n"/>
      <c r="CM34" s="360" t="n"/>
      <c r="CN34" s="360" t="n"/>
      <c r="CO34" s="360" t="n"/>
      <c r="CP34" s="360" t="n"/>
      <c r="CQ34" s="360" t="n"/>
      <c r="CR34" s="360" t="n"/>
      <c r="CS34" s="360" t="n"/>
      <c r="CT34" s="360" t="n"/>
      <c r="CU34" s="360" t="n"/>
      <c r="CV34" s="360" t="n"/>
      <c r="CW34" s="360" t="n"/>
      <c r="CX34" s="360" t="n"/>
      <c r="CY34" s="360" t="n"/>
      <c r="CZ34" s="360" t="n"/>
      <c r="DA34" s="360" t="n"/>
      <c r="DB34" s="360" t="n"/>
      <c r="DC34" s="360" t="n"/>
      <c r="DD34" s="360" t="n"/>
      <c r="DE34" s="360" t="n"/>
      <c r="DF34" s="360" t="n"/>
      <c r="DG34" s="360" t="n"/>
      <c r="DH34" s="360" t="n"/>
      <c r="DI34" s="360" t="n"/>
      <c r="DJ34" s="360" t="n"/>
      <c r="DK34" s="360" t="n"/>
      <c r="DL34" s="360" t="n"/>
      <c r="DM34" s="360" t="n"/>
      <c r="DN34" s="360" t="n"/>
      <c r="DO34" s="360" t="n"/>
      <c r="DP34" s="360" t="n"/>
      <c r="DQ34" s="360" t="n"/>
      <c r="DR34" s="360" t="n"/>
      <c r="DS34" s="360" t="n"/>
      <c r="DT34" s="360" t="n"/>
      <c r="DU34" s="360" t="n"/>
      <c r="DV34" s="360" t="n"/>
      <c r="DW34" s="322" t="inlineStr">
        <is>
          <t>x</t>
        </is>
      </c>
    </row>
    <row r="35" hidden="1" outlineLevel="1">
      <c r="C35" s="375" t="inlineStr">
        <is>
          <t>Waterfall Summary</t>
        </is>
      </c>
      <c r="D35" s="375" t="n"/>
      <c r="E35" s="375" t="n"/>
      <c r="F35" s="375" t="n"/>
      <c r="G35" s="375" t="n"/>
      <c r="H35" s="375" t="n"/>
      <c r="I35" s="375" t="n"/>
      <c r="J35" s="374" t="n"/>
      <c r="K35" s="360" t="n"/>
      <c r="L35" s="365" t="n"/>
      <c r="M35" s="360" t="n"/>
      <c r="N35" s="360" t="n"/>
      <c r="O35" s="360" t="n"/>
      <c r="P35" s="360" t="n"/>
      <c r="Q35" s="360" t="n"/>
      <c r="R35" s="360" t="n"/>
      <c r="S35" s="360" t="n"/>
      <c r="T35" s="360" t="n"/>
      <c r="U35" s="360" t="n"/>
      <c r="V35" s="360" t="n"/>
      <c r="W35" s="360" t="n"/>
      <c r="X35" s="360" t="n"/>
      <c r="Y35" s="360" t="n"/>
      <c r="Z35" s="360" t="n"/>
      <c r="AA35" s="360" t="n"/>
      <c r="AB35" s="360" t="n"/>
      <c r="AC35" s="360" t="n"/>
      <c r="AD35" s="360" t="n"/>
      <c r="AE35" s="360" t="n"/>
      <c r="AF35" s="360" t="n"/>
      <c r="AG35" s="360" t="n"/>
      <c r="AH35" s="360" t="n"/>
      <c r="AI35" s="360" t="n"/>
      <c r="AJ35" s="360" t="n"/>
      <c r="AK35" s="360" t="n"/>
      <c r="AL35" s="360" t="n"/>
      <c r="AM35" s="360" t="n"/>
      <c r="AN35" s="360" t="n"/>
      <c r="AO35" s="360" t="n"/>
      <c r="AP35" s="360" t="n"/>
      <c r="AQ35" s="360" t="n"/>
      <c r="AR35" s="360" t="n"/>
      <c r="AS35" s="360" t="n"/>
      <c r="AT35" s="360" t="n"/>
      <c r="AU35" s="360" t="n"/>
      <c r="AV35" s="360" t="n"/>
      <c r="AW35" s="360" t="n"/>
      <c r="AX35" s="360" t="n"/>
      <c r="AY35" s="360" t="n"/>
      <c r="AZ35" s="360" t="n"/>
      <c r="BA35" s="360" t="n"/>
      <c r="BB35" s="360" t="n"/>
      <c r="BC35" s="360" t="n"/>
      <c r="BD35" s="360" t="n"/>
      <c r="BE35" s="360" t="n"/>
      <c r="BF35" s="360" t="n"/>
      <c r="BG35" s="360" t="n"/>
      <c r="BH35" s="360" t="n"/>
      <c r="BI35" s="360" t="n"/>
      <c r="BJ35" s="360" t="n"/>
      <c r="BK35" s="360" t="n"/>
      <c r="BL35" s="360" t="n"/>
      <c r="BM35" s="360" t="n"/>
      <c r="BN35" s="360" t="n"/>
      <c r="BO35" s="360" t="n"/>
      <c r="BP35" s="360" t="n"/>
      <c r="BQ35" s="360" t="n"/>
      <c r="BR35" s="360" t="n"/>
      <c r="BS35" s="360" t="n"/>
      <c r="BT35" s="360" t="n"/>
      <c r="BU35" s="360" t="n"/>
      <c r="BV35" s="360" t="n"/>
      <c r="BW35" s="360" t="n"/>
      <c r="BX35" s="360" t="n"/>
      <c r="BY35" s="360" t="n"/>
      <c r="BZ35" s="360" t="n"/>
      <c r="CA35" s="360" t="n"/>
      <c r="CB35" s="360" t="n"/>
      <c r="CC35" s="360" t="n"/>
      <c r="CD35" s="360" t="n"/>
      <c r="CE35" s="360" t="n"/>
      <c r="CF35" s="360" t="n"/>
      <c r="CG35" s="360" t="n"/>
      <c r="CH35" s="360" t="n"/>
      <c r="CI35" s="360" t="n"/>
      <c r="CJ35" s="360" t="n"/>
      <c r="CK35" s="360" t="n"/>
      <c r="CL35" s="360" t="n"/>
      <c r="CM35" s="360" t="n"/>
      <c r="CN35" s="360" t="n"/>
      <c r="CO35" s="360" t="n"/>
      <c r="CP35" s="360" t="n"/>
      <c r="CQ35" s="360" t="n"/>
      <c r="CR35" s="360" t="n"/>
      <c r="CS35" s="360" t="n"/>
      <c r="CT35" s="360" t="n"/>
      <c r="CU35" s="360" t="n"/>
      <c r="CV35" s="360" t="n"/>
      <c r="CW35" s="360" t="n"/>
      <c r="CX35" s="360" t="n"/>
      <c r="CY35" s="360" t="n"/>
      <c r="CZ35" s="360" t="n"/>
      <c r="DA35" s="360" t="n"/>
      <c r="DB35" s="360" t="n"/>
      <c r="DC35" s="360" t="n"/>
      <c r="DD35" s="360" t="n"/>
      <c r="DE35" s="360" t="n"/>
      <c r="DF35" s="360" t="n"/>
      <c r="DG35" s="360" t="n"/>
      <c r="DH35" s="360" t="n"/>
      <c r="DI35" s="360" t="n"/>
      <c r="DJ35" s="360" t="n"/>
      <c r="DK35" s="360" t="n"/>
      <c r="DL35" s="360" t="n"/>
      <c r="DM35" s="360" t="n"/>
      <c r="DN35" s="360" t="n"/>
      <c r="DO35" s="360" t="n"/>
      <c r="DP35" s="360" t="n"/>
      <c r="DQ35" s="360" t="n"/>
      <c r="DR35" s="360" t="n"/>
      <c r="DS35" s="360" t="n"/>
      <c r="DT35" s="360" t="n"/>
      <c r="DU35" s="360" t="n"/>
      <c r="DV35" s="360" t="n"/>
    </row>
    <row r="36" hidden="1" outlineLevel="1">
      <c r="C36" s="376" t="n"/>
      <c r="D36" s="377" t="inlineStr">
        <is>
          <t>Hurdle</t>
        </is>
      </c>
      <c r="E36" s="378" t="n"/>
      <c r="F36" s="379" t="n"/>
      <c r="G36" s="380" t="n"/>
      <c r="H36" s="377" t="inlineStr">
        <is>
          <t>CF Distribution</t>
        </is>
      </c>
      <c r="I36" s="379" t="n"/>
      <c r="K36" s="381" t="inlineStr">
        <is>
          <t>Compound Interval</t>
        </is>
      </c>
      <c r="L36" s="360" t="n"/>
      <c r="M36" s="360" t="n"/>
      <c r="N36" s="360" t="n"/>
      <c r="O36" s="360" t="n"/>
      <c r="P36" s="360" t="n"/>
      <c r="Q36" s="360" t="n"/>
      <c r="R36" s="360" t="n"/>
      <c r="S36" s="360" t="n"/>
      <c r="T36" s="360" t="n"/>
      <c r="U36" s="360" t="n"/>
      <c r="V36" s="360" t="n"/>
      <c r="W36" s="360" t="n"/>
      <c r="X36" s="360" t="n"/>
      <c r="Y36" s="360" t="n"/>
      <c r="Z36" s="360" t="n"/>
      <c r="AA36" s="360" t="n"/>
      <c r="AB36" s="360" t="n"/>
      <c r="AC36" s="360" t="n"/>
      <c r="AD36" s="360" t="n"/>
      <c r="AE36" s="360" t="n"/>
      <c r="AF36" s="360" t="n"/>
      <c r="AG36" s="360" t="n"/>
      <c r="AH36" s="360" t="n"/>
      <c r="AI36" s="360" t="n"/>
      <c r="AJ36" s="360" t="n"/>
      <c r="AK36" s="360" t="n"/>
      <c r="AL36" s="360" t="n"/>
      <c r="AM36" s="360" t="n"/>
      <c r="AN36" s="360" t="n"/>
      <c r="AO36" s="360" t="n"/>
      <c r="AP36" s="360" t="n"/>
      <c r="AQ36" s="360" t="n"/>
      <c r="AR36" s="360" t="n"/>
      <c r="AS36" s="360" t="n"/>
      <c r="AT36" s="360" t="n"/>
      <c r="AU36" s="360" t="n"/>
      <c r="AV36" s="360" t="n"/>
      <c r="AW36" s="360" t="n"/>
      <c r="AX36" s="360" t="n"/>
      <c r="AY36" s="360" t="n"/>
      <c r="AZ36" s="360" t="n"/>
      <c r="BA36" s="360" t="n"/>
      <c r="BB36" s="360" t="n"/>
      <c r="BC36" s="360" t="n"/>
      <c r="BD36" s="360" t="n"/>
      <c r="BE36" s="360" t="n"/>
      <c r="BF36" s="360" t="n"/>
      <c r="BG36" s="360" t="n"/>
      <c r="BH36" s="360" t="n"/>
      <c r="BI36" s="360" t="n"/>
      <c r="BJ36" s="360" t="n"/>
      <c r="BK36" s="360" t="n"/>
      <c r="BL36" s="360" t="n"/>
      <c r="BM36" s="360" t="n"/>
      <c r="BN36" s="360" t="n"/>
      <c r="BO36" s="360" t="n"/>
      <c r="BP36" s="360" t="n"/>
      <c r="BQ36" s="360" t="n"/>
      <c r="BR36" s="360" t="n"/>
      <c r="BS36" s="360" t="n"/>
      <c r="BT36" s="360" t="n"/>
      <c r="BU36" s="360" t="n"/>
      <c r="BV36" s="360" t="n"/>
      <c r="BW36" s="360" t="n"/>
      <c r="BX36" s="360" t="n"/>
      <c r="BY36" s="360" t="n"/>
      <c r="BZ36" s="360" t="n"/>
      <c r="CA36" s="360" t="n"/>
      <c r="CB36" s="360" t="n"/>
      <c r="CC36" s="360" t="n"/>
      <c r="CD36" s="360" t="n"/>
      <c r="CE36" s="360" t="n"/>
      <c r="CF36" s="360" t="n"/>
      <c r="CG36" s="360" t="n"/>
      <c r="CH36" s="360" t="n"/>
      <c r="CI36" s="360" t="n"/>
      <c r="CJ36" s="360" t="n"/>
      <c r="CK36" s="360" t="n"/>
      <c r="CL36" s="360" t="n"/>
      <c r="CM36" s="360" t="n"/>
      <c r="CN36" s="360" t="n"/>
      <c r="CO36" s="360" t="n"/>
      <c r="CP36" s="360" t="n"/>
      <c r="CQ36" s="360" t="n"/>
      <c r="CR36" s="360" t="n"/>
      <c r="CS36" s="360" t="n"/>
      <c r="CT36" s="360" t="n"/>
      <c r="CU36" s="360" t="n"/>
      <c r="CV36" s="360" t="n"/>
      <c r="CW36" s="360" t="n"/>
      <c r="CX36" s="360" t="n"/>
      <c r="CY36" s="360" t="n"/>
      <c r="CZ36" s="360" t="n"/>
      <c r="DA36" s="360" t="n"/>
      <c r="DB36" s="360" t="n"/>
      <c r="DC36" s="360" t="n"/>
      <c r="DD36" s="360" t="n"/>
      <c r="DE36" s="360" t="n"/>
      <c r="DF36" s="360" t="n"/>
      <c r="DG36" s="360" t="n"/>
      <c r="DH36" s="360" t="n"/>
      <c r="DI36" s="360" t="n"/>
      <c r="DJ36" s="360" t="n"/>
      <c r="DK36" s="360" t="n"/>
      <c r="DL36" s="360" t="n"/>
      <c r="DM36" s="360" t="n"/>
      <c r="DN36" s="360" t="n"/>
      <c r="DO36" s="360" t="n"/>
      <c r="DP36" s="360" t="n"/>
      <c r="DQ36" s="360" t="n"/>
      <c r="DR36" s="360" t="n"/>
      <c r="DS36" s="360" t="n"/>
      <c r="DT36" s="360" t="n"/>
      <c r="DU36" s="360" t="n"/>
      <c r="DV36" s="360" t="n"/>
      <c r="DW36" s="322" t="inlineStr">
        <is>
          <t>x</t>
        </is>
      </c>
    </row>
    <row r="37" hidden="1" outlineLevel="1">
      <c r="C37" s="382" t="inlineStr">
        <is>
          <t>Tier</t>
        </is>
      </c>
      <c r="D37" s="383" t="inlineStr">
        <is>
          <t>Pref. Return</t>
        </is>
      </c>
      <c r="E37" s="383" t="n"/>
      <c r="F37" s="383" t="inlineStr">
        <is>
          <t>MOIC</t>
        </is>
      </c>
      <c r="G37" s="384" t="inlineStr">
        <is>
          <t>Promote</t>
        </is>
      </c>
      <c r="H37" s="385">
        <f>'Partnership Terms + Fees'!F7</f>
        <v/>
      </c>
      <c r="I37" s="386">
        <f>'Partnership Terms + Fees'!G7</f>
        <v/>
      </c>
      <c r="K37" s="387">
        <f>'Partnership Terms + Fees'!B7</f>
        <v/>
      </c>
      <c r="L37" s="360" t="n"/>
      <c r="M37" s="360" t="n"/>
      <c r="N37" s="360" t="n"/>
      <c r="O37" s="360" t="n"/>
      <c r="P37" s="360" t="n"/>
      <c r="Q37" s="360" t="n"/>
      <c r="R37" s="360" t="n"/>
      <c r="S37" s="360" t="n"/>
      <c r="T37" s="360" t="n"/>
      <c r="U37" s="360" t="n"/>
      <c r="V37" s="360" t="n"/>
      <c r="W37" s="360" t="n"/>
      <c r="X37" s="360" t="n"/>
      <c r="Y37" s="360" t="n"/>
      <c r="Z37" s="360" t="n"/>
      <c r="AA37" s="360" t="n"/>
      <c r="AB37" s="360" t="n"/>
      <c r="AC37" s="360" t="n"/>
      <c r="AD37" s="360" t="n"/>
      <c r="AE37" s="360" t="n"/>
      <c r="AF37" s="360" t="n"/>
      <c r="AG37" s="360" t="n"/>
      <c r="AH37" s="360" t="n"/>
      <c r="AI37" s="360" t="n"/>
      <c r="AJ37" s="360" t="n"/>
      <c r="AK37" s="360" t="n"/>
      <c r="AL37" s="360" t="n"/>
      <c r="AM37" s="360" t="n"/>
      <c r="AN37" s="360" t="n"/>
      <c r="AO37" s="360" t="n"/>
      <c r="AP37" s="360" t="n"/>
      <c r="AQ37" s="360" t="n"/>
      <c r="AR37" s="360" t="n"/>
      <c r="AS37" s="360" t="n"/>
      <c r="AT37" s="360" t="n"/>
      <c r="AU37" s="360" t="n"/>
      <c r="AV37" s="360" t="n"/>
      <c r="AW37" s="360" t="n"/>
      <c r="AX37" s="360" t="n"/>
      <c r="AY37" s="360" t="n"/>
      <c r="AZ37" s="360" t="n"/>
      <c r="BA37" s="360" t="n"/>
      <c r="BB37" s="360" t="n"/>
      <c r="BC37" s="360" t="n"/>
      <c r="BD37" s="360" t="n"/>
      <c r="BE37" s="360" t="n"/>
      <c r="BF37" s="360" t="n"/>
      <c r="BG37" s="360" t="n"/>
      <c r="BH37" s="360" t="n"/>
      <c r="BI37" s="360" t="n"/>
      <c r="BJ37" s="360" t="n"/>
      <c r="BK37" s="360" t="n"/>
      <c r="BL37" s="360" t="n"/>
      <c r="BM37" s="360" t="n"/>
      <c r="BN37" s="360" t="n"/>
      <c r="BO37" s="360" t="n"/>
      <c r="BP37" s="360" t="n"/>
      <c r="BQ37" s="360" t="n"/>
      <c r="BR37" s="360" t="n"/>
      <c r="BS37" s="360" t="n"/>
      <c r="BT37" s="360" t="n"/>
      <c r="BU37" s="360" t="n"/>
      <c r="BV37" s="360" t="n"/>
      <c r="BW37" s="360" t="n"/>
      <c r="BX37" s="360" t="n"/>
      <c r="BY37" s="360" t="n"/>
      <c r="BZ37" s="360" t="n"/>
      <c r="CA37" s="360" t="n"/>
      <c r="CB37" s="360" t="n"/>
      <c r="CC37" s="360" t="n"/>
      <c r="CD37" s="360" t="n"/>
      <c r="CE37" s="360" t="n"/>
      <c r="CF37" s="360" t="n"/>
      <c r="CG37" s="360" t="n"/>
      <c r="CH37" s="360" t="n"/>
      <c r="CI37" s="360" t="n"/>
      <c r="CJ37" s="360" t="n"/>
      <c r="CK37" s="360" t="n"/>
      <c r="CL37" s="360" t="n"/>
      <c r="CM37" s="360" t="n"/>
      <c r="CN37" s="360" t="n"/>
      <c r="CO37" s="360" t="n"/>
      <c r="CP37" s="360" t="n"/>
      <c r="CQ37" s="360" t="n"/>
      <c r="CR37" s="360" t="n"/>
      <c r="CS37" s="360" t="n"/>
      <c r="CT37" s="360" t="n"/>
      <c r="CU37" s="360" t="n"/>
      <c r="CV37" s="360" t="n"/>
      <c r="CW37" s="360" t="n"/>
      <c r="CX37" s="360" t="n"/>
      <c r="CY37" s="360" t="n"/>
      <c r="CZ37" s="360" t="n"/>
      <c r="DA37" s="360" t="n"/>
      <c r="DB37" s="360" t="n"/>
      <c r="DC37" s="360" t="n"/>
      <c r="DD37" s="360" t="n"/>
      <c r="DE37" s="360" t="n"/>
      <c r="DF37" s="360" t="n"/>
      <c r="DG37" s="360" t="n"/>
      <c r="DH37" s="360" t="n"/>
      <c r="DI37" s="360" t="n"/>
      <c r="DJ37" s="360" t="n"/>
      <c r="DK37" s="360" t="n"/>
      <c r="DL37" s="360" t="n"/>
      <c r="DM37" s="360" t="n"/>
      <c r="DN37" s="360" t="n"/>
      <c r="DO37" s="360" t="n"/>
      <c r="DP37" s="360" t="n"/>
      <c r="DQ37" s="360" t="n"/>
      <c r="DR37" s="360" t="n"/>
      <c r="DS37" s="360" t="n"/>
      <c r="DT37" s="360" t="n"/>
      <c r="DU37" s="360" t="n"/>
      <c r="DV37" s="360" t="n"/>
      <c r="DW37" s="322" t="inlineStr">
        <is>
          <t>x</t>
        </is>
      </c>
    </row>
    <row r="38" hidden="1" outlineLevel="1">
      <c r="C38" s="374" t="inlineStr">
        <is>
          <t>Tier I</t>
        </is>
      </c>
      <c r="D38" s="388">
        <f>'Partnership Terms + Fees'!C8</f>
        <v/>
      </c>
      <c r="E38" s="388" t="n"/>
      <c r="F38" s="389">
        <f>'Partnership Terms + Fees'!D8</f>
        <v/>
      </c>
      <c r="G38" s="390" t="inlineStr">
        <is>
          <t>Pari-Passu</t>
        </is>
      </c>
      <c r="H38" s="391">
        <f>'Partnership Terms + Fees'!F8</f>
        <v/>
      </c>
      <c r="I38" s="370">
        <f>'Partnership Terms + Fees'!G8</f>
        <v/>
      </c>
      <c r="K38" s="392">
        <f>IF(K37="Monthly",12,4)</f>
        <v/>
      </c>
      <c r="L38" s="360" t="n"/>
      <c r="M38" s="360" t="n"/>
      <c r="N38" s="360" t="n"/>
      <c r="O38" s="360" t="n"/>
      <c r="P38" s="360" t="n"/>
      <c r="Q38" s="360" t="n"/>
      <c r="R38" s="360" t="n"/>
      <c r="S38" s="360" t="n"/>
      <c r="T38" s="360" t="n"/>
      <c r="U38" s="360" t="n"/>
      <c r="V38" s="360" t="n"/>
      <c r="W38" s="360" t="n"/>
      <c r="X38" s="360" t="n"/>
      <c r="Y38" s="360" t="n"/>
      <c r="Z38" s="360" t="n"/>
      <c r="AA38" s="360" t="n"/>
      <c r="AB38" s="360" t="n"/>
      <c r="AC38" s="360" t="n"/>
      <c r="AD38" s="360" t="n"/>
      <c r="AE38" s="360" t="n"/>
      <c r="AF38" s="360" t="n"/>
      <c r="AG38" s="360" t="n"/>
      <c r="AH38" s="360" t="n"/>
      <c r="AI38" s="360" t="n"/>
      <c r="AJ38" s="360" t="n"/>
      <c r="AK38" s="360" t="n"/>
      <c r="AL38" s="360" t="n"/>
      <c r="AM38" s="360" t="n"/>
      <c r="AN38" s="360" t="n"/>
      <c r="AO38" s="360" t="n"/>
      <c r="AP38" s="360" t="n"/>
      <c r="AQ38" s="360" t="n"/>
      <c r="AR38" s="360" t="n"/>
      <c r="AS38" s="360" t="n"/>
      <c r="AT38" s="360" t="n"/>
      <c r="AU38" s="360" t="n"/>
      <c r="AV38" s="360" t="n"/>
      <c r="AW38" s="360" t="n"/>
      <c r="AX38" s="360" t="n"/>
      <c r="AY38" s="360" t="n"/>
      <c r="AZ38" s="360" t="n"/>
      <c r="BA38" s="360" t="n"/>
      <c r="BB38" s="360" t="n"/>
      <c r="BC38" s="360" t="n"/>
      <c r="BD38" s="360" t="n"/>
      <c r="BE38" s="360" t="n"/>
      <c r="BF38" s="360" t="n"/>
      <c r="BG38" s="360" t="n"/>
      <c r="BH38" s="360" t="n"/>
      <c r="BI38" s="360" t="n"/>
      <c r="BJ38" s="360" t="n"/>
      <c r="BK38" s="360" t="n"/>
      <c r="BL38" s="360" t="n"/>
      <c r="BM38" s="360" t="n"/>
      <c r="BN38" s="360" t="n"/>
      <c r="BO38" s="360" t="n"/>
      <c r="BP38" s="360" t="n"/>
      <c r="BQ38" s="360" t="n"/>
      <c r="BR38" s="360" t="n"/>
      <c r="BS38" s="360" t="n"/>
      <c r="BT38" s="360" t="n"/>
      <c r="BU38" s="360" t="n"/>
      <c r="BV38" s="360" t="n"/>
      <c r="BW38" s="360" t="n"/>
      <c r="BX38" s="360" t="n"/>
      <c r="BY38" s="360" t="n"/>
      <c r="BZ38" s="360" t="n"/>
      <c r="CA38" s="360" t="n"/>
      <c r="CB38" s="360" t="n"/>
      <c r="CC38" s="360" t="n"/>
      <c r="CD38" s="360" t="n"/>
      <c r="CE38" s="360" t="n"/>
      <c r="CF38" s="360" t="n"/>
      <c r="CG38" s="360" t="n"/>
      <c r="CH38" s="360" t="n"/>
      <c r="CI38" s="360" t="n"/>
      <c r="CJ38" s="360" t="n"/>
      <c r="CK38" s="360" t="n"/>
      <c r="CL38" s="360" t="n"/>
      <c r="CM38" s="360" t="n"/>
      <c r="CN38" s="360" t="n"/>
      <c r="CO38" s="360" t="n"/>
      <c r="CP38" s="360" t="n"/>
      <c r="CQ38" s="360" t="n"/>
      <c r="CR38" s="360" t="n"/>
      <c r="CS38" s="360" t="n"/>
      <c r="CT38" s="360" t="n"/>
      <c r="CU38" s="360" t="n"/>
      <c r="CV38" s="360" t="n"/>
      <c r="CW38" s="360" t="n"/>
      <c r="CX38" s="360" t="n"/>
      <c r="CY38" s="360" t="n"/>
      <c r="CZ38" s="360" t="n"/>
      <c r="DA38" s="360" t="n"/>
      <c r="DB38" s="360" t="n"/>
      <c r="DC38" s="360" t="n"/>
      <c r="DD38" s="360" t="n"/>
      <c r="DE38" s="360" t="n"/>
      <c r="DF38" s="360" t="n"/>
      <c r="DG38" s="360" t="n"/>
      <c r="DH38" s="360" t="n"/>
      <c r="DI38" s="360" t="n"/>
      <c r="DJ38" s="360" t="n"/>
      <c r="DK38" s="360" t="n"/>
      <c r="DL38" s="360" t="n"/>
      <c r="DM38" s="360" t="n"/>
      <c r="DN38" s="360" t="n"/>
      <c r="DO38" s="360" t="n"/>
      <c r="DP38" s="360" t="n"/>
      <c r="DQ38" s="360" t="n"/>
      <c r="DR38" s="360" t="n"/>
      <c r="DS38" s="360" t="n"/>
      <c r="DT38" s="360" t="n"/>
      <c r="DU38" s="360" t="n"/>
      <c r="DV38" s="360" t="n"/>
      <c r="DW38" s="322" t="inlineStr">
        <is>
          <t>x</t>
        </is>
      </c>
    </row>
    <row r="39" hidden="1" outlineLevel="1">
      <c r="C39" s="374" t="inlineStr">
        <is>
          <t>Tier II</t>
        </is>
      </c>
      <c r="D39" s="388">
        <f>'Partnership Terms + Fees'!C9</f>
        <v/>
      </c>
      <c r="E39" s="388" t="n"/>
      <c r="F39" s="393">
        <f>'Partnership Terms + Fees'!D9</f>
        <v/>
      </c>
      <c r="G39" s="394">
        <f>'Partnership Terms + Fees'!E9</f>
        <v/>
      </c>
      <c r="H39" s="391">
        <f>'Partnership Terms + Fees'!F9</f>
        <v/>
      </c>
      <c r="I39" s="370">
        <f>'Partnership Terms + Fees'!G9</f>
        <v/>
      </c>
      <c r="K39" s="360" t="n"/>
      <c r="L39" s="360" t="n"/>
      <c r="M39" s="360" t="n"/>
      <c r="N39" s="360" t="n"/>
      <c r="O39" s="360" t="n"/>
      <c r="P39" s="360" t="n"/>
      <c r="Q39" s="360" t="n"/>
      <c r="R39" s="360" t="n"/>
      <c r="S39" s="360" t="n"/>
      <c r="T39" s="360" t="n"/>
      <c r="U39" s="360" t="n"/>
      <c r="V39" s="360" t="n"/>
      <c r="W39" s="360" t="n"/>
      <c r="X39" s="360" t="n"/>
      <c r="Y39" s="360" t="n"/>
      <c r="Z39" s="360" t="n"/>
      <c r="AA39" s="360" t="n"/>
      <c r="AB39" s="360" t="n"/>
      <c r="AC39" s="360" t="n"/>
      <c r="AD39" s="360" t="n"/>
      <c r="AE39" s="360" t="n"/>
      <c r="AF39" s="360" t="n"/>
      <c r="AG39" s="360" t="n"/>
      <c r="AH39" s="360" t="n"/>
      <c r="AI39" s="360" t="n"/>
      <c r="AJ39" s="360" t="n"/>
      <c r="AK39" s="360" t="n"/>
      <c r="AL39" s="360" t="n"/>
      <c r="AM39" s="360" t="n"/>
      <c r="AN39" s="360" t="n"/>
      <c r="AO39" s="360" t="n"/>
      <c r="AP39" s="360" t="n"/>
      <c r="AQ39" s="360" t="n"/>
      <c r="AR39" s="360" t="n"/>
      <c r="AS39" s="360" t="n"/>
      <c r="AT39" s="360" t="n"/>
      <c r="AU39" s="360" t="n"/>
      <c r="AV39" s="360" t="n"/>
      <c r="AW39" s="360" t="n"/>
      <c r="AX39" s="360" t="n"/>
      <c r="AY39" s="360" t="n"/>
      <c r="AZ39" s="360" t="n"/>
      <c r="BA39" s="360" t="n"/>
      <c r="BB39" s="360" t="n"/>
      <c r="BC39" s="360" t="n"/>
      <c r="BD39" s="360" t="n"/>
      <c r="BE39" s="360" t="n"/>
      <c r="BF39" s="360" t="n"/>
      <c r="BG39" s="360" t="n"/>
      <c r="BH39" s="360" t="n"/>
      <c r="BI39" s="360" t="n"/>
      <c r="BJ39" s="360" t="n"/>
      <c r="BK39" s="360" t="n"/>
      <c r="BL39" s="360" t="n"/>
      <c r="BM39" s="360" t="n"/>
      <c r="BN39" s="360" t="n"/>
      <c r="BO39" s="360" t="n"/>
      <c r="BP39" s="360" t="n"/>
      <c r="BQ39" s="360" t="n"/>
      <c r="BR39" s="360" t="n"/>
      <c r="BS39" s="360" t="n"/>
      <c r="BT39" s="360" t="n"/>
      <c r="BU39" s="360" t="n"/>
      <c r="BV39" s="360" t="n"/>
      <c r="BW39" s="360" t="n"/>
      <c r="BX39" s="360" t="n"/>
      <c r="BY39" s="360" t="n"/>
      <c r="BZ39" s="360" t="n"/>
      <c r="CA39" s="360" t="n"/>
      <c r="CB39" s="360" t="n"/>
      <c r="CC39" s="360" t="n"/>
      <c r="CD39" s="360" t="n"/>
      <c r="CE39" s="360" t="n"/>
      <c r="CF39" s="360" t="n"/>
      <c r="CG39" s="360" t="n"/>
      <c r="CH39" s="360" t="n"/>
      <c r="CI39" s="360" t="n"/>
      <c r="CJ39" s="360" t="n"/>
      <c r="CK39" s="360" t="n"/>
      <c r="CL39" s="360" t="n"/>
      <c r="CM39" s="360" t="n"/>
      <c r="CN39" s="360" t="n"/>
      <c r="CO39" s="360" t="n"/>
      <c r="CP39" s="360" t="n"/>
      <c r="CQ39" s="360" t="n"/>
      <c r="CR39" s="360" t="n"/>
      <c r="CS39" s="360" t="n"/>
      <c r="CT39" s="360" t="n"/>
      <c r="CU39" s="360" t="n"/>
      <c r="CV39" s="360" t="n"/>
      <c r="CW39" s="360" t="n"/>
      <c r="CX39" s="360" t="n"/>
      <c r="CY39" s="360" t="n"/>
      <c r="CZ39" s="360" t="n"/>
      <c r="DA39" s="360" t="n"/>
      <c r="DB39" s="360" t="n"/>
      <c r="DC39" s="360" t="n"/>
      <c r="DD39" s="360" t="n"/>
      <c r="DE39" s="360" t="n"/>
      <c r="DF39" s="360" t="n"/>
      <c r="DG39" s="360" t="n"/>
      <c r="DH39" s="360" t="n"/>
      <c r="DI39" s="360" t="n"/>
      <c r="DJ39" s="360" t="n"/>
      <c r="DK39" s="360" t="n"/>
      <c r="DL39" s="360" t="n"/>
      <c r="DM39" s="360" t="n"/>
      <c r="DN39" s="360" t="n"/>
      <c r="DO39" s="360" t="n"/>
      <c r="DP39" s="360" t="n"/>
      <c r="DQ39" s="360" t="n"/>
      <c r="DR39" s="360" t="n"/>
      <c r="DS39" s="360" t="n"/>
      <c r="DT39" s="360" t="n"/>
      <c r="DU39" s="360" t="n"/>
      <c r="DV39" s="360" t="n"/>
      <c r="DW39" s="322" t="inlineStr">
        <is>
          <t>x</t>
        </is>
      </c>
    </row>
    <row r="40" hidden="1" outlineLevel="1">
      <c r="C40" s="374" t="inlineStr">
        <is>
          <t>Tier III</t>
        </is>
      </c>
      <c r="D40" s="388">
        <f>'Partnership Terms + Fees'!C10</f>
        <v/>
      </c>
      <c r="E40" s="388" t="n"/>
      <c r="F40" s="393">
        <f>'Partnership Terms + Fees'!D10</f>
        <v/>
      </c>
      <c r="G40" s="394">
        <f>'Partnership Terms + Fees'!E10</f>
        <v/>
      </c>
      <c r="H40" s="391">
        <f>'Partnership Terms + Fees'!F10</f>
        <v/>
      </c>
      <c r="I40" s="370">
        <f>'Partnership Terms + Fees'!G10</f>
        <v/>
      </c>
      <c r="K40" s="360" t="n"/>
      <c r="L40" s="360" t="n"/>
      <c r="M40" s="360" t="n"/>
      <c r="N40" s="360" t="n"/>
      <c r="O40" s="360" t="n"/>
      <c r="P40" s="360" t="n"/>
      <c r="Q40" s="360" t="n"/>
      <c r="R40" s="360" t="n"/>
      <c r="S40" s="360" t="n"/>
      <c r="T40" s="360" t="n"/>
      <c r="U40" s="360" t="n"/>
      <c r="V40" s="360" t="n"/>
      <c r="W40" s="360" t="n"/>
      <c r="X40" s="360" t="n"/>
      <c r="Y40" s="360" t="n"/>
      <c r="Z40" s="360" t="n"/>
      <c r="AA40" s="360" t="n"/>
      <c r="AB40" s="360" t="n"/>
      <c r="AC40" s="360" t="n"/>
      <c r="AD40" s="360" t="n"/>
      <c r="AE40" s="360" t="n"/>
      <c r="AF40" s="360" t="n"/>
      <c r="AG40" s="360" t="n"/>
      <c r="AH40" s="360" t="n"/>
      <c r="AI40" s="360" t="n"/>
      <c r="AJ40" s="360" t="n"/>
      <c r="AK40" s="360" t="n"/>
      <c r="AL40" s="360" t="n"/>
      <c r="AM40" s="360" t="n"/>
      <c r="AN40" s="360" t="n"/>
      <c r="AO40" s="360" t="n"/>
      <c r="AP40" s="360" t="n"/>
      <c r="AQ40" s="360" t="n"/>
      <c r="AR40" s="360" t="n"/>
      <c r="AS40" s="360" t="n"/>
      <c r="AT40" s="360" t="n"/>
      <c r="AU40" s="360" t="n"/>
      <c r="AV40" s="360" t="n"/>
      <c r="AW40" s="360" t="n"/>
      <c r="AX40" s="360" t="n"/>
      <c r="AY40" s="360" t="n"/>
      <c r="AZ40" s="360" t="n"/>
      <c r="BA40" s="360" t="n"/>
      <c r="BB40" s="360" t="n"/>
      <c r="BC40" s="360" t="n"/>
      <c r="BD40" s="360" t="n"/>
      <c r="BE40" s="360" t="n"/>
      <c r="BF40" s="360" t="n"/>
      <c r="BG40" s="360" t="n"/>
      <c r="BH40" s="360" t="n"/>
      <c r="BI40" s="360" t="n"/>
      <c r="BJ40" s="360" t="n"/>
      <c r="BK40" s="360" t="n"/>
      <c r="BL40" s="360" t="n"/>
      <c r="BM40" s="360" t="n"/>
      <c r="BN40" s="360" t="n"/>
      <c r="BO40" s="360" t="n"/>
      <c r="BP40" s="360" t="n"/>
      <c r="BQ40" s="360" t="n"/>
      <c r="BR40" s="360" t="n"/>
      <c r="BS40" s="360" t="n"/>
      <c r="BT40" s="360" t="n"/>
      <c r="BU40" s="360" t="n"/>
      <c r="BV40" s="360" t="n"/>
      <c r="BW40" s="360" t="n"/>
      <c r="BX40" s="360" t="n"/>
      <c r="BY40" s="360" t="n"/>
      <c r="BZ40" s="360" t="n"/>
      <c r="CA40" s="360" t="n"/>
      <c r="CB40" s="360" t="n"/>
      <c r="CC40" s="360" t="n"/>
      <c r="CD40" s="360" t="n"/>
      <c r="CE40" s="360" t="n"/>
      <c r="CF40" s="360" t="n"/>
      <c r="CG40" s="360" t="n"/>
      <c r="CH40" s="360" t="n"/>
      <c r="CI40" s="360" t="n"/>
      <c r="CJ40" s="360" t="n"/>
      <c r="CK40" s="360" t="n"/>
      <c r="CL40" s="360" t="n"/>
      <c r="CM40" s="360" t="n"/>
      <c r="CN40" s="360" t="n"/>
      <c r="CO40" s="360" t="n"/>
      <c r="CP40" s="360" t="n"/>
      <c r="CQ40" s="360" t="n"/>
      <c r="CR40" s="360" t="n"/>
      <c r="CS40" s="360" t="n"/>
      <c r="CT40" s="360" t="n"/>
      <c r="CU40" s="360" t="n"/>
      <c r="CV40" s="360" t="n"/>
      <c r="CW40" s="360" t="n"/>
      <c r="CX40" s="360" t="n"/>
      <c r="CY40" s="360" t="n"/>
      <c r="CZ40" s="360" t="n"/>
      <c r="DA40" s="360" t="n"/>
      <c r="DB40" s="360" t="n"/>
      <c r="DC40" s="360" t="n"/>
      <c r="DD40" s="360" t="n"/>
      <c r="DE40" s="360" t="n"/>
      <c r="DF40" s="360" t="n"/>
      <c r="DG40" s="360" t="n"/>
      <c r="DH40" s="360" t="n"/>
      <c r="DI40" s="360" t="n"/>
      <c r="DJ40" s="360" t="n"/>
      <c r="DK40" s="360" t="n"/>
      <c r="DL40" s="360" t="n"/>
      <c r="DM40" s="360" t="n"/>
      <c r="DN40" s="360" t="n"/>
      <c r="DO40" s="360" t="n"/>
      <c r="DP40" s="360" t="n"/>
      <c r="DQ40" s="360" t="n"/>
      <c r="DR40" s="360" t="n"/>
      <c r="DS40" s="360" t="n"/>
      <c r="DT40" s="360" t="n"/>
      <c r="DU40" s="360" t="n"/>
      <c r="DV40" s="360" t="n"/>
      <c r="DW40" s="322" t="inlineStr">
        <is>
          <t>x</t>
        </is>
      </c>
    </row>
    <row r="41" hidden="1" outlineLevel="1">
      <c r="C41" s="374" t="inlineStr">
        <is>
          <t>Tier IV</t>
        </is>
      </c>
      <c r="D41" s="388">
        <f>'Partnership Terms + Fees'!C11</f>
        <v/>
      </c>
      <c r="E41" s="388" t="n"/>
      <c r="F41" s="393">
        <f>'Partnership Terms + Fees'!D11</f>
        <v/>
      </c>
      <c r="G41" s="394">
        <f>'Partnership Terms + Fees'!E11</f>
        <v/>
      </c>
      <c r="H41" s="391">
        <f>'Partnership Terms + Fees'!F11</f>
        <v/>
      </c>
      <c r="I41" s="370">
        <f>'Partnership Terms + Fees'!G11</f>
        <v/>
      </c>
      <c r="K41" s="360" t="n"/>
      <c r="L41" s="360" t="n"/>
      <c r="M41" s="360" t="n"/>
      <c r="N41" s="360" t="n"/>
      <c r="O41" s="360" t="n"/>
      <c r="P41" s="360" t="n"/>
      <c r="Q41" s="360" t="n"/>
      <c r="R41" s="360" t="n"/>
      <c r="S41" s="360" t="n"/>
      <c r="T41" s="360" t="n"/>
      <c r="U41" s="360" t="n"/>
      <c r="V41" s="360" t="n"/>
      <c r="W41" s="360" t="n"/>
      <c r="X41" s="360" t="n"/>
      <c r="Y41" s="360" t="n"/>
      <c r="Z41" s="360" t="n"/>
      <c r="AA41" s="360" t="n"/>
      <c r="AB41" s="360" t="n"/>
      <c r="AC41" s="360" t="n"/>
      <c r="AD41" s="360" t="n"/>
      <c r="AE41" s="360" t="n"/>
      <c r="AF41" s="360" t="n"/>
      <c r="AG41" s="360" t="n"/>
      <c r="AH41" s="360" t="n"/>
      <c r="AI41" s="360" t="n"/>
      <c r="AJ41" s="360" t="n"/>
      <c r="AK41" s="360" t="n"/>
      <c r="AL41" s="360" t="n"/>
      <c r="AM41" s="360" t="n"/>
      <c r="AN41" s="360" t="n"/>
      <c r="AO41" s="360" t="n"/>
      <c r="AP41" s="360" t="n"/>
      <c r="AQ41" s="360" t="n"/>
      <c r="AR41" s="360" t="n"/>
      <c r="AS41" s="360" t="n"/>
      <c r="AT41" s="360" t="n"/>
      <c r="AU41" s="360" t="n"/>
      <c r="AV41" s="360" t="n"/>
      <c r="AW41" s="360" t="n"/>
      <c r="AX41" s="360" t="n"/>
      <c r="AY41" s="360" t="n"/>
      <c r="AZ41" s="360" t="n"/>
      <c r="BA41" s="360" t="n"/>
      <c r="BB41" s="360" t="n"/>
      <c r="BC41" s="360" t="n"/>
      <c r="BD41" s="360" t="n"/>
      <c r="BE41" s="360" t="n"/>
      <c r="BF41" s="360" t="n"/>
      <c r="BG41" s="360" t="n"/>
      <c r="BH41" s="360" t="n"/>
      <c r="BI41" s="360" t="n"/>
      <c r="BJ41" s="360" t="n"/>
      <c r="BK41" s="360" t="n"/>
      <c r="BL41" s="360" t="n"/>
      <c r="BM41" s="360" t="n"/>
      <c r="BN41" s="360" t="n"/>
      <c r="BO41" s="360" t="n"/>
      <c r="BP41" s="360" t="n"/>
      <c r="BQ41" s="360" t="n"/>
      <c r="BR41" s="360" t="n"/>
      <c r="BS41" s="360" t="n"/>
      <c r="BT41" s="360" t="n"/>
      <c r="BU41" s="360" t="n"/>
      <c r="BV41" s="360" t="n"/>
      <c r="BW41" s="360" t="n"/>
      <c r="BX41" s="360" t="n"/>
      <c r="BY41" s="360" t="n"/>
      <c r="BZ41" s="360" t="n"/>
      <c r="CA41" s="360" t="n"/>
      <c r="CB41" s="360" t="n"/>
      <c r="CC41" s="360" t="n"/>
      <c r="CD41" s="360" t="n"/>
      <c r="CE41" s="360" t="n"/>
      <c r="CF41" s="360" t="n"/>
      <c r="CG41" s="360" t="n"/>
      <c r="CH41" s="360" t="n"/>
      <c r="CI41" s="360" t="n"/>
      <c r="CJ41" s="360" t="n"/>
      <c r="CK41" s="360" t="n"/>
      <c r="CL41" s="360" t="n"/>
      <c r="CM41" s="360" t="n"/>
      <c r="CN41" s="360" t="n"/>
      <c r="CO41" s="360" t="n"/>
      <c r="CP41" s="360" t="n"/>
      <c r="CQ41" s="360" t="n"/>
      <c r="CR41" s="360" t="n"/>
      <c r="CS41" s="360" t="n"/>
      <c r="CT41" s="360" t="n"/>
      <c r="CU41" s="360" t="n"/>
      <c r="CV41" s="360" t="n"/>
      <c r="CW41" s="360" t="n"/>
      <c r="CX41" s="360" t="n"/>
      <c r="CY41" s="360" t="n"/>
      <c r="CZ41" s="360" t="n"/>
      <c r="DA41" s="360" t="n"/>
      <c r="DB41" s="360" t="n"/>
      <c r="DC41" s="360" t="n"/>
      <c r="DD41" s="360" t="n"/>
      <c r="DE41" s="360" t="n"/>
      <c r="DF41" s="360" t="n"/>
      <c r="DG41" s="360" t="n"/>
      <c r="DH41" s="360" t="n"/>
      <c r="DI41" s="360" t="n"/>
      <c r="DJ41" s="360" t="n"/>
      <c r="DK41" s="360" t="n"/>
      <c r="DL41" s="360" t="n"/>
      <c r="DM41" s="360" t="n"/>
      <c r="DN41" s="360" t="n"/>
      <c r="DO41" s="360" t="n"/>
      <c r="DP41" s="360" t="n"/>
      <c r="DQ41" s="360" t="n"/>
      <c r="DR41" s="360" t="n"/>
      <c r="DS41" s="360" t="n"/>
      <c r="DT41" s="360" t="n"/>
      <c r="DU41" s="360" t="n"/>
      <c r="DV41" s="360" t="n"/>
      <c r="DW41" s="322" t="inlineStr">
        <is>
          <t>x</t>
        </is>
      </c>
    </row>
    <row r="42" hidden="1" outlineLevel="1">
      <c r="C42" s="395" t="inlineStr">
        <is>
          <t>Tier V</t>
        </is>
      </c>
      <c r="D42" s="396" t="n"/>
      <c r="E42" s="396" t="n"/>
      <c r="F42" s="397" t="n"/>
      <c r="G42" s="398">
        <f>'Partnership Terms + Fees'!E12</f>
        <v/>
      </c>
      <c r="H42" s="399">
        <f>'Partnership Terms + Fees'!F12</f>
        <v/>
      </c>
      <c r="I42" s="400">
        <f>'Partnership Terms + Fees'!G12</f>
        <v/>
      </c>
      <c r="K42" s="360" t="n"/>
      <c r="L42" s="360" t="n"/>
      <c r="M42" s="360" t="n"/>
      <c r="N42" s="360" t="n"/>
      <c r="O42" s="360" t="n"/>
      <c r="P42" s="360" t="n"/>
      <c r="Q42" s="360" t="n"/>
      <c r="R42" s="360" t="n"/>
      <c r="S42" s="360" t="n"/>
      <c r="T42" s="360" t="n"/>
      <c r="U42" s="360" t="n"/>
      <c r="V42" s="360" t="n"/>
      <c r="W42" s="360" t="n"/>
      <c r="X42" s="360" t="n"/>
      <c r="Y42" s="360" t="n"/>
      <c r="Z42" s="360" t="n"/>
      <c r="AA42" s="360" t="n"/>
      <c r="AB42" s="360" t="n"/>
      <c r="AC42" s="360" t="n"/>
      <c r="AD42" s="360" t="n"/>
      <c r="AE42" s="360" t="n"/>
      <c r="AF42" s="360" t="n"/>
      <c r="AG42" s="360" t="n"/>
      <c r="AH42" s="360" t="n"/>
      <c r="AI42" s="360" t="n"/>
      <c r="AJ42" s="360" t="n"/>
      <c r="AK42" s="360" t="n"/>
      <c r="AL42" s="360" t="n"/>
      <c r="AM42" s="360" t="n"/>
      <c r="AN42" s="360" t="n"/>
      <c r="AO42" s="360" t="n"/>
      <c r="AP42" s="360" t="n"/>
      <c r="AQ42" s="360" t="n"/>
      <c r="AR42" s="360" t="n"/>
      <c r="AS42" s="360" t="n"/>
      <c r="AT42" s="360" t="n"/>
      <c r="AU42" s="360" t="n"/>
      <c r="AV42" s="360" t="n"/>
      <c r="AW42" s="360" t="n"/>
      <c r="AX42" s="360" t="n"/>
      <c r="AY42" s="360" t="n"/>
      <c r="AZ42" s="360" t="n"/>
      <c r="BA42" s="360" t="n"/>
      <c r="BB42" s="360" t="n"/>
      <c r="BC42" s="360" t="n"/>
      <c r="BD42" s="360" t="n"/>
      <c r="BE42" s="360" t="n"/>
      <c r="BF42" s="360" t="n"/>
      <c r="BG42" s="360" t="n"/>
      <c r="BH42" s="360" t="n"/>
      <c r="BI42" s="360" t="n"/>
      <c r="BJ42" s="360" t="n"/>
      <c r="BK42" s="360" t="n"/>
      <c r="BL42" s="360" t="n"/>
      <c r="BM42" s="360" t="n"/>
      <c r="BN42" s="360" t="n"/>
      <c r="BO42" s="360" t="n"/>
      <c r="BP42" s="360" t="n"/>
      <c r="BQ42" s="360" t="n"/>
      <c r="BR42" s="360" t="n"/>
      <c r="BS42" s="360" t="n"/>
      <c r="BT42" s="360" t="n"/>
      <c r="BU42" s="360" t="n"/>
      <c r="BV42" s="360" t="n"/>
      <c r="BW42" s="360" t="n"/>
      <c r="BX42" s="360" t="n"/>
      <c r="BY42" s="360" t="n"/>
      <c r="BZ42" s="360" t="n"/>
      <c r="CA42" s="360" t="n"/>
      <c r="CB42" s="360" t="n"/>
      <c r="CC42" s="360" t="n"/>
      <c r="CD42" s="360" t="n"/>
      <c r="CE42" s="360" t="n"/>
      <c r="CF42" s="360" t="n"/>
      <c r="CG42" s="360" t="n"/>
      <c r="CH42" s="360" t="n"/>
      <c r="CI42" s="360" t="n"/>
      <c r="CJ42" s="360" t="n"/>
      <c r="CK42" s="360" t="n"/>
      <c r="CL42" s="360" t="n"/>
      <c r="CM42" s="360" t="n"/>
      <c r="CN42" s="360" t="n"/>
      <c r="CO42" s="360" t="n"/>
      <c r="CP42" s="360" t="n"/>
      <c r="CQ42" s="360" t="n"/>
      <c r="CR42" s="360" t="n"/>
      <c r="CS42" s="360" t="n"/>
      <c r="CT42" s="360" t="n"/>
      <c r="CU42" s="360" t="n"/>
      <c r="CV42" s="360" t="n"/>
      <c r="CW42" s="360" t="n"/>
      <c r="CX42" s="360" t="n"/>
      <c r="CY42" s="360" t="n"/>
      <c r="CZ42" s="360" t="n"/>
      <c r="DA42" s="360" t="n"/>
      <c r="DB42" s="360" t="n"/>
      <c r="DC42" s="360" t="n"/>
      <c r="DD42" s="360" t="n"/>
      <c r="DE42" s="360" t="n"/>
      <c r="DF42" s="360" t="n"/>
      <c r="DG42" s="360" t="n"/>
      <c r="DH42" s="360" t="n"/>
      <c r="DI42" s="360" t="n"/>
      <c r="DJ42" s="360" t="n"/>
      <c r="DK42" s="360" t="n"/>
      <c r="DL42" s="360" t="n"/>
      <c r="DM42" s="360" t="n"/>
      <c r="DN42" s="360" t="n"/>
      <c r="DO42" s="360" t="n"/>
      <c r="DP42" s="360" t="n"/>
      <c r="DQ42" s="360" t="n"/>
      <c r="DR42" s="360" t="n"/>
      <c r="DS42" s="360" t="n"/>
      <c r="DT42" s="360" t="n"/>
      <c r="DU42" s="360" t="n"/>
      <c r="DV42" s="360" t="n"/>
      <c r="DW42" s="322" t="inlineStr">
        <is>
          <t>x</t>
        </is>
      </c>
    </row>
    <row r="43" hidden="1" outlineLevel="1">
      <c r="C43" s="360" t="n"/>
      <c r="D43" s="360" t="n"/>
      <c r="E43" s="360" t="n"/>
      <c r="F43" s="360" t="n"/>
      <c r="G43" s="360" t="n"/>
      <c r="H43" s="360" t="n"/>
      <c r="I43" s="360" t="n"/>
      <c r="J43" s="360" t="n"/>
      <c r="K43" s="360" t="n"/>
      <c r="L43" s="360" t="n"/>
      <c r="M43" s="360" t="n"/>
      <c r="N43" s="360" t="n"/>
      <c r="O43" s="360" t="n"/>
      <c r="P43" s="360" t="n"/>
      <c r="Q43" s="360" t="n"/>
      <c r="R43" s="360" t="n"/>
      <c r="S43" s="360" t="n"/>
      <c r="T43" s="360" t="n"/>
      <c r="U43" s="360" t="n"/>
      <c r="V43" s="360" t="n"/>
      <c r="W43" s="360" t="n"/>
      <c r="X43" s="360" t="n"/>
      <c r="Y43" s="360" t="n"/>
      <c r="Z43" s="360" t="n"/>
      <c r="AA43" s="360" t="n"/>
      <c r="AB43" s="360" t="n"/>
      <c r="AC43" s="360" t="n"/>
      <c r="AD43" s="360" t="n"/>
      <c r="AE43" s="360" t="n"/>
      <c r="AF43" s="360" t="n"/>
      <c r="AG43" s="360" t="n"/>
      <c r="AH43" s="360" t="n"/>
      <c r="AI43" s="360" t="n"/>
      <c r="AJ43" s="360" t="n"/>
      <c r="AK43" s="360" t="n"/>
      <c r="AL43" s="360" t="n"/>
      <c r="AM43" s="360" t="n"/>
      <c r="AN43" s="360" t="n"/>
      <c r="AO43" s="360" t="n"/>
      <c r="AP43" s="360" t="n"/>
      <c r="AQ43" s="360" t="n"/>
      <c r="AR43" s="360" t="n"/>
      <c r="AS43" s="360" t="n"/>
      <c r="AT43" s="360" t="n"/>
      <c r="AU43" s="360" t="n"/>
      <c r="AV43" s="360" t="n"/>
      <c r="AW43" s="360" t="n"/>
      <c r="AX43" s="360" t="n"/>
      <c r="AY43" s="360" t="n"/>
      <c r="AZ43" s="360" t="n"/>
      <c r="BA43" s="360" t="n"/>
      <c r="BB43" s="360" t="n"/>
      <c r="BC43" s="360" t="n"/>
      <c r="BD43" s="360" t="n"/>
      <c r="BE43" s="360" t="n"/>
      <c r="BF43" s="360" t="n"/>
      <c r="BG43" s="360" t="n"/>
      <c r="BH43" s="360" t="n"/>
      <c r="BI43" s="360" t="n"/>
      <c r="BJ43" s="360" t="n"/>
      <c r="BK43" s="360" t="n"/>
      <c r="BL43" s="360" t="n"/>
      <c r="BM43" s="360" t="n"/>
      <c r="BN43" s="360" t="n"/>
      <c r="BO43" s="360" t="n"/>
      <c r="BP43" s="360" t="n"/>
      <c r="BQ43" s="360" t="n"/>
      <c r="BR43" s="360" t="n"/>
      <c r="BS43" s="360" t="n"/>
      <c r="BT43" s="360" t="n"/>
      <c r="BU43" s="360" t="n"/>
      <c r="BV43" s="360" t="n"/>
      <c r="BW43" s="360" t="n"/>
      <c r="BX43" s="360" t="n"/>
      <c r="BY43" s="360" t="n"/>
      <c r="BZ43" s="360" t="n"/>
      <c r="CA43" s="360" t="n"/>
      <c r="CB43" s="360" t="n"/>
      <c r="CC43" s="360" t="n"/>
      <c r="CD43" s="360" t="n"/>
      <c r="CE43" s="360" t="n"/>
      <c r="CF43" s="360" t="n"/>
      <c r="CG43" s="360" t="n"/>
      <c r="CH43" s="360" t="n"/>
      <c r="CI43" s="360" t="n"/>
      <c r="CJ43" s="360" t="n"/>
      <c r="CK43" s="360" t="n"/>
      <c r="CL43" s="360" t="n"/>
      <c r="CM43" s="360" t="n"/>
      <c r="CN43" s="360" t="n"/>
      <c r="CO43" s="360" t="n"/>
      <c r="CP43" s="360" t="n"/>
      <c r="CQ43" s="360" t="n"/>
      <c r="CR43" s="360" t="n"/>
      <c r="CS43" s="360" t="n"/>
      <c r="CT43" s="360" t="n"/>
      <c r="CU43" s="360" t="n"/>
      <c r="CV43" s="360" t="n"/>
      <c r="CW43" s="360" t="n"/>
      <c r="CX43" s="360" t="n"/>
      <c r="CY43" s="360" t="n"/>
      <c r="CZ43" s="360" t="n"/>
      <c r="DA43" s="360" t="n"/>
      <c r="DB43" s="360" t="n"/>
      <c r="DC43" s="360" t="n"/>
      <c r="DD43" s="360" t="n"/>
      <c r="DE43" s="360" t="n"/>
      <c r="DF43" s="360" t="n"/>
      <c r="DG43" s="360" t="n"/>
      <c r="DH43" s="360" t="n"/>
      <c r="DI43" s="360" t="n"/>
      <c r="DJ43" s="360" t="n"/>
      <c r="DK43" s="360" t="n"/>
      <c r="DL43" s="360" t="n"/>
      <c r="DM43" s="360" t="n"/>
      <c r="DN43" s="360" t="n"/>
      <c r="DO43" s="360" t="n"/>
      <c r="DP43" s="360" t="n"/>
      <c r="DQ43" s="360" t="n"/>
      <c r="DR43" s="360" t="n"/>
      <c r="DS43" s="360" t="n"/>
      <c r="DT43" s="360" t="n"/>
      <c r="DU43" s="360" t="n"/>
      <c r="DV43" s="360" t="n"/>
      <c r="DW43" s="322" t="inlineStr">
        <is>
          <t>x</t>
        </is>
      </c>
    </row>
    <row r="44" hidden="1" outlineLevel="1">
      <c r="C44" s="401">
        <f>H37&amp;" Cash Flow Summary"</f>
        <v/>
      </c>
      <c r="D44" s="402" t="n"/>
      <c r="E44" s="403" t="n"/>
      <c r="F44" s="404" t="n"/>
      <c r="G44" s="404" t="n"/>
      <c r="H44" s="405" t="n"/>
      <c r="I44" s="405" t="n"/>
      <c r="J44" s="405" t="n"/>
      <c r="K44" s="405" t="n"/>
      <c r="L44" s="405" t="n"/>
      <c r="M44" s="405" t="n"/>
      <c r="N44" s="405" t="n"/>
      <c r="O44" s="405" t="n"/>
      <c r="P44" s="405" t="n"/>
      <c r="Q44" s="405" t="n"/>
      <c r="R44" s="405" t="n"/>
      <c r="S44" s="405" t="n"/>
      <c r="T44" s="405" t="n"/>
      <c r="U44" s="405" t="n"/>
      <c r="V44" s="405" t="n"/>
      <c r="W44" s="405" t="n"/>
      <c r="X44" s="405" t="n"/>
      <c r="Y44" s="405" t="n"/>
      <c r="Z44" s="405" t="n"/>
      <c r="AA44" s="405" t="n"/>
      <c r="AB44" s="405" t="n"/>
      <c r="AC44" s="405" t="n"/>
      <c r="AD44" s="405" t="n"/>
      <c r="AE44" s="405" t="n"/>
      <c r="AF44" s="405" t="n"/>
      <c r="AG44" s="405" t="n"/>
      <c r="AH44" s="405" t="n"/>
      <c r="AI44" s="405" t="n"/>
      <c r="AJ44" s="405" t="n"/>
      <c r="AK44" s="405" t="n"/>
      <c r="AL44" s="405" t="n"/>
      <c r="AM44" s="405" t="n"/>
      <c r="AN44" s="405" t="n"/>
      <c r="AO44" s="405" t="n"/>
      <c r="AP44" s="405" t="n"/>
      <c r="AQ44" s="405" t="n"/>
      <c r="AR44" s="405" t="n"/>
      <c r="AS44" s="405" t="n"/>
      <c r="AT44" s="405" t="n"/>
      <c r="AU44" s="405" t="n"/>
      <c r="AV44" s="405" t="n"/>
      <c r="AW44" s="405" t="n"/>
      <c r="AX44" s="405" t="n"/>
      <c r="AY44" s="405" t="n"/>
      <c r="AZ44" s="405" t="n"/>
      <c r="BA44" s="405" t="n"/>
      <c r="BB44" s="405" t="n"/>
      <c r="BC44" s="405" t="n"/>
      <c r="BD44" s="405" t="n"/>
      <c r="BE44" s="405" t="n"/>
      <c r="BF44" s="405" t="n"/>
      <c r="BG44" s="405" t="n"/>
      <c r="BH44" s="405" t="n"/>
      <c r="BI44" s="405" t="n"/>
      <c r="BJ44" s="405" t="n"/>
      <c r="BK44" s="405" t="n"/>
      <c r="BL44" s="405" t="n"/>
      <c r="BM44" s="405" t="n"/>
      <c r="BN44" s="405" t="n"/>
      <c r="BO44" s="405" t="n"/>
      <c r="BP44" s="405" t="n"/>
      <c r="BQ44" s="405" t="n"/>
      <c r="BR44" s="405" t="n"/>
      <c r="BS44" s="405" t="n"/>
      <c r="BT44" s="405" t="n"/>
      <c r="BU44" s="405" t="n"/>
      <c r="BV44" s="405" t="n"/>
      <c r="BW44" s="405" t="n"/>
      <c r="BX44" s="405" t="n"/>
      <c r="BY44" s="405" t="n"/>
      <c r="BZ44" s="405" t="n"/>
      <c r="CA44" s="405" t="n"/>
      <c r="CB44" s="405" t="n"/>
      <c r="CC44" s="405" t="n"/>
      <c r="CD44" s="405" t="n"/>
      <c r="CE44" s="405" t="n"/>
      <c r="CF44" s="405" t="n"/>
      <c r="CG44" s="405" t="n"/>
      <c r="CH44" s="405" t="n"/>
      <c r="CI44" s="405" t="n"/>
      <c r="CJ44" s="405" t="n"/>
      <c r="CK44" s="405" t="n"/>
      <c r="CL44" s="405" t="n"/>
      <c r="CM44" s="405" t="n"/>
      <c r="CN44" s="405" t="n"/>
      <c r="CO44" s="405" t="n"/>
      <c r="CP44" s="405" t="n"/>
      <c r="CQ44" s="405" t="n"/>
      <c r="CR44" s="405" t="n"/>
      <c r="CS44" s="405" t="n"/>
      <c r="CT44" s="405" t="n"/>
      <c r="CU44" s="405" t="n"/>
      <c r="CV44" s="405" t="n"/>
      <c r="CW44" s="405" t="n"/>
      <c r="CX44" s="405" t="n"/>
      <c r="CY44" s="405" t="n"/>
      <c r="CZ44" s="405" t="n"/>
      <c r="DA44" s="405" t="n"/>
      <c r="DB44" s="405" t="n"/>
      <c r="DC44" s="405" t="n"/>
      <c r="DD44" s="405" t="n"/>
      <c r="DE44" s="405" t="n"/>
      <c r="DF44" s="405" t="n"/>
      <c r="DG44" s="405" t="n"/>
      <c r="DH44" s="405" t="n"/>
      <c r="DI44" s="405" t="n"/>
      <c r="DJ44" s="405" t="n"/>
      <c r="DK44" s="405" t="n"/>
      <c r="DL44" s="405" t="n"/>
      <c r="DM44" s="405" t="n"/>
      <c r="DN44" s="405" t="n"/>
      <c r="DO44" s="405" t="n"/>
      <c r="DP44" s="405" t="n"/>
      <c r="DQ44" s="405" t="n"/>
      <c r="DR44" s="405" t="n"/>
      <c r="DS44" s="405" t="n"/>
      <c r="DT44" s="405" t="n"/>
      <c r="DU44" s="405" t="n"/>
      <c r="DV44" s="405" t="n"/>
      <c r="DW44" s="322" t="inlineStr">
        <is>
          <t>x</t>
        </is>
      </c>
    </row>
    <row r="45" hidden="1" outlineLevel="1">
      <c r="C45" s="406" t="inlineStr">
        <is>
          <t>Tier I</t>
        </is>
      </c>
      <c r="D45" s="653">
        <f>SUM(F45:DV45)</f>
        <v/>
      </c>
      <c r="E45" s="654" t="n"/>
      <c r="F45" s="655">
        <f>F126</f>
        <v/>
      </c>
      <c r="G45" s="655">
        <f>G126</f>
        <v/>
      </c>
      <c r="H45" s="655">
        <f>H126</f>
        <v/>
      </c>
      <c r="I45" s="655">
        <f>I126</f>
        <v/>
      </c>
      <c r="J45" s="655">
        <f>J126</f>
        <v/>
      </c>
      <c r="K45" s="655">
        <f>K126</f>
        <v/>
      </c>
      <c r="L45" s="655">
        <f>L126</f>
        <v/>
      </c>
      <c r="M45" s="655">
        <f>M126</f>
        <v/>
      </c>
      <c r="N45" s="655">
        <f>N126</f>
        <v/>
      </c>
      <c r="O45" s="655">
        <f>O126</f>
        <v/>
      </c>
      <c r="P45" s="655">
        <f>P126</f>
        <v/>
      </c>
      <c r="Q45" s="655">
        <f>Q126</f>
        <v/>
      </c>
      <c r="R45" s="655">
        <f>R126</f>
        <v/>
      </c>
      <c r="S45" s="655">
        <f>S126</f>
        <v/>
      </c>
      <c r="T45" s="655">
        <f>T126</f>
        <v/>
      </c>
      <c r="U45" s="655">
        <f>U126</f>
        <v/>
      </c>
      <c r="V45" s="655">
        <f>V126</f>
        <v/>
      </c>
      <c r="W45" s="655">
        <f>W126</f>
        <v/>
      </c>
      <c r="X45" s="655">
        <f>X126</f>
        <v/>
      </c>
      <c r="Y45" s="655">
        <f>Y126</f>
        <v/>
      </c>
      <c r="Z45" s="655">
        <f>Z126</f>
        <v/>
      </c>
      <c r="AA45" s="655">
        <f>AA126</f>
        <v/>
      </c>
      <c r="AB45" s="655">
        <f>AB126</f>
        <v/>
      </c>
      <c r="AC45" s="655">
        <f>AC126</f>
        <v/>
      </c>
      <c r="AD45" s="655">
        <f>AD126</f>
        <v/>
      </c>
      <c r="AE45" s="655">
        <f>AE126</f>
        <v/>
      </c>
      <c r="AF45" s="655">
        <f>AF126</f>
        <v/>
      </c>
      <c r="AG45" s="655">
        <f>AG126</f>
        <v/>
      </c>
      <c r="AH45" s="655">
        <f>AH126</f>
        <v/>
      </c>
      <c r="AI45" s="655">
        <f>AI126</f>
        <v/>
      </c>
      <c r="AJ45" s="655">
        <f>AJ126</f>
        <v/>
      </c>
      <c r="AK45" s="655">
        <f>AK126</f>
        <v/>
      </c>
      <c r="AL45" s="655">
        <f>AL126</f>
        <v/>
      </c>
      <c r="AM45" s="655">
        <f>AM126</f>
        <v/>
      </c>
      <c r="AN45" s="655">
        <f>AN126</f>
        <v/>
      </c>
      <c r="AO45" s="655">
        <f>AO126</f>
        <v/>
      </c>
      <c r="AP45" s="655">
        <f>AP126</f>
        <v/>
      </c>
      <c r="AQ45" s="655">
        <f>AQ126</f>
        <v/>
      </c>
      <c r="AR45" s="655">
        <f>AR126</f>
        <v/>
      </c>
      <c r="AS45" s="655">
        <f>AS126</f>
        <v/>
      </c>
      <c r="AT45" s="655">
        <f>AT126</f>
        <v/>
      </c>
      <c r="AU45" s="655">
        <f>AU126</f>
        <v/>
      </c>
      <c r="AV45" s="655">
        <f>AV126</f>
        <v/>
      </c>
      <c r="AW45" s="655">
        <f>AW126</f>
        <v/>
      </c>
      <c r="AX45" s="655">
        <f>AX126</f>
        <v/>
      </c>
      <c r="AY45" s="655">
        <f>AY126</f>
        <v/>
      </c>
      <c r="AZ45" s="655">
        <f>AZ126</f>
        <v/>
      </c>
      <c r="BA45" s="655">
        <f>BA126</f>
        <v/>
      </c>
      <c r="BB45" s="655">
        <f>BB126</f>
        <v/>
      </c>
      <c r="BC45" s="655">
        <f>BC126</f>
        <v/>
      </c>
      <c r="BD45" s="655">
        <f>BD126</f>
        <v/>
      </c>
      <c r="BE45" s="655">
        <f>BE126</f>
        <v/>
      </c>
      <c r="BF45" s="655">
        <f>BF126</f>
        <v/>
      </c>
      <c r="BG45" s="655">
        <f>BG126</f>
        <v/>
      </c>
      <c r="BH45" s="655">
        <f>BH126</f>
        <v/>
      </c>
      <c r="BI45" s="655">
        <f>BI126</f>
        <v/>
      </c>
      <c r="BJ45" s="655">
        <f>BJ126</f>
        <v/>
      </c>
      <c r="BK45" s="655">
        <f>BK126</f>
        <v/>
      </c>
      <c r="BL45" s="655">
        <f>BL126</f>
        <v/>
      </c>
      <c r="BM45" s="655">
        <f>BM126</f>
        <v/>
      </c>
      <c r="BN45" s="655">
        <f>BN126</f>
        <v/>
      </c>
      <c r="BO45" s="655">
        <f>BO126</f>
        <v/>
      </c>
      <c r="BP45" s="655">
        <f>BP126</f>
        <v/>
      </c>
      <c r="BQ45" s="655">
        <f>BQ126</f>
        <v/>
      </c>
      <c r="BR45" s="655">
        <f>BR126</f>
        <v/>
      </c>
      <c r="BS45" s="655">
        <f>BS126</f>
        <v/>
      </c>
      <c r="BT45" s="655">
        <f>BT126</f>
        <v/>
      </c>
      <c r="BU45" s="655">
        <f>BU126</f>
        <v/>
      </c>
      <c r="BV45" s="655">
        <f>BV126</f>
        <v/>
      </c>
      <c r="BW45" s="655">
        <f>BW126</f>
        <v/>
      </c>
      <c r="BX45" s="655">
        <f>BX126</f>
        <v/>
      </c>
      <c r="BY45" s="655">
        <f>BY126</f>
        <v/>
      </c>
      <c r="BZ45" s="655">
        <f>BZ126</f>
        <v/>
      </c>
      <c r="CA45" s="655">
        <f>CA126</f>
        <v/>
      </c>
      <c r="CB45" s="655">
        <f>CB126</f>
        <v/>
      </c>
      <c r="CC45" s="655">
        <f>CC126</f>
        <v/>
      </c>
      <c r="CD45" s="655">
        <f>CD126</f>
        <v/>
      </c>
      <c r="CE45" s="655">
        <f>CE126</f>
        <v/>
      </c>
      <c r="CF45" s="655">
        <f>CF126</f>
        <v/>
      </c>
      <c r="CG45" s="655">
        <f>CG126</f>
        <v/>
      </c>
      <c r="CH45" s="655">
        <f>CH126</f>
        <v/>
      </c>
      <c r="CI45" s="655">
        <f>CI126</f>
        <v/>
      </c>
      <c r="CJ45" s="655">
        <f>CJ126</f>
        <v/>
      </c>
      <c r="CK45" s="655">
        <f>CK126</f>
        <v/>
      </c>
      <c r="CL45" s="655">
        <f>CL126</f>
        <v/>
      </c>
      <c r="CM45" s="655">
        <f>CM126</f>
        <v/>
      </c>
      <c r="CN45" s="655">
        <f>CN126</f>
        <v/>
      </c>
      <c r="CO45" s="655">
        <f>CO126</f>
        <v/>
      </c>
      <c r="CP45" s="655">
        <f>CP126</f>
        <v/>
      </c>
      <c r="CQ45" s="655">
        <f>CQ126</f>
        <v/>
      </c>
      <c r="CR45" s="655">
        <f>CR126</f>
        <v/>
      </c>
      <c r="CS45" s="655">
        <f>CS126</f>
        <v/>
      </c>
      <c r="CT45" s="655">
        <f>CT126</f>
        <v/>
      </c>
      <c r="CU45" s="655">
        <f>CU126</f>
        <v/>
      </c>
      <c r="CV45" s="655">
        <f>CV126</f>
        <v/>
      </c>
      <c r="CW45" s="655">
        <f>CW126</f>
        <v/>
      </c>
      <c r="CX45" s="655">
        <f>CX126</f>
        <v/>
      </c>
      <c r="CY45" s="655">
        <f>CY126</f>
        <v/>
      </c>
      <c r="CZ45" s="655">
        <f>CZ126</f>
        <v/>
      </c>
      <c r="DA45" s="655">
        <f>DA126</f>
        <v/>
      </c>
      <c r="DB45" s="655">
        <f>DB126</f>
        <v/>
      </c>
      <c r="DC45" s="655">
        <f>DC126</f>
        <v/>
      </c>
      <c r="DD45" s="655">
        <f>DD126</f>
        <v/>
      </c>
      <c r="DE45" s="655">
        <f>DE126</f>
        <v/>
      </c>
      <c r="DF45" s="655">
        <f>DF126</f>
        <v/>
      </c>
      <c r="DG45" s="655">
        <f>DG126</f>
        <v/>
      </c>
      <c r="DH45" s="655">
        <f>DH126</f>
        <v/>
      </c>
      <c r="DI45" s="655">
        <f>DI126</f>
        <v/>
      </c>
      <c r="DJ45" s="655">
        <f>DJ126</f>
        <v/>
      </c>
      <c r="DK45" s="655">
        <f>DK126</f>
        <v/>
      </c>
      <c r="DL45" s="655">
        <f>DL126</f>
        <v/>
      </c>
      <c r="DM45" s="655">
        <f>DM126</f>
        <v/>
      </c>
      <c r="DN45" s="655">
        <f>DN126</f>
        <v/>
      </c>
      <c r="DO45" s="655">
        <f>DO126</f>
        <v/>
      </c>
      <c r="DP45" s="655">
        <f>DP126</f>
        <v/>
      </c>
      <c r="DQ45" s="655">
        <f>DQ126</f>
        <v/>
      </c>
      <c r="DR45" s="655">
        <f>DR126</f>
        <v/>
      </c>
      <c r="DS45" s="655">
        <f>DS126</f>
        <v/>
      </c>
      <c r="DT45" s="655">
        <f>DT126</f>
        <v/>
      </c>
      <c r="DU45" s="655">
        <f>DU126</f>
        <v/>
      </c>
      <c r="DV45" s="655">
        <f>DV126</f>
        <v/>
      </c>
      <c r="DW45" s="322" t="inlineStr">
        <is>
          <t>x</t>
        </is>
      </c>
    </row>
    <row r="46" hidden="1" outlineLevel="1">
      <c r="C46" s="406" t="inlineStr">
        <is>
          <t>Tier II</t>
        </is>
      </c>
      <c r="D46" s="410">
        <f>SUM(F46:DV46)</f>
        <v/>
      </c>
      <c r="E46" s="411" t="n"/>
      <c r="F46" s="412">
        <f>F157</f>
        <v/>
      </c>
      <c r="G46" s="412">
        <f>G157</f>
        <v/>
      </c>
      <c r="H46" s="412">
        <f>H157</f>
        <v/>
      </c>
      <c r="I46" s="412">
        <f>I157</f>
        <v/>
      </c>
      <c r="J46" s="412">
        <f>J157</f>
        <v/>
      </c>
      <c r="K46" s="412">
        <f>K157</f>
        <v/>
      </c>
      <c r="L46" s="412">
        <f>L157</f>
        <v/>
      </c>
      <c r="M46" s="412">
        <f>M157</f>
        <v/>
      </c>
      <c r="N46" s="412">
        <f>N157</f>
        <v/>
      </c>
      <c r="O46" s="412">
        <f>O157</f>
        <v/>
      </c>
      <c r="P46" s="412">
        <f>P157</f>
        <v/>
      </c>
      <c r="Q46" s="412">
        <f>Q157</f>
        <v/>
      </c>
      <c r="R46" s="412">
        <f>R157</f>
        <v/>
      </c>
      <c r="S46" s="412">
        <f>S157</f>
        <v/>
      </c>
      <c r="T46" s="412">
        <f>T157</f>
        <v/>
      </c>
      <c r="U46" s="412">
        <f>U157</f>
        <v/>
      </c>
      <c r="V46" s="412">
        <f>V157</f>
        <v/>
      </c>
      <c r="W46" s="412">
        <f>W157</f>
        <v/>
      </c>
      <c r="X46" s="412">
        <f>X157</f>
        <v/>
      </c>
      <c r="Y46" s="412">
        <f>Y157</f>
        <v/>
      </c>
      <c r="Z46" s="412">
        <f>Z157</f>
        <v/>
      </c>
      <c r="AA46" s="412">
        <f>AA157</f>
        <v/>
      </c>
      <c r="AB46" s="412">
        <f>AB157</f>
        <v/>
      </c>
      <c r="AC46" s="412">
        <f>AC157</f>
        <v/>
      </c>
      <c r="AD46" s="412">
        <f>AD157</f>
        <v/>
      </c>
      <c r="AE46" s="412">
        <f>AE157</f>
        <v/>
      </c>
      <c r="AF46" s="412">
        <f>AF157</f>
        <v/>
      </c>
      <c r="AG46" s="412">
        <f>AG157</f>
        <v/>
      </c>
      <c r="AH46" s="412">
        <f>AH157</f>
        <v/>
      </c>
      <c r="AI46" s="412">
        <f>AI157</f>
        <v/>
      </c>
      <c r="AJ46" s="412">
        <f>AJ157</f>
        <v/>
      </c>
      <c r="AK46" s="412">
        <f>AK157</f>
        <v/>
      </c>
      <c r="AL46" s="412">
        <f>AL157</f>
        <v/>
      </c>
      <c r="AM46" s="412">
        <f>AM157</f>
        <v/>
      </c>
      <c r="AN46" s="412">
        <f>AN157</f>
        <v/>
      </c>
      <c r="AO46" s="412">
        <f>AO157</f>
        <v/>
      </c>
      <c r="AP46" s="412">
        <f>AP157</f>
        <v/>
      </c>
      <c r="AQ46" s="412">
        <f>AQ157</f>
        <v/>
      </c>
      <c r="AR46" s="412">
        <f>AR157</f>
        <v/>
      </c>
      <c r="AS46" s="412">
        <f>AS157</f>
        <v/>
      </c>
      <c r="AT46" s="412">
        <f>AT157</f>
        <v/>
      </c>
      <c r="AU46" s="412">
        <f>AU157</f>
        <v/>
      </c>
      <c r="AV46" s="412">
        <f>AV157</f>
        <v/>
      </c>
      <c r="AW46" s="412">
        <f>AW157</f>
        <v/>
      </c>
      <c r="AX46" s="412">
        <f>AX157</f>
        <v/>
      </c>
      <c r="AY46" s="412">
        <f>AY157</f>
        <v/>
      </c>
      <c r="AZ46" s="412">
        <f>AZ157</f>
        <v/>
      </c>
      <c r="BA46" s="412">
        <f>BA157</f>
        <v/>
      </c>
      <c r="BB46" s="412">
        <f>BB157</f>
        <v/>
      </c>
      <c r="BC46" s="412">
        <f>BC157</f>
        <v/>
      </c>
      <c r="BD46" s="412">
        <f>BD157</f>
        <v/>
      </c>
      <c r="BE46" s="412">
        <f>BE157</f>
        <v/>
      </c>
      <c r="BF46" s="412">
        <f>BF157</f>
        <v/>
      </c>
      <c r="BG46" s="412">
        <f>BG157</f>
        <v/>
      </c>
      <c r="BH46" s="412">
        <f>BH157</f>
        <v/>
      </c>
      <c r="BI46" s="412">
        <f>BI157</f>
        <v/>
      </c>
      <c r="BJ46" s="412">
        <f>BJ157</f>
        <v/>
      </c>
      <c r="BK46" s="412">
        <f>BK157</f>
        <v/>
      </c>
      <c r="BL46" s="412">
        <f>BL157</f>
        <v/>
      </c>
      <c r="BM46" s="412">
        <f>BM157</f>
        <v/>
      </c>
      <c r="BN46" s="412">
        <f>BN157</f>
        <v/>
      </c>
      <c r="BO46" s="412">
        <f>BO157</f>
        <v/>
      </c>
      <c r="BP46" s="412">
        <f>BP157</f>
        <v/>
      </c>
      <c r="BQ46" s="412">
        <f>BQ157</f>
        <v/>
      </c>
      <c r="BR46" s="412">
        <f>BR157</f>
        <v/>
      </c>
      <c r="BS46" s="412">
        <f>BS157</f>
        <v/>
      </c>
      <c r="BT46" s="412">
        <f>BT157</f>
        <v/>
      </c>
      <c r="BU46" s="412">
        <f>BU157</f>
        <v/>
      </c>
      <c r="BV46" s="412">
        <f>BV157</f>
        <v/>
      </c>
      <c r="BW46" s="412">
        <f>BW157</f>
        <v/>
      </c>
      <c r="BX46" s="412">
        <f>BX157</f>
        <v/>
      </c>
      <c r="BY46" s="412">
        <f>BY157</f>
        <v/>
      </c>
      <c r="BZ46" s="412">
        <f>BZ157</f>
        <v/>
      </c>
      <c r="CA46" s="412">
        <f>CA157</f>
        <v/>
      </c>
      <c r="CB46" s="412">
        <f>CB157</f>
        <v/>
      </c>
      <c r="CC46" s="412">
        <f>CC157</f>
        <v/>
      </c>
      <c r="CD46" s="412">
        <f>CD157</f>
        <v/>
      </c>
      <c r="CE46" s="412">
        <f>CE157</f>
        <v/>
      </c>
      <c r="CF46" s="412">
        <f>CF157</f>
        <v/>
      </c>
      <c r="CG46" s="412">
        <f>CG157</f>
        <v/>
      </c>
      <c r="CH46" s="412">
        <f>CH157</f>
        <v/>
      </c>
      <c r="CI46" s="412">
        <f>CI157</f>
        <v/>
      </c>
      <c r="CJ46" s="412">
        <f>CJ157</f>
        <v/>
      </c>
      <c r="CK46" s="412">
        <f>CK157</f>
        <v/>
      </c>
      <c r="CL46" s="412">
        <f>CL157</f>
        <v/>
      </c>
      <c r="CM46" s="412">
        <f>CM157</f>
        <v/>
      </c>
      <c r="CN46" s="412">
        <f>CN157</f>
        <v/>
      </c>
      <c r="CO46" s="412">
        <f>CO157</f>
        <v/>
      </c>
      <c r="CP46" s="412">
        <f>CP157</f>
        <v/>
      </c>
      <c r="CQ46" s="412">
        <f>CQ157</f>
        <v/>
      </c>
      <c r="CR46" s="412">
        <f>CR157</f>
        <v/>
      </c>
      <c r="CS46" s="412">
        <f>CS157</f>
        <v/>
      </c>
      <c r="CT46" s="412">
        <f>CT157</f>
        <v/>
      </c>
      <c r="CU46" s="412">
        <f>CU157</f>
        <v/>
      </c>
      <c r="CV46" s="412">
        <f>CV157</f>
        <v/>
      </c>
      <c r="CW46" s="412">
        <f>CW157</f>
        <v/>
      </c>
      <c r="CX46" s="412">
        <f>CX157</f>
        <v/>
      </c>
      <c r="CY46" s="412">
        <f>CY157</f>
        <v/>
      </c>
      <c r="CZ46" s="412">
        <f>CZ157</f>
        <v/>
      </c>
      <c r="DA46" s="412">
        <f>DA157</f>
        <v/>
      </c>
      <c r="DB46" s="412">
        <f>DB157</f>
        <v/>
      </c>
      <c r="DC46" s="412">
        <f>DC157</f>
        <v/>
      </c>
      <c r="DD46" s="412">
        <f>DD157</f>
        <v/>
      </c>
      <c r="DE46" s="412">
        <f>DE157</f>
        <v/>
      </c>
      <c r="DF46" s="412">
        <f>DF157</f>
        <v/>
      </c>
      <c r="DG46" s="412">
        <f>DG157</f>
        <v/>
      </c>
      <c r="DH46" s="412">
        <f>DH157</f>
        <v/>
      </c>
      <c r="DI46" s="412">
        <f>DI157</f>
        <v/>
      </c>
      <c r="DJ46" s="412">
        <f>DJ157</f>
        <v/>
      </c>
      <c r="DK46" s="412">
        <f>DK157</f>
        <v/>
      </c>
      <c r="DL46" s="412">
        <f>DL157</f>
        <v/>
      </c>
      <c r="DM46" s="412">
        <f>DM157</f>
        <v/>
      </c>
      <c r="DN46" s="412">
        <f>DN157</f>
        <v/>
      </c>
      <c r="DO46" s="412">
        <f>DO157</f>
        <v/>
      </c>
      <c r="DP46" s="412">
        <f>DP157</f>
        <v/>
      </c>
      <c r="DQ46" s="412">
        <f>DQ157</f>
        <v/>
      </c>
      <c r="DR46" s="412">
        <f>DR157</f>
        <v/>
      </c>
      <c r="DS46" s="412">
        <f>DS157</f>
        <v/>
      </c>
      <c r="DT46" s="412">
        <f>DT157</f>
        <v/>
      </c>
      <c r="DU46" s="412">
        <f>DU157</f>
        <v/>
      </c>
      <c r="DV46" s="412">
        <f>DV157</f>
        <v/>
      </c>
      <c r="DW46" s="322" t="inlineStr">
        <is>
          <t>x</t>
        </is>
      </c>
    </row>
    <row r="47" hidden="1" outlineLevel="1">
      <c r="C47" s="406" t="inlineStr">
        <is>
          <t>Tier III</t>
        </is>
      </c>
      <c r="D47" s="410">
        <f>SUM(F47:DV47)</f>
        <v/>
      </c>
      <c r="E47" s="411" t="n"/>
      <c r="F47" s="412">
        <f>F190</f>
        <v/>
      </c>
      <c r="G47" s="412">
        <f>G190</f>
        <v/>
      </c>
      <c r="H47" s="412">
        <f>H190</f>
        <v/>
      </c>
      <c r="I47" s="412">
        <f>I190</f>
        <v/>
      </c>
      <c r="J47" s="412">
        <f>J190</f>
        <v/>
      </c>
      <c r="K47" s="412">
        <f>K190</f>
        <v/>
      </c>
      <c r="L47" s="412">
        <f>L190</f>
        <v/>
      </c>
      <c r="M47" s="412">
        <f>M190</f>
        <v/>
      </c>
      <c r="N47" s="412">
        <f>N190</f>
        <v/>
      </c>
      <c r="O47" s="412">
        <f>O190</f>
        <v/>
      </c>
      <c r="P47" s="412">
        <f>P190</f>
        <v/>
      </c>
      <c r="Q47" s="412">
        <f>Q190</f>
        <v/>
      </c>
      <c r="R47" s="412">
        <f>R190</f>
        <v/>
      </c>
      <c r="S47" s="412">
        <f>S190</f>
        <v/>
      </c>
      <c r="T47" s="412">
        <f>T190</f>
        <v/>
      </c>
      <c r="U47" s="412">
        <f>U190</f>
        <v/>
      </c>
      <c r="V47" s="412">
        <f>V190</f>
        <v/>
      </c>
      <c r="W47" s="412">
        <f>W190</f>
        <v/>
      </c>
      <c r="X47" s="412">
        <f>X190</f>
        <v/>
      </c>
      <c r="Y47" s="412">
        <f>Y190</f>
        <v/>
      </c>
      <c r="Z47" s="412">
        <f>Z190</f>
        <v/>
      </c>
      <c r="AA47" s="412">
        <f>AA190</f>
        <v/>
      </c>
      <c r="AB47" s="412">
        <f>AB190</f>
        <v/>
      </c>
      <c r="AC47" s="412">
        <f>AC190</f>
        <v/>
      </c>
      <c r="AD47" s="412">
        <f>AD190</f>
        <v/>
      </c>
      <c r="AE47" s="412">
        <f>AE190</f>
        <v/>
      </c>
      <c r="AF47" s="412">
        <f>AF190</f>
        <v/>
      </c>
      <c r="AG47" s="412">
        <f>AG190</f>
        <v/>
      </c>
      <c r="AH47" s="412">
        <f>AH190</f>
        <v/>
      </c>
      <c r="AI47" s="412">
        <f>AI190</f>
        <v/>
      </c>
      <c r="AJ47" s="412">
        <f>AJ190</f>
        <v/>
      </c>
      <c r="AK47" s="412">
        <f>AK190</f>
        <v/>
      </c>
      <c r="AL47" s="412">
        <f>AL190</f>
        <v/>
      </c>
      <c r="AM47" s="412">
        <f>AM190</f>
        <v/>
      </c>
      <c r="AN47" s="412">
        <f>AN190</f>
        <v/>
      </c>
      <c r="AO47" s="412">
        <f>AO190</f>
        <v/>
      </c>
      <c r="AP47" s="412">
        <f>AP190</f>
        <v/>
      </c>
      <c r="AQ47" s="412">
        <f>AQ190</f>
        <v/>
      </c>
      <c r="AR47" s="412">
        <f>AR190</f>
        <v/>
      </c>
      <c r="AS47" s="412">
        <f>AS190</f>
        <v/>
      </c>
      <c r="AT47" s="412">
        <f>AT190</f>
        <v/>
      </c>
      <c r="AU47" s="412">
        <f>AU190</f>
        <v/>
      </c>
      <c r="AV47" s="412">
        <f>AV190</f>
        <v/>
      </c>
      <c r="AW47" s="412">
        <f>AW190</f>
        <v/>
      </c>
      <c r="AX47" s="412">
        <f>AX190</f>
        <v/>
      </c>
      <c r="AY47" s="412">
        <f>AY190</f>
        <v/>
      </c>
      <c r="AZ47" s="412">
        <f>AZ190</f>
        <v/>
      </c>
      <c r="BA47" s="412">
        <f>BA190</f>
        <v/>
      </c>
      <c r="BB47" s="412">
        <f>BB190</f>
        <v/>
      </c>
      <c r="BC47" s="412">
        <f>BC190</f>
        <v/>
      </c>
      <c r="BD47" s="412">
        <f>BD190</f>
        <v/>
      </c>
      <c r="BE47" s="412">
        <f>BE190</f>
        <v/>
      </c>
      <c r="BF47" s="412">
        <f>BF190</f>
        <v/>
      </c>
      <c r="BG47" s="412">
        <f>BG190</f>
        <v/>
      </c>
      <c r="BH47" s="412">
        <f>BH190</f>
        <v/>
      </c>
      <c r="BI47" s="412">
        <f>BI190</f>
        <v/>
      </c>
      <c r="BJ47" s="412">
        <f>BJ190</f>
        <v/>
      </c>
      <c r="BK47" s="412">
        <f>BK190</f>
        <v/>
      </c>
      <c r="BL47" s="412">
        <f>BL190</f>
        <v/>
      </c>
      <c r="BM47" s="412">
        <f>BM190</f>
        <v/>
      </c>
      <c r="BN47" s="412">
        <f>BN190</f>
        <v/>
      </c>
      <c r="BO47" s="412">
        <f>BO190</f>
        <v/>
      </c>
      <c r="BP47" s="412">
        <f>BP190</f>
        <v/>
      </c>
      <c r="BQ47" s="412">
        <f>BQ190</f>
        <v/>
      </c>
      <c r="BR47" s="412">
        <f>BR190</f>
        <v/>
      </c>
      <c r="BS47" s="412">
        <f>BS190</f>
        <v/>
      </c>
      <c r="BT47" s="412">
        <f>BT190</f>
        <v/>
      </c>
      <c r="BU47" s="412">
        <f>BU190</f>
        <v/>
      </c>
      <c r="BV47" s="412">
        <f>BV190</f>
        <v/>
      </c>
      <c r="BW47" s="412">
        <f>BW190</f>
        <v/>
      </c>
      <c r="BX47" s="412">
        <f>BX190</f>
        <v/>
      </c>
      <c r="BY47" s="412">
        <f>BY190</f>
        <v/>
      </c>
      <c r="BZ47" s="412">
        <f>BZ190</f>
        <v/>
      </c>
      <c r="CA47" s="412">
        <f>CA190</f>
        <v/>
      </c>
      <c r="CB47" s="412">
        <f>CB190</f>
        <v/>
      </c>
      <c r="CC47" s="412">
        <f>CC190</f>
        <v/>
      </c>
      <c r="CD47" s="412">
        <f>CD190</f>
        <v/>
      </c>
      <c r="CE47" s="412">
        <f>CE190</f>
        <v/>
      </c>
      <c r="CF47" s="412">
        <f>CF190</f>
        <v/>
      </c>
      <c r="CG47" s="412">
        <f>CG190</f>
        <v/>
      </c>
      <c r="CH47" s="412">
        <f>CH190</f>
        <v/>
      </c>
      <c r="CI47" s="412">
        <f>CI190</f>
        <v/>
      </c>
      <c r="CJ47" s="412">
        <f>CJ190</f>
        <v/>
      </c>
      <c r="CK47" s="412">
        <f>CK190</f>
        <v/>
      </c>
      <c r="CL47" s="412">
        <f>CL190</f>
        <v/>
      </c>
      <c r="CM47" s="412">
        <f>CM190</f>
        <v/>
      </c>
      <c r="CN47" s="412">
        <f>CN190</f>
        <v/>
      </c>
      <c r="CO47" s="412">
        <f>CO190</f>
        <v/>
      </c>
      <c r="CP47" s="412">
        <f>CP190</f>
        <v/>
      </c>
      <c r="CQ47" s="412">
        <f>CQ190</f>
        <v/>
      </c>
      <c r="CR47" s="412">
        <f>CR190</f>
        <v/>
      </c>
      <c r="CS47" s="412">
        <f>CS190</f>
        <v/>
      </c>
      <c r="CT47" s="412">
        <f>CT190</f>
        <v/>
      </c>
      <c r="CU47" s="412">
        <f>CU190</f>
        <v/>
      </c>
      <c r="CV47" s="412">
        <f>CV190</f>
        <v/>
      </c>
      <c r="CW47" s="412">
        <f>CW190</f>
        <v/>
      </c>
      <c r="CX47" s="412">
        <f>CX190</f>
        <v/>
      </c>
      <c r="CY47" s="412">
        <f>CY190</f>
        <v/>
      </c>
      <c r="CZ47" s="412">
        <f>CZ190</f>
        <v/>
      </c>
      <c r="DA47" s="412">
        <f>DA190</f>
        <v/>
      </c>
      <c r="DB47" s="412">
        <f>DB190</f>
        <v/>
      </c>
      <c r="DC47" s="412">
        <f>DC190</f>
        <v/>
      </c>
      <c r="DD47" s="412">
        <f>DD190</f>
        <v/>
      </c>
      <c r="DE47" s="412">
        <f>DE190</f>
        <v/>
      </c>
      <c r="DF47" s="412">
        <f>DF190</f>
        <v/>
      </c>
      <c r="DG47" s="412">
        <f>DG190</f>
        <v/>
      </c>
      <c r="DH47" s="412">
        <f>DH190</f>
        <v/>
      </c>
      <c r="DI47" s="412">
        <f>DI190</f>
        <v/>
      </c>
      <c r="DJ47" s="412">
        <f>DJ190</f>
        <v/>
      </c>
      <c r="DK47" s="412">
        <f>DK190</f>
        <v/>
      </c>
      <c r="DL47" s="412">
        <f>DL190</f>
        <v/>
      </c>
      <c r="DM47" s="412">
        <f>DM190</f>
        <v/>
      </c>
      <c r="DN47" s="412">
        <f>DN190</f>
        <v/>
      </c>
      <c r="DO47" s="412">
        <f>DO190</f>
        <v/>
      </c>
      <c r="DP47" s="412">
        <f>DP190</f>
        <v/>
      </c>
      <c r="DQ47" s="412">
        <f>DQ190</f>
        <v/>
      </c>
      <c r="DR47" s="412">
        <f>DR190</f>
        <v/>
      </c>
      <c r="DS47" s="412">
        <f>DS190</f>
        <v/>
      </c>
      <c r="DT47" s="412">
        <f>DT190</f>
        <v/>
      </c>
      <c r="DU47" s="412">
        <f>DU190</f>
        <v/>
      </c>
      <c r="DV47" s="412">
        <f>DV190</f>
        <v/>
      </c>
      <c r="DW47" s="322" t="inlineStr">
        <is>
          <t>x</t>
        </is>
      </c>
    </row>
    <row r="48" hidden="1" outlineLevel="1">
      <c r="C48" s="406" t="inlineStr">
        <is>
          <t>Tier IV</t>
        </is>
      </c>
      <c r="D48" s="410">
        <f>SUM(F48:DV48)</f>
        <v/>
      </c>
      <c r="E48" s="411" t="n"/>
      <c r="F48" s="412">
        <f>F208</f>
        <v/>
      </c>
      <c r="G48" s="412">
        <f>G208</f>
        <v/>
      </c>
      <c r="H48" s="412">
        <f>H208</f>
        <v/>
      </c>
      <c r="I48" s="412">
        <f>I208</f>
        <v/>
      </c>
      <c r="J48" s="412">
        <f>J208</f>
        <v/>
      </c>
      <c r="K48" s="412">
        <f>K208</f>
        <v/>
      </c>
      <c r="L48" s="412">
        <f>L208</f>
        <v/>
      </c>
      <c r="M48" s="412">
        <f>M208</f>
        <v/>
      </c>
      <c r="N48" s="412">
        <f>N208</f>
        <v/>
      </c>
      <c r="O48" s="412">
        <f>O208</f>
        <v/>
      </c>
      <c r="P48" s="412">
        <f>P208</f>
        <v/>
      </c>
      <c r="Q48" s="412">
        <f>Q208</f>
        <v/>
      </c>
      <c r="R48" s="412">
        <f>R208</f>
        <v/>
      </c>
      <c r="S48" s="412">
        <f>S208</f>
        <v/>
      </c>
      <c r="T48" s="412">
        <f>T208</f>
        <v/>
      </c>
      <c r="U48" s="412">
        <f>U208</f>
        <v/>
      </c>
      <c r="V48" s="412">
        <f>V208</f>
        <v/>
      </c>
      <c r="W48" s="412">
        <f>W208</f>
        <v/>
      </c>
      <c r="X48" s="412">
        <f>X208</f>
        <v/>
      </c>
      <c r="Y48" s="412">
        <f>Y208</f>
        <v/>
      </c>
      <c r="Z48" s="412">
        <f>Z208</f>
        <v/>
      </c>
      <c r="AA48" s="412">
        <f>AA208</f>
        <v/>
      </c>
      <c r="AB48" s="412">
        <f>AB208</f>
        <v/>
      </c>
      <c r="AC48" s="412">
        <f>AC208</f>
        <v/>
      </c>
      <c r="AD48" s="412">
        <f>AD208</f>
        <v/>
      </c>
      <c r="AE48" s="412">
        <f>AE208</f>
        <v/>
      </c>
      <c r="AF48" s="412">
        <f>AF208</f>
        <v/>
      </c>
      <c r="AG48" s="412">
        <f>AG208</f>
        <v/>
      </c>
      <c r="AH48" s="412">
        <f>AH208</f>
        <v/>
      </c>
      <c r="AI48" s="412">
        <f>AI208</f>
        <v/>
      </c>
      <c r="AJ48" s="412">
        <f>AJ208</f>
        <v/>
      </c>
      <c r="AK48" s="412">
        <f>AK208</f>
        <v/>
      </c>
      <c r="AL48" s="412">
        <f>AL208</f>
        <v/>
      </c>
      <c r="AM48" s="412">
        <f>AM208</f>
        <v/>
      </c>
      <c r="AN48" s="412">
        <f>AN208</f>
        <v/>
      </c>
      <c r="AO48" s="412">
        <f>AO208</f>
        <v/>
      </c>
      <c r="AP48" s="412">
        <f>AP208</f>
        <v/>
      </c>
      <c r="AQ48" s="412">
        <f>AQ208</f>
        <v/>
      </c>
      <c r="AR48" s="412">
        <f>AR208</f>
        <v/>
      </c>
      <c r="AS48" s="412">
        <f>AS208</f>
        <v/>
      </c>
      <c r="AT48" s="412">
        <f>AT208</f>
        <v/>
      </c>
      <c r="AU48" s="412">
        <f>AU208</f>
        <v/>
      </c>
      <c r="AV48" s="412">
        <f>AV208</f>
        <v/>
      </c>
      <c r="AW48" s="412">
        <f>AW208</f>
        <v/>
      </c>
      <c r="AX48" s="412">
        <f>AX208</f>
        <v/>
      </c>
      <c r="AY48" s="412">
        <f>AY208</f>
        <v/>
      </c>
      <c r="AZ48" s="412">
        <f>AZ208</f>
        <v/>
      </c>
      <c r="BA48" s="412">
        <f>BA208</f>
        <v/>
      </c>
      <c r="BB48" s="412">
        <f>BB208</f>
        <v/>
      </c>
      <c r="BC48" s="412">
        <f>BC208</f>
        <v/>
      </c>
      <c r="BD48" s="412">
        <f>BD208</f>
        <v/>
      </c>
      <c r="BE48" s="412">
        <f>BE208</f>
        <v/>
      </c>
      <c r="BF48" s="412">
        <f>BF208</f>
        <v/>
      </c>
      <c r="BG48" s="412">
        <f>BG208</f>
        <v/>
      </c>
      <c r="BH48" s="412">
        <f>BH208</f>
        <v/>
      </c>
      <c r="BI48" s="412">
        <f>BI208</f>
        <v/>
      </c>
      <c r="BJ48" s="412">
        <f>BJ208</f>
        <v/>
      </c>
      <c r="BK48" s="412">
        <f>BK208</f>
        <v/>
      </c>
      <c r="BL48" s="412">
        <f>BL208</f>
        <v/>
      </c>
      <c r="BM48" s="412">
        <f>BM208</f>
        <v/>
      </c>
      <c r="BN48" s="412">
        <f>BN208</f>
        <v/>
      </c>
      <c r="BO48" s="412">
        <f>BO208</f>
        <v/>
      </c>
      <c r="BP48" s="412">
        <f>BP208</f>
        <v/>
      </c>
      <c r="BQ48" s="412">
        <f>BQ208</f>
        <v/>
      </c>
      <c r="BR48" s="412">
        <f>BR208</f>
        <v/>
      </c>
      <c r="BS48" s="412">
        <f>BS208</f>
        <v/>
      </c>
      <c r="BT48" s="412">
        <f>BT208</f>
        <v/>
      </c>
      <c r="BU48" s="412">
        <f>BU208</f>
        <v/>
      </c>
      <c r="BV48" s="412">
        <f>BV208</f>
        <v/>
      </c>
      <c r="BW48" s="412">
        <f>BW208</f>
        <v/>
      </c>
      <c r="BX48" s="412">
        <f>BX208</f>
        <v/>
      </c>
      <c r="BY48" s="412">
        <f>BY208</f>
        <v/>
      </c>
      <c r="BZ48" s="412">
        <f>BZ208</f>
        <v/>
      </c>
      <c r="CA48" s="412">
        <f>CA208</f>
        <v/>
      </c>
      <c r="CB48" s="412">
        <f>CB208</f>
        <v/>
      </c>
      <c r="CC48" s="412">
        <f>CC208</f>
        <v/>
      </c>
      <c r="CD48" s="412">
        <f>CD208</f>
        <v/>
      </c>
      <c r="CE48" s="412">
        <f>CE208</f>
        <v/>
      </c>
      <c r="CF48" s="412">
        <f>CF208</f>
        <v/>
      </c>
      <c r="CG48" s="412">
        <f>CG208</f>
        <v/>
      </c>
      <c r="CH48" s="412">
        <f>CH208</f>
        <v/>
      </c>
      <c r="CI48" s="412">
        <f>CI208</f>
        <v/>
      </c>
      <c r="CJ48" s="412">
        <f>CJ208</f>
        <v/>
      </c>
      <c r="CK48" s="412">
        <f>CK208</f>
        <v/>
      </c>
      <c r="CL48" s="412">
        <f>CL208</f>
        <v/>
      </c>
      <c r="CM48" s="412">
        <f>CM208</f>
        <v/>
      </c>
      <c r="CN48" s="412">
        <f>CN208</f>
        <v/>
      </c>
      <c r="CO48" s="412">
        <f>CO208</f>
        <v/>
      </c>
      <c r="CP48" s="412">
        <f>CP208</f>
        <v/>
      </c>
      <c r="CQ48" s="412">
        <f>CQ208</f>
        <v/>
      </c>
      <c r="CR48" s="412">
        <f>CR208</f>
        <v/>
      </c>
      <c r="CS48" s="412">
        <f>CS208</f>
        <v/>
      </c>
      <c r="CT48" s="412">
        <f>CT208</f>
        <v/>
      </c>
      <c r="CU48" s="412">
        <f>CU208</f>
        <v/>
      </c>
      <c r="CV48" s="412">
        <f>CV208</f>
        <v/>
      </c>
      <c r="CW48" s="412">
        <f>CW208</f>
        <v/>
      </c>
      <c r="CX48" s="412">
        <f>CX208</f>
        <v/>
      </c>
      <c r="CY48" s="412">
        <f>CY208</f>
        <v/>
      </c>
      <c r="CZ48" s="412">
        <f>CZ208</f>
        <v/>
      </c>
      <c r="DA48" s="412">
        <f>DA208</f>
        <v/>
      </c>
      <c r="DB48" s="412">
        <f>DB208</f>
        <v/>
      </c>
      <c r="DC48" s="412">
        <f>DC208</f>
        <v/>
      </c>
      <c r="DD48" s="412">
        <f>DD208</f>
        <v/>
      </c>
      <c r="DE48" s="412">
        <f>DE208</f>
        <v/>
      </c>
      <c r="DF48" s="412">
        <f>DF208</f>
        <v/>
      </c>
      <c r="DG48" s="412">
        <f>DG208</f>
        <v/>
      </c>
      <c r="DH48" s="412">
        <f>DH208</f>
        <v/>
      </c>
      <c r="DI48" s="412">
        <f>DI208</f>
        <v/>
      </c>
      <c r="DJ48" s="412">
        <f>DJ208</f>
        <v/>
      </c>
      <c r="DK48" s="412">
        <f>DK208</f>
        <v/>
      </c>
      <c r="DL48" s="412">
        <f>DL208</f>
        <v/>
      </c>
      <c r="DM48" s="412">
        <f>DM208</f>
        <v/>
      </c>
      <c r="DN48" s="412">
        <f>DN208</f>
        <v/>
      </c>
      <c r="DO48" s="412">
        <f>DO208</f>
        <v/>
      </c>
      <c r="DP48" s="412">
        <f>DP208</f>
        <v/>
      </c>
      <c r="DQ48" s="412">
        <f>DQ208</f>
        <v/>
      </c>
      <c r="DR48" s="412">
        <f>DR208</f>
        <v/>
      </c>
      <c r="DS48" s="412">
        <f>DS208</f>
        <v/>
      </c>
      <c r="DT48" s="412">
        <f>DT208</f>
        <v/>
      </c>
      <c r="DU48" s="412">
        <f>DU208</f>
        <v/>
      </c>
      <c r="DV48" s="412">
        <f>DV208</f>
        <v/>
      </c>
      <c r="DW48" s="322" t="inlineStr">
        <is>
          <t>x</t>
        </is>
      </c>
    </row>
    <row r="49" hidden="1" outlineLevel="1">
      <c r="C49" s="406" t="inlineStr">
        <is>
          <t>Tier V</t>
        </is>
      </c>
      <c r="D49" s="410">
        <f>SUM(F49:DV49)</f>
        <v/>
      </c>
      <c r="E49" s="411" t="n"/>
      <c r="F49" s="412">
        <f>F217</f>
        <v/>
      </c>
      <c r="G49" s="412">
        <f>G217</f>
        <v/>
      </c>
      <c r="H49" s="412">
        <f>H217</f>
        <v/>
      </c>
      <c r="I49" s="412">
        <f>I217</f>
        <v/>
      </c>
      <c r="J49" s="412">
        <f>J217</f>
        <v/>
      </c>
      <c r="K49" s="412">
        <f>K217</f>
        <v/>
      </c>
      <c r="L49" s="412">
        <f>L217</f>
        <v/>
      </c>
      <c r="M49" s="412">
        <f>M217</f>
        <v/>
      </c>
      <c r="N49" s="412">
        <f>N217</f>
        <v/>
      </c>
      <c r="O49" s="412">
        <f>O217</f>
        <v/>
      </c>
      <c r="P49" s="412">
        <f>P217</f>
        <v/>
      </c>
      <c r="Q49" s="412">
        <f>Q217</f>
        <v/>
      </c>
      <c r="R49" s="412">
        <f>R217</f>
        <v/>
      </c>
      <c r="S49" s="412">
        <f>S217</f>
        <v/>
      </c>
      <c r="T49" s="412">
        <f>T217</f>
        <v/>
      </c>
      <c r="U49" s="412">
        <f>U217</f>
        <v/>
      </c>
      <c r="V49" s="412">
        <f>V217</f>
        <v/>
      </c>
      <c r="W49" s="412">
        <f>W217</f>
        <v/>
      </c>
      <c r="X49" s="412">
        <f>X217</f>
        <v/>
      </c>
      <c r="Y49" s="412">
        <f>Y217</f>
        <v/>
      </c>
      <c r="Z49" s="412">
        <f>Z217</f>
        <v/>
      </c>
      <c r="AA49" s="412">
        <f>AA217</f>
        <v/>
      </c>
      <c r="AB49" s="412">
        <f>AB217</f>
        <v/>
      </c>
      <c r="AC49" s="412">
        <f>AC217</f>
        <v/>
      </c>
      <c r="AD49" s="412">
        <f>AD217</f>
        <v/>
      </c>
      <c r="AE49" s="412">
        <f>AE217</f>
        <v/>
      </c>
      <c r="AF49" s="412">
        <f>AF217</f>
        <v/>
      </c>
      <c r="AG49" s="412">
        <f>AG217</f>
        <v/>
      </c>
      <c r="AH49" s="412">
        <f>AH217</f>
        <v/>
      </c>
      <c r="AI49" s="412">
        <f>AI217</f>
        <v/>
      </c>
      <c r="AJ49" s="412">
        <f>AJ217</f>
        <v/>
      </c>
      <c r="AK49" s="412">
        <f>AK217</f>
        <v/>
      </c>
      <c r="AL49" s="412">
        <f>AL217</f>
        <v/>
      </c>
      <c r="AM49" s="412">
        <f>AM217</f>
        <v/>
      </c>
      <c r="AN49" s="412">
        <f>AN217</f>
        <v/>
      </c>
      <c r="AO49" s="412">
        <f>AO217</f>
        <v/>
      </c>
      <c r="AP49" s="412">
        <f>AP217</f>
        <v/>
      </c>
      <c r="AQ49" s="412">
        <f>AQ217</f>
        <v/>
      </c>
      <c r="AR49" s="412">
        <f>AR217</f>
        <v/>
      </c>
      <c r="AS49" s="412">
        <f>AS217</f>
        <v/>
      </c>
      <c r="AT49" s="412">
        <f>AT217</f>
        <v/>
      </c>
      <c r="AU49" s="412">
        <f>AU217</f>
        <v/>
      </c>
      <c r="AV49" s="412">
        <f>AV217</f>
        <v/>
      </c>
      <c r="AW49" s="412">
        <f>AW217</f>
        <v/>
      </c>
      <c r="AX49" s="412">
        <f>AX217</f>
        <v/>
      </c>
      <c r="AY49" s="412">
        <f>AY217</f>
        <v/>
      </c>
      <c r="AZ49" s="412">
        <f>AZ217</f>
        <v/>
      </c>
      <c r="BA49" s="412">
        <f>BA217</f>
        <v/>
      </c>
      <c r="BB49" s="412">
        <f>BB217</f>
        <v/>
      </c>
      <c r="BC49" s="412">
        <f>BC217</f>
        <v/>
      </c>
      <c r="BD49" s="412">
        <f>BD217</f>
        <v/>
      </c>
      <c r="BE49" s="412">
        <f>BE217</f>
        <v/>
      </c>
      <c r="BF49" s="412">
        <f>BF217</f>
        <v/>
      </c>
      <c r="BG49" s="412">
        <f>BG217</f>
        <v/>
      </c>
      <c r="BH49" s="412">
        <f>BH217</f>
        <v/>
      </c>
      <c r="BI49" s="412">
        <f>BI217</f>
        <v/>
      </c>
      <c r="BJ49" s="412">
        <f>BJ217</f>
        <v/>
      </c>
      <c r="BK49" s="412">
        <f>BK217</f>
        <v/>
      </c>
      <c r="BL49" s="412">
        <f>BL217</f>
        <v/>
      </c>
      <c r="BM49" s="412">
        <f>BM217</f>
        <v/>
      </c>
      <c r="BN49" s="412">
        <f>BN217</f>
        <v/>
      </c>
      <c r="BO49" s="412">
        <f>BO217</f>
        <v/>
      </c>
      <c r="BP49" s="412">
        <f>BP217</f>
        <v/>
      </c>
      <c r="BQ49" s="412">
        <f>BQ217</f>
        <v/>
      </c>
      <c r="BR49" s="412">
        <f>BR217</f>
        <v/>
      </c>
      <c r="BS49" s="412">
        <f>BS217</f>
        <v/>
      </c>
      <c r="BT49" s="412">
        <f>BT217</f>
        <v/>
      </c>
      <c r="BU49" s="412">
        <f>BU217</f>
        <v/>
      </c>
      <c r="BV49" s="412">
        <f>BV217</f>
        <v/>
      </c>
      <c r="BW49" s="412">
        <f>BW217</f>
        <v/>
      </c>
      <c r="BX49" s="412">
        <f>BX217</f>
        <v/>
      </c>
      <c r="BY49" s="412">
        <f>BY217</f>
        <v/>
      </c>
      <c r="BZ49" s="412">
        <f>BZ217</f>
        <v/>
      </c>
      <c r="CA49" s="412">
        <f>CA217</f>
        <v/>
      </c>
      <c r="CB49" s="412">
        <f>CB217</f>
        <v/>
      </c>
      <c r="CC49" s="412">
        <f>CC217</f>
        <v/>
      </c>
      <c r="CD49" s="412">
        <f>CD217</f>
        <v/>
      </c>
      <c r="CE49" s="412">
        <f>CE217</f>
        <v/>
      </c>
      <c r="CF49" s="412">
        <f>CF217</f>
        <v/>
      </c>
      <c r="CG49" s="412">
        <f>CG217</f>
        <v/>
      </c>
      <c r="CH49" s="412">
        <f>CH217</f>
        <v/>
      </c>
      <c r="CI49" s="412">
        <f>CI217</f>
        <v/>
      </c>
      <c r="CJ49" s="412">
        <f>CJ217</f>
        <v/>
      </c>
      <c r="CK49" s="412">
        <f>CK217</f>
        <v/>
      </c>
      <c r="CL49" s="412">
        <f>CL217</f>
        <v/>
      </c>
      <c r="CM49" s="412">
        <f>CM217</f>
        <v/>
      </c>
      <c r="CN49" s="412">
        <f>CN217</f>
        <v/>
      </c>
      <c r="CO49" s="412">
        <f>CO217</f>
        <v/>
      </c>
      <c r="CP49" s="412">
        <f>CP217</f>
        <v/>
      </c>
      <c r="CQ49" s="412">
        <f>CQ217</f>
        <v/>
      </c>
      <c r="CR49" s="412">
        <f>CR217</f>
        <v/>
      </c>
      <c r="CS49" s="412">
        <f>CS217</f>
        <v/>
      </c>
      <c r="CT49" s="412">
        <f>CT217</f>
        <v/>
      </c>
      <c r="CU49" s="412">
        <f>CU217</f>
        <v/>
      </c>
      <c r="CV49" s="412">
        <f>CV217</f>
        <v/>
      </c>
      <c r="CW49" s="412">
        <f>CW217</f>
        <v/>
      </c>
      <c r="CX49" s="412">
        <f>CX217</f>
        <v/>
      </c>
      <c r="CY49" s="412">
        <f>CY217</f>
        <v/>
      </c>
      <c r="CZ49" s="412">
        <f>CZ217</f>
        <v/>
      </c>
      <c r="DA49" s="412">
        <f>DA217</f>
        <v/>
      </c>
      <c r="DB49" s="412">
        <f>DB217</f>
        <v/>
      </c>
      <c r="DC49" s="412">
        <f>DC217</f>
        <v/>
      </c>
      <c r="DD49" s="412">
        <f>DD217</f>
        <v/>
      </c>
      <c r="DE49" s="412">
        <f>DE217</f>
        <v/>
      </c>
      <c r="DF49" s="412">
        <f>DF217</f>
        <v/>
      </c>
      <c r="DG49" s="412">
        <f>DG217</f>
        <v/>
      </c>
      <c r="DH49" s="412">
        <f>DH217</f>
        <v/>
      </c>
      <c r="DI49" s="412">
        <f>DI217</f>
        <v/>
      </c>
      <c r="DJ49" s="412">
        <f>DJ217</f>
        <v/>
      </c>
      <c r="DK49" s="412">
        <f>DK217</f>
        <v/>
      </c>
      <c r="DL49" s="412">
        <f>DL217</f>
        <v/>
      </c>
      <c r="DM49" s="412">
        <f>DM217</f>
        <v/>
      </c>
      <c r="DN49" s="412">
        <f>DN217</f>
        <v/>
      </c>
      <c r="DO49" s="412">
        <f>DO217</f>
        <v/>
      </c>
      <c r="DP49" s="412">
        <f>DP217</f>
        <v/>
      </c>
      <c r="DQ49" s="412">
        <f>DQ217</f>
        <v/>
      </c>
      <c r="DR49" s="412">
        <f>DR217</f>
        <v/>
      </c>
      <c r="DS49" s="412">
        <f>DS217</f>
        <v/>
      </c>
      <c r="DT49" s="412">
        <f>DT217</f>
        <v/>
      </c>
      <c r="DU49" s="412">
        <f>DU217</f>
        <v/>
      </c>
      <c r="DV49" s="412">
        <f>DV217</f>
        <v/>
      </c>
      <c r="DW49" s="322" t="inlineStr">
        <is>
          <t>x</t>
        </is>
      </c>
    </row>
    <row r="50" hidden="1" outlineLevel="1" ht="17.25" customHeight="1" thickBot="1">
      <c r="C50" s="372" t="inlineStr">
        <is>
          <t>Total</t>
        </is>
      </c>
      <c r="D50" s="656">
        <f>SUM(D45:D49)</f>
        <v/>
      </c>
      <c r="E50" s="657" t="n"/>
      <c r="F50" s="658">
        <f>SUM(F45:F49)</f>
        <v/>
      </c>
      <c r="G50" s="658">
        <f>SUM(G45:G49)</f>
        <v/>
      </c>
      <c r="H50" s="658">
        <f>SUM(H45:H49)</f>
        <v/>
      </c>
      <c r="I50" s="658">
        <f>SUM(I45:I49)</f>
        <v/>
      </c>
      <c r="J50" s="658">
        <f>SUM(J45:J49)</f>
        <v/>
      </c>
      <c r="K50" s="658">
        <f>SUM(K45:K49)</f>
        <v/>
      </c>
      <c r="L50" s="658">
        <f>SUM(L45:L49)</f>
        <v/>
      </c>
      <c r="M50" s="658">
        <f>SUM(M45:M49)</f>
        <v/>
      </c>
      <c r="N50" s="658">
        <f>SUM(N45:N49)</f>
        <v/>
      </c>
      <c r="O50" s="658">
        <f>SUM(O45:O49)</f>
        <v/>
      </c>
      <c r="P50" s="658">
        <f>SUM(P45:P49)</f>
        <v/>
      </c>
      <c r="Q50" s="658">
        <f>SUM(Q45:Q49)</f>
        <v/>
      </c>
      <c r="R50" s="658">
        <f>SUM(R45:R49)</f>
        <v/>
      </c>
      <c r="S50" s="658">
        <f>SUM(S45:S49)</f>
        <v/>
      </c>
      <c r="T50" s="658">
        <f>SUM(T45:T49)</f>
        <v/>
      </c>
      <c r="U50" s="658">
        <f>SUM(U45:U49)</f>
        <v/>
      </c>
      <c r="V50" s="658">
        <f>SUM(V45:V49)</f>
        <v/>
      </c>
      <c r="W50" s="658">
        <f>SUM(W45:W49)</f>
        <v/>
      </c>
      <c r="X50" s="658">
        <f>SUM(X45:X49)</f>
        <v/>
      </c>
      <c r="Y50" s="658">
        <f>SUM(Y45:Y49)</f>
        <v/>
      </c>
      <c r="Z50" s="658">
        <f>SUM(Z45:Z49)</f>
        <v/>
      </c>
      <c r="AA50" s="658">
        <f>SUM(AA45:AA49)</f>
        <v/>
      </c>
      <c r="AB50" s="658">
        <f>SUM(AB45:AB49)</f>
        <v/>
      </c>
      <c r="AC50" s="658">
        <f>SUM(AC45:AC49)</f>
        <v/>
      </c>
      <c r="AD50" s="658">
        <f>SUM(AD45:AD49)</f>
        <v/>
      </c>
      <c r="AE50" s="658">
        <f>SUM(AE45:AE49)</f>
        <v/>
      </c>
      <c r="AF50" s="658">
        <f>SUM(AF45:AF49)</f>
        <v/>
      </c>
      <c r="AG50" s="658">
        <f>SUM(AG45:AG49)</f>
        <v/>
      </c>
      <c r="AH50" s="658">
        <f>SUM(AH45:AH49)</f>
        <v/>
      </c>
      <c r="AI50" s="658">
        <f>SUM(AI45:AI49)</f>
        <v/>
      </c>
      <c r="AJ50" s="658">
        <f>SUM(AJ45:AJ49)</f>
        <v/>
      </c>
      <c r="AK50" s="658">
        <f>SUM(AK45:AK49)</f>
        <v/>
      </c>
      <c r="AL50" s="658">
        <f>SUM(AL45:AL49)</f>
        <v/>
      </c>
      <c r="AM50" s="658">
        <f>SUM(AM45:AM49)</f>
        <v/>
      </c>
      <c r="AN50" s="658">
        <f>SUM(AN45:AN49)</f>
        <v/>
      </c>
      <c r="AO50" s="658">
        <f>SUM(AO45:AO49)</f>
        <v/>
      </c>
      <c r="AP50" s="658">
        <f>SUM(AP45:AP49)</f>
        <v/>
      </c>
      <c r="AQ50" s="658">
        <f>SUM(AQ45:AQ49)</f>
        <v/>
      </c>
      <c r="AR50" s="658">
        <f>SUM(AR45:AR49)</f>
        <v/>
      </c>
      <c r="AS50" s="658">
        <f>SUM(AS45:AS49)</f>
        <v/>
      </c>
      <c r="AT50" s="658">
        <f>SUM(AT45:AT49)</f>
        <v/>
      </c>
      <c r="AU50" s="658">
        <f>SUM(AU45:AU49)</f>
        <v/>
      </c>
      <c r="AV50" s="658">
        <f>SUM(AV45:AV49)</f>
        <v/>
      </c>
      <c r="AW50" s="658">
        <f>SUM(AW45:AW49)</f>
        <v/>
      </c>
      <c r="AX50" s="658">
        <f>SUM(AX45:AX49)</f>
        <v/>
      </c>
      <c r="AY50" s="658">
        <f>SUM(AY45:AY49)</f>
        <v/>
      </c>
      <c r="AZ50" s="658">
        <f>SUM(AZ45:AZ49)</f>
        <v/>
      </c>
      <c r="BA50" s="658">
        <f>SUM(BA45:BA49)</f>
        <v/>
      </c>
      <c r="BB50" s="658">
        <f>SUM(BB45:BB49)</f>
        <v/>
      </c>
      <c r="BC50" s="658">
        <f>SUM(BC45:BC49)</f>
        <v/>
      </c>
      <c r="BD50" s="658">
        <f>SUM(BD45:BD49)</f>
        <v/>
      </c>
      <c r="BE50" s="658">
        <f>SUM(BE45:BE49)</f>
        <v/>
      </c>
      <c r="BF50" s="658">
        <f>SUM(BF45:BF49)</f>
        <v/>
      </c>
      <c r="BG50" s="658">
        <f>SUM(BG45:BG49)</f>
        <v/>
      </c>
      <c r="BH50" s="658">
        <f>SUM(BH45:BH49)</f>
        <v/>
      </c>
      <c r="BI50" s="658">
        <f>SUM(BI45:BI49)</f>
        <v/>
      </c>
      <c r="BJ50" s="658">
        <f>SUM(BJ45:BJ49)</f>
        <v/>
      </c>
      <c r="BK50" s="658">
        <f>SUM(BK45:BK49)</f>
        <v/>
      </c>
      <c r="BL50" s="658">
        <f>SUM(BL45:BL49)</f>
        <v/>
      </c>
      <c r="BM50" s="658">
        <f>SUM(BM45:BM49)</f>
        <v/>
      </c>
      <c r="BN50" s="658">
        <f>SUM(BN45:BN49)</f>
        <v/>
      </c>
      <c r="BO50" s="658">
        <f>SUM(BO45:BO49)</f>
        <v/>
      </c>
      <c r="BP50" s="658">
        <f>SUM(BP45:BP49)</f>
        <v/>
      </c>
      <c r="BQ50" s="658">
        <f>SUM(BQ45:BQ49)</f>
        <v/>
      </c>
      <c r="BR50" s="658">
        <f>SUM(BR45:BR49)</f>
        <v/>
      </c>
      <c r="BS50" s="658">
        <f>SUM(BS45:BS49)</f>
        <v/>
      </c>
      <c r="BT50" s="658">
        <f>SUM(BT45:BT49)</f>
        <v/>
      </c>
      <c r="BU50" s="658">
        <f>SUM(BU45:BU49)</f>
        <v/>
      </c>
      <c r="BV50" s="658">
        <f>SUM(BV45:BV49)</f>
        <v/>
      </c>
      <c r="BW50" s="658">
        <f>SUM(BW45:BW49)</f>
        <v/>
      </c>
      <c r="BX50" s="658">
        <f>SUM(BX45:BX49)</f>
        <v/>
      </c>
      <c r="BY50" s="658">
        <f>SUM(BY45:BY49)</f>
        <v/>
      </c>
      <c r="BZ50" s="658">
        <f>SUM(BZ45:BZ49)</f>
        <v/>
      </c>
      <c r="CA50" s="658">
        <f>SUM(CA45:CA49)</f>
        <v/>
      </c>
      <c r="CB50" s="658">
        <f>SUM(CB45:CB49)</f>
        <v/>
      </c>
      <c r="CC50" s="658">
        <f>SUM(CC45:CC49)</f>
        <v/>
      </c>
      <c r="CD50" s="658">
        <f>SUM(CD45:CD49)</f>
        <v/>
      </c>
      <c r="CE50" s="658">
        <f>SUM(CE45:CE49)</f>
        <v/>
      </c>
      <c r="CF50" s="658">
        <f>SUM(CF45:CF49)</f>
        <v/>
      </c>
      <c r="CG50" s="658">
        <f>SUM(CG45:CG49)</f>
        <v/>
      </c>
      <c r="CH50" s="658">
        <f>SUM(CH45:CH49)</f>
        <v/>
      </c>
      <c r="CI50" s="658">
        <f>SUM(CI45:CI49)</f>
        <v/>
      </c>
      <c r="CJ50" s="658">
        <f>SUM(CJ45:CJ49)</f>
        <v/>
      </c>
      <c r="CK50" s="658">
        <f>SUM(CK45:CK49)</f>
        <v/>
      </c>
      <c r="CL50" s="658">
        <f>SUM(CL45:CL49)</f>
        <v/>
      </c>
      <c r="CM50" s="658">
        <f>SUM(CM45:CM49)</f>
        <v/>
      </c>
      <c r="CN50" s="658">
        <f>SUM(CN45:CN49)</f>
        <v/>
      </c>
      <c r="CO50" s="658">
        <f>SUM(CO45:CO49)</f>
        <v/>
      </c>
      <c r="CP50" s="658">
        <f>SUM(CP45:CP49)</f>
        <v/>
      </c>
      <c r="CQ50" s="658">
        <f>SUM(CQ45:CQ49)</f>
        <v/>
      </c>
      <c r="CR50" s="658">
        <f>SUM(CR45:CR49)</f>
        <v/>
      </c>
      <c r="CS50" s="658">
        <f>SUM(CS45:CS49)</f>
        <v/>
      </c>
      <c r="CT50" s="658">
        <f>SUM(CT45:CT49)</f>
        <v/>
      </c>
      <c r="CU50" s="658">
        <f>SUM(CU45:CU49)</f>
        <v/>
      </c>
      <c r="CV50" s="658">
        <f>SUM(CV45:CV49)</f>
        <v/>
      </c>
      <c r="CW50" s="658">
        <f>SUM(CW45:CW49)</f>
        <v/>
      </c>
      <c r="CX50" s="658">
        <f>SUM(CX45:CX49)</f>
        <v/>
      </c>
      <c r="CY50" s="658">
        <f>SUM(CY45:CY49)</f>
        <v/>
      </c>
      <c r="CZ50" s="658">
        <f>SUM(CZ45:CZ49)</f>
        <v/>
      </c>
      <c r="DA50" s="658">
        <f>SUM(DA45:DA49)</f>
        <v/>
      </c>
      <c r="DB50" s="658">
        <f>SUM(DB45:DB49)</f>
        <v/>
      </c>
      <c r="DC50" s="658">
        <f>SUM(DC45:DC49)</f>
        <v/>
      </c>
      <c r="DD50" s="658">
        <f>SUM(DD45:DD49)</f>
        <v/>
      </c>
      <c r="DE50" s="658">
        <f>SUM(DE45:DE49)</f>
        <v/>
      </c>
      <c r="DF50" s="658">
        <f>SUM(DF45:DF49)</f>
        <v/>
      </c>
      <c r="DG50" s="658">
        <f>SUM(DG45:DG49)</f>
        <v/>
      </c>
      <c r="DH50" s="658">
        <f>SUM(DH45:DH49)</f>
        <v/>
      </c>
      <c r="DI50" s="658">
        <f>SUM(DI45:DI49)</f>
        <v/>
      </c>
      <c r="DJ50" s="658">
        <f>SUM(DJ45:DJ49)</f>
        <v/>
      </c>
      <c r="DK50" s="658">
        <f>SUM(DK45:DK49)</f>
        <v/>
      </c>
      <c r="DL50" s="658">
        <f>SUM(DL45:DL49)</f>
        <v/>
      </c>
      <c r="DM50" s="658">
        <f>SUM(DM45:DM49)</f>
        <v/>
      </c>
      <c r="DN50" s="658">
        <f>SUM(DN45:DN49)</f>
        <v/>
      </c>
      <c r="DO50" s="658">
        <f>SUM(DO45:DO49)</f>
        <v/>
      </c>
      <c r="DP50" s="658">
        <f>SUM(DP45:DP49)</f>
        <v/>
      </c>
      <c r="DQ50" s="658">
        <f>SUM(DQ45:DQ49)</f>
        <v/>
      </c>
      <c r="DR50" s="658">
        <f>SUM(DR45:DR49)</f>
        <v/>
      </c>
      <c r="DS50" s="658">
        <f>SUM(DS45:DS49)</f>
        <v/>
      </c>
      <c r="DT50" s="658">
        <f>SUM(DT45:DT49)</f>
        <v/>
      </c>
      <c r="DU50" s="658">
        <f>SUM(DU45:DU49)</f>
        <v/>
      </c>
      <c r="DV50" s="658">
        <f>SUM(DV45:DV49)</f>
        <v/>
      </c>
      <c r="DW50" s="322" t="inlineStr">
        <is>
          <t>x</t>
        </is>
      </c>
    </row>
    <row r="51" hidden="1" outlineLevel="1" ht="17.25" customHeight="1" thickTop="1">
      <c r="C51" s="360" t="n"/>
      <c r="D51" s="360" t="n"/>
      <c r="E51" s="360" t="n"/>
      <c r="F51" s="360" t="n"/>
      <c r="G51" s="360" t="n"/>
      <c r="H51" s="360" t="n"/>
      <c r="I51" s="360" t="n"/>
      <c r="J51" s="360" t="n"/>
      <c r="K51" s="360" t="n"/>
      <c r="L51" s="360" t="n"/>
      <c r="M51" s="360" t="n"/>
      <c r="N51" s="360" t="n"/>
      <c r="O51" s="360" t="n"/>
      <c r="P51" s="360" t="n"/>
      <c r="Q51" s="360" t="n"/>
      <c r="R51" s="360" t="n"/>
      <c r="S51" s="360" t="n"/>
      <c r="T51" s="360" t="n"/>
      <c r="U51" s="360" t="n"/>
      <c r="V51" s="360" t="n"/>
      <c r="W51" s="360" t="n"/>
      <c r="X51" s="360" t="n"/>
      <c r="Y51" s="360" t="n"/>
      <c r="Z51" s="360" t="n"/>
      <c r="AA51" s="360" t="n"/>
      <c r="AB51" s="360" t="n"/>
      <c r="AC51" s="360" t="n"/>
      <c r="AD51" s="360" t="n"/>
      <c r="AE51" s="360" t="n"/>
      <c r="AF51" s="360" t="n"/>
      <c r="AG51" s="360" t="n"/>
      <c r="AH51" s="360" t="n"/>
      <c r="AI51" s="360" t="n"/>
      <c r="AJ51" s="360" t="n"/>
      <c r="AK51" s="360" t="n"/>
      <c r="AL51" s="360" t="n"/>
      <c r="AM51" s="360" t="n"/>
      <c r="AN51" s="360" t="n"/>
      <c r="AO51" s="360" t="n"/>
      <c r="AP51" s="360" t="n"/>
      <c r="AQ51" s="360" t="n"/>
      <c r="AR51" s="360" t="n"/>
      <c r="AS51" s="360" t="n"/>
      <c r="AT51" s="360" t="n"/>
      <c r="AU51" s="360" t="n"/>
      <c r="AV51" s="360" t="n"/>
      <c r="AW51" s="360" t="n"/>
      <c r="AX51" s="360" t="n"/>
      <c r="AY51" s="360" t="n"/>
      <c r="AZ51" s="360" t="n"/>
      <c r="BA51" s="360" t="n"/>
      <c r="BB51" s="360" t="n"/>
      <c r="BC51" s="360" t="n"/>
      <c r="BD51" s="360" t="n"/>
      <c r="BE51" s="360" t="n"/>
      <c r="BF51" s="360" t="n"/>
      <c r="BG51" s="360" t="n"/>
      <c r="BH51" s="360" t="n"/>
      <c r="BI51" s="360" t="n"/>
      <c r="BJ51" s="360" t="n"/>
      <c r="BK51" s="360" t="n"/>
      <c r="BL51" s="360" t="n"/>
      <c r="BM51" s="360" t="n"/>
      <c r="BN51" s="360" t="n"/>
      <c r="BO51" s="360" t="n"/>
      <c r="BP51" s="360" t="n"/>
      <c r="BQ51" s="360" t="n"/>
      <c r="BR51" s="360" t="n"/>
      <c r="BS51" s="360" t="n"/>
      <c r="BT51" s="360" t="n"/>
      <c r="BU51" s="360" t="n"/>
      <c r="BV51" s="360" t="n"/>
      <c r="BW51" s="360" t="n"/>
      <c r="BX51" s="360" t="n"/>
      <c r="BY51" s="360" t="n"/>
      <c r="BZ51" s="360" t="n"/>
      <c r="CA51" s="360" t="n"/>
      <c r="CB51" s="360" t="n"/>
      <c r="CC51" s="360" t="n"/>
      <c r="CD51" s="360" t="n"/>
      <c r="CE51" s="360" t="n"/>
      <c r="CF51" s="360" t="n"/>
      <c r="CG51" s="360" t="n"/>
      <c r="CH51" s="360" t="n"/>
      <c r="CI51" s="360" t="n"/>
      <c r="CJ51" s="360" t="n"/>
      <c r="CK51" s="360" t="n"/>
      <c r="CL51" s="360" t="n"/>
      <c r="CM51" s="360" t="n"/>
      <c r="CN51" s="360" t="n"/>
      <c r="CO51" s="360" t="n"/>
      <c r="CP51" s="360" t="n"/>
      <c r="CQ51" s="360" t="n"/>
      <c r="CR51" s="360" t="n"/>
      <c r="CS51" s="360" t="n"/>
      <c r="CT51" s="360" t="n"/>
      <c r="CU51" s="360" t="n"/>
      <c r="CV51" s="360" t="n"/>
      <c r="CW51" s="360" t="n"/>
      <c r="CX51" s="360" t="n"/>
      <c r="CY51" s="360" t="n"/>
      <c r="CZ51" s="360" t="n"/>
      <c r="DA51" s="360" t="n"/>
      <c r="DB51" s="360" t="n"/>
      <c r="DC51" s="360" t="n"/>
      <c r="DD51" s="360" t="n"/>
      <c r="DE51" s="360" t="n"/>
      <c r="DF51" s="360" t="n"/>
      <c r="DG51" s="360" t="n"/>
      <c r="DH51" s="360" t="n"/>
      <c r="DI51" s="360" t="n"/>
      <c r="DJ51" s="360" t="n"/>
      <c r="DK51" s="360" t="n"/>
      <c r="DL51" s="360" t="n"/>
      <c r="DM51" s="360" t="n"/>
      <c r="DN51" s="360" t="n"/>
      <c r="DO51" s="360" t="n"/>
      <c r="DP51" s="360" t="n"/>
      <c r="DQ51" s="360" t="n"/>
      <c r="DR51" s="360" t="n"/>
      <c r="DS51" s="360" t="n"/>
      <c r="DT51" s="360" t="n"/>
      <c r="DU51" s="360" t="n"/>
      <c r="DV51" s="360" t="n"/>
      <c r="DW51" s="322" t="inlineStr">
        <is>
          <t>x</t>
        </is>
      </c>
    </row>
    <row r="52" hidden="1" outlineLevel="1">
      <c r="C52" s="416">
        <f>H37&amp;" Returns"</f>
        <v/>
      </c>
      <c r="D52" s="417" t="n"/>
      <c r="E52" s="360" t="n"/>
      <c r="F52" s="360" t="n"/>
      <c r="G52" s="447" t="n"/>
      <c r="H52" s="419" t="n">
        <v>0</v>
      </c>
      <c r="I52" s="420" t="n">
        <v>1</v>
      </c>
      <c r="J52" s="360" t="n"/>
      <c r="K52" s="360" t="n"/>
      <c r="L52" s="360" t="n"/>
      <c r="M52" s="360" t="n"/>
      <c r="N52" s="360" t="n"/>
      <c r="O52" s="360" t="n"/>
      <c r="P52" s="360" t="n"/>
      <c r="Q52" s="360" t="n"/>
      <c r="R52" s="360" t="n"/>
      <c r="S52" s="360" t="n"/>
      <c r="T52" s="360" t="n"/>
      <c r="U52" s="360" t="n"/>
      <c r="V52" s="360" t="n"/>
      <c r="W52" s="360" t="n"/>
      <c r="X52" s="360" t="n"/>
      <c r="Y52" s="360" t="n"/>
      <c r="Z52" s="360" t="n"/>
      <c r="AA52" s="360" t="n"/>
      <c r="AB52" s="360" t="n"/>
      <c r="AC52" s="360" t="n"/>
      <c r="AD52" s="360" t="n"/>
      <c r="AE52" s="360" t="n"/>
      <c r="AF52" s="360" t="n"/>
      <c r="AG52" s="360" t="n"/>
      <c r="AH52" s="360" t="n"/>
      <c r="AI52" s="360" t="n"/>
      <c r="AJ52" s="360" t="n"/>
      <c r="AK52" s="360" t="n"/>
      <c r="AL52" s="360" t="n"/>
      <c r="AM52" s="360" t="n"/>
      <c r="AN52" s="360" t="n"/>
      <c r="AO52" s="360" t="n"/>
      <c r="AP52" s="360" t="n"/>
      <c r="AQ52" s="360" t="n"/>
      <c r="AR52" s="360" t="n"/>
      <c r="AS52" s="360" t="n"/>
      <c r="AT52" s="360" t="n"/>
      <c r="AU52" s="360" t="n"/>
      <c r="AV52" s="360" t="n"/>
      <c r="AW52" s="360" t="n"/>
      <c r="AX52" s="360" t="n"/>
      <c r="AY52" s="360" t="n"/>
      <c r="AZ52" s="360" t="n"/>
      <c r="BA52" s="360" t="n"/>
      <c r="BB52" s="360" t="n"/>
      <c r="BC52" s="360" t="n"/>
      <c r="BD52" s="360" t="n"/>
      <c r="BE52" s="360" t="n"/>
      <c r="BF52" s="360" t="n"/>
      <c r="BG52" s="360" t="n"/>
      <c r="BH52" s="360" t="n"/>
      <c r="BI52" s="655" t="n"/>
      <c r="BJ52" s="360" t="n"/>
      <c r="BK52" s="360" t="n"/>
      <c r="BL52" s="360" t="n"/>
      <c r="BM52" s="360" t="n"/>
      <c r="BN52" s="360" t="n"/>
      <c r="BO52" s="360" t="n"/>
      <c r="BP52" s="360" t="n"/>
      <c r="BQ52" s="360" t="n"/>
      <c r="BR52" s="360" t="n"/>
      <c r="BS52" s="360" t="n"/>
      <c r="BT52" s="360" t="n"/>
      <c r="BU52" s="360" t="n"/>
      <c r="BV52" s="360" t="n"/>
      <c r="BW52" s="360" t="n"/>
      <c r="BX52" s="360" t="n"/>
      <c r="BY52" s="360" t="n"/>
      <c r="BZ52" s="360" t="n"/>
      <c r="CA52" s="360" t="n"/>
      <c r="CB52" s="360" t="n"/>
      <c r="CC52" s="360" t="n"/>
      <c r="CD52" s="360" t="n"/>
      <c r="CE52" s="360" t="n"/>
      <c r="CF52" s="360" t="n"/>
      <c r="CG52" s="360" t="n"/>
      <c r="CH52" s="360" t="n"/>
      <c r="CI52" s="360" t="n"/>
      <c r="CJ52" s="360" t="n"/>
      <c r="CK52" s="360" t="n"/>
      <c r="CL52" s="360" t="n"/>
      <c r="CM52" s="360" t="n"/>
      <c r="CN52" s="360" t="n"/>
      <c r="CO52" s="360" t="n"/>
      <c r="CP52" s="360" t="n"/>
      <c r="CQ52" s="360" t="n"/>
      <c r="CR52" s="360" t="n"/>
      <c r="CS52" s="360" t="n"/>
      <c r="CT52" s="360" t="n"/>
      <c r="CU52" s="360" t="n"/>
      <c r="CV52" s="360" t="n"/>
      <c r="CW52" s="360" t="n"/>
      <c r="CX52" s="360" t="n"/>
      <c r="CY52" s="360" t="n"/>
      <c r="CZ52" s="360" t="n"/>
      <c r="DA52" s="360" t="n"/>
      <c r="DB52" s="360" t="n"/>
      <c r="DC52" s="360" t="n"/>
      <c r="DD52" s="360" t="n"/>
      <c r="DE52" s="360" t="n"/>
      <c r="DF52" s="360" t="n"/>
      <c r="DG52" s="360" t="n"/>
      <c r="DH52" s="360" t="n"/>
      <c r="DI52" s="360" t="n"/>
      <c r="DJ52" s="360" t="n"/>
      <c r="DK52" s="360" t="n"/>
      <c r="DL52" s="360" t="n"/>
      <c r="DM52" s="360" t="n"/>
      <c r="DN52" s="360" t="n"/>
      <c r="DO52" s="360" t="n"/>
      <c r="DP52" s="360" t="n"/>
      <c r="DQ52" s="360" t="n"/>
      <c r="DR52" s="360" t="n"/>
      <c r="DS52" s="360" t="n"/>
      <c r="DT52" s="360" t="n"/>
      <c r="DU52" s="360" t="n"/>
      <c r="DV52" s="360" t="n"/>
      <c r="DW52" s="322" t="inlineStr">
        <is>
          <t>x</t>
        </is>
      </c>
    </row>
    <row r="53" hidden="1" outlineLevel="1">
      <c r="C53" s="421" t="inlineStr">
        <is>
          <t>IRR</t>
        </is>
      </c>
      <c r="D53" s="422">
        <f>XIRR(F50:DV50,$F$9:$DV$9)</f>
        <v/>
      </c>
      <c r="F53" s="360" t="n"/>
      <c r="G53" s="659">
        <f>D53</f>
        <v/>
      </c>
      <c r="H53" s="424">
        <f t="dataTable" ref="H53:I55" dt2D="0" dtr="1" r1="C27" ca="1"/>
        <v/>
      </c>
      <c r="I53" s="425" t="n">
        <v>0.2101825416088105</v>
      </c>
      <c r="J53" s="360" t="n"/>
      <c r="K53" s="360" t="n"/>
      <c r="L53" s="360" t="n"/>
      <c r="M53" s="360" t="n"/>
      <c r="N53" s="360" t="n"/>
      <c r="O53" s="360" t="n"/>
      <c r="P53" s="360" t="n"/>
      <c r="Q53" s="360" t="n"/>
      <c r="R53" s="360" t="n"/>
      <c r="S53" s="360" t="n"/>
      <c r="T53" s="360" t="n"/>
      <c r="U53" s="360" t="n"/>
      <c r="V53" s="360" t="n"/>
      <c r="W53" s="360" t="n"/>
      <c r="X53" s="360" t="n"/>
      <c r="Y53" s="360" t="n"/>
      <c r="Z53" s="360" t="n"/>
      <c r="AA53" s="360" t="n"/>
      <c r="AB53" s="360" t="n"/>
      <c r="AC53" s="360" t="n"/>
      <c r="AD53" s="360" t="n"/>
      <c r="AE53" s="360" t="n"/>
      <c r="AF53" s="360" t="n"/>
      <c r="AG53" s="360" t="n"/>
      <c r="AH53" s="360" t="n"/>
      <c r="AI53" s="360" t="n"/>
      <c r="AJ53" s="360" t="n"/>
      <c r="AK53" s="360" t="n"/>
      <c r="AL53" s="360" t="n"/>
      <c r="AM53" s="360" t="n"/>
      <c r="AN53" s="360" t="n"/>
      <c r="AO53" s="360" t="n"/>
      <c r="AP53" s="360" t="n"/>
      <c r="AQ53" s="360" t="n"/>
      <c r="AR53" s="360" t="n"/>
      <c r="AS53" s="360" t="n"/>
      <c r="AT53" s="360" t="n"/>
      <c r="AU53" s="360" t="n"/>
      <c r="AV53" s="360" t="n"/>
      <c r="AW53" s="360" t="n"/>
      <c r="AX53" s="360" t="n"/>
      <c r="AY53" s="360" t="n"/>
      <c r="AZ53" s="360" t="n"/>
      <c r="BA53" s="360" t="n"/>
      <c r="BB53" s="360" t="n"/>
      <c r="BC53" s="360" t="n"/>
      <c r="BD53" s="360" t="n"/>
      <c r="BE53" s="360" t="n"/>
      <c r="BF53" s="360" t="n"/>
      <c r="BG53" s="360" t="n"/>
      <c r="BH53" s="360" t="n"/>
      <c r="BI53" s="360" t="n"/>
      <c r="BJ53" s="360" t="n"/>
      <c r="BK53" s="360" t="n"/>
      <c r="BL53" s="360" t="n"/>
      <c r="BM53" s="360" t="n"/>
      <c r="BN53" s="360" t="n"/>
      <c r="BO53" s="360" t="n"/>
      <c r="BP53" s="360" t="n"/>
      <c r="BQ53" s="360" t="n"/>
      <c r="BR53" s="360" t="n"/>
      <c r="BS53" s="360" t="n"/>
      <c r="BT53" s="360" t="n"/>
      <c r="BU53" s="360" t="n"/>
      <c r="BV53" s="360" t="n"/>
      <c r="BW53" s="360" t="n"/>
      <c r="BX53" s="360" t="n"/>
      <c r="BY53" s="360" t="n"/>
      <c r="BZ53" s="360" t="n"/>
      <c r="CA53" s="360" t="n"/>
      <c r="CB53" s="360" t="n"/>
      <c r="CC53" s="360" t="n"/>
      <c r="CD53" s="360" t="n"/>
      <c r="CE53" s="360" t="n"/>
      <c r="CF53" s="360" t="n"/>
      <c r="CG53" s="360" t="n"/>
      <c r="CH53" s="360" t="n"/>
      <c r="CI53" s="360" t="n"/>
      <c r="CJ53" s="360" t="n"/>
      <c r="CK53" s="360" t="n"/>
      <c r="CL53" s="360" t="n"/>
      <c r="CM53" s="360" t="n"/>
      <c r="CN53" s="360" t="n"/>
      <c r="CO53" s="360" t="n"/>
      <c r="CP53" s="360" t="n"/>
      <c r="CQ53" s="360" t="n"/>
      <c r="CR53" s="360" t="n"/>
      <c r="CS53" s="360" t="n"/>
      <c r="CT53" s="360" t="n"/>
      <c r="CU53" s="360" t="n"/>
      <c r="CV53" s="360" t="n"/>
      <c r="CW53" s="360" t="n"/>
      <c r="CX53" s="360" t="n"/>
      <c r="CY53" s="360" t="n"/>
      <c r="CZ53" s="360" t="n"/>
      <c r="DA53" s="360" t="n"/>
      <c r="DB53" s="360" t="n"/>
      <c r="DC53" s="360" t="n"/>
      <c r="DD53" s="360" t="n"/>
      <c r="DE53" s="360" t="n"/>
      <c r="DF53" s="360" t="n"/>
      <c r="DG53" s="360" t="n"/>
      <c r="DH53" s="360" t="n"/>
      <c r="DI53" s="360" t="n"/>
      <c r="DJ53" s="360" t="n"/>
      <c r="DK53" s="360" t="n"/>
      <c r="DL53" s="360" t="n"/>
      <c r="DM53" s="360" t="n"/>
      <c r="DN53" s="360" t="n"/>
      <c r="DO53" s="360" t="n"/>
      <c r="DP53" s="360" t="n"/>
      <c r="DQ53" s="360" t="n"/>
      <c r="DR53" s="360" t="n"/>
      <c r="DS53" s="360" t="n"/>
      <c r="DT53" s="360" t="n"/>
      <c r="DU53" s="360" t="n"/>
      <c r="DV53" s="360" t="n"/>
      <c r="DW53" s="322" t="inlineStr">
        <is>
          <t>x</t>
        </is>
      </c>
    </row>
    <row r="54" hidden="1" outlineLevel="1">
      <c r="C54" s="426" t="inlineStr">
        <is>
          <t>Profit</t>
        </is>
      </c>
      <c r="D54" s="660">
        <f>SUM(F50:DV50)</f>
        <v/>
      </c>
      <c r="F54" s="360" t="n"/>
      <c r="G54" s="661">
        <f>D55</f>
        <v/>
      </c>
      <c r="H54" s="662" t="n">
        <v>1.850328913100837</v>
      </c>
      <c r="I54" s="663" t="n">
        <v>2.301541263719881</v>
      </c>
      <c r="J54" s="360" t="n"/>
      <c r="K54" s="360" t="n"/>
      <c r="L54" s="360" t="n"/>
      <c r="M54" s="360" t="n"/>
      <c r="N54" s="360" t="n"/>
      <c r="O54" s="360" t="n"/>
      <c r="P54" s="360" t="n"/>
      <c r="Q54" s="360" t="n"/>
      <c r="R54" s="360" t="n"/>
      <c r="S54" s="360" t="n"/>
      <c r="T54" s="360" t="n"/>
      <c r="U54" s="360" t="n"/>
      <c r="V54" s="360" t="n"/>
      <c r="W54" s="360" t="n"/>
      <c r="X54" s="360" t="n"/>
      <c r="Y54" s="360" t="n"/>
      <c r="Z54" s="360" t="n"/>
      <c r="AA54" s="360" t="n"/>
      <c r="AB54" s="360" t="n"/>
      <c r="AC54" s="360" t="n"/>
      <c r="AD54" s="360" t="n"/>
      <c r="AE54" s="360" t="n"/>
      <c r="AF54" s="360" t="n"/>
      <c r="AG54" s="360" t="n"/>
      <c r="AH54" s="360" t="n"/>
      <c r="AI54" s="360" t="n"/>
      <c r="AJ54" s="360" t="n"/>
      <c r="AK54" s="360" t="n"/>
      <c r="AL54" s="360" t="n"/>
      <c r="AM54" s="360" t="n"/>
      <c r="AN54" s="360" t="n"/>
      <c r="AO54" s="360" t="n"/>
      <c r="AP54" s="360" t="n"/>
      <c r="AQ54" s="360" t="n"/>
      <c r="AR54" s="360" t="n"/>
      <c r="AS54" s="360" t="n"/>
      <c r="AT54" s="360" t="n"/>
      <c r="AU54" s="360" t="n"/>
      <c r="AV54" s="360" t="n"/>
      <c r="AW54" s="360" t="n"/>
      <c r="AX54" s="360" t="n"/>
      <c r="AY54" s="360" t="n"/>
      <c r="AZ54" s="360" t="n"/>
      <c r="BA54" s="360" t="n"/>
      <c r="BB54" s="360" t="n"/>
      <c r="BC54" s="360" t="n"/>
      <c r="BD54" s="360" t="n"/>
      <c r="BE54" s="360" t="n"/>
      <c r="BF54" s="360" t="n"/>
      <c r="BG54" s="360" t="n"/>
      <c r="BH54" s="360" t="n"/>
      <c r="BI54" s="360" t="n"/>
      <c r="BJ54" s="360" t="n"/>
      <c r="BK54" s="360" t="n"/>
      <c r="BL54" s="360" t="n"/>
      <c r="BM54" s="360" t="n"/>
      <c r="BN54" s="360" t="n"/>
      <c r="BO54" s="360" t="n"/>
      <c r="BP54" s="360" t="n"/>
      <c r="BQ54" s="360" t="n"/>
      <c r="BR54" s="360" t="n"/>
      <c r="BS54" s="360" t="n"/>
      <c r="BT54" s="360" t="n"/>
      <c r="BU54" s="360" t="n"/>
      <c r="BV54" s="360" t="n"/>
      <c r="BW54" s="360" t="n"/>
      <c r="BX54" s="360" t="n"/>
      <c r="BY54" s="360" t="n"/>
      <c r="BZ54" s="360" t="n"/>
      <c r="CA54" s="360" t="n"/>
      <c r="CB54" s="360" t="n"/>
      <c r="CC54" s="360" t="n"/>
      <c r="CD54" s="360" t="n"/>
      <c r="CE54" s="360" t="n"/>
      <c r="CF54" s="360" t="n"/>
      <c r="CG54" s="360" t="n"/>
      <c r="CH54" s="360" t="n"/>
      <c r="CI54" s="360" t="n"/>
      <c r="CJ54" s="360" t="n"/>
      <c r="CK54" s="360" t="n"/>
      <c r="CL54" s="360" t="n"/>
      <c r="CM54" s="360" t="n"/>
      <c r="CN54" s="360" t="n"/>
      <c r="CO54" s="360" t="n"/>
      <c r="CP54" s="360" t="n"/>
      <c r="CQ54" s="360" t="n"/>
      <c r="CR54" s="360" t="n"/>
      <c r="CS54" s="360" t="n"/>
      <c r="CT54" s="360" t="n"/>
      <c r="CU54" s="360" t="n"/>
      <c r="CV54" s="360" t="n"/>
      <c r="CW54" s="360" t="n"/>
      <c r="CX54" s="360" t="n"/>
      <c r="CY54" s="360" t="n"/>
      <c r="CZ54" s="360" t="n"/>
      <c r="DA54" s="360" t="n"/>
      <c r="DB54" s="360" t="n"/>
      <c r="DC54" s="360" t="n"/>
      <c r="DD54" s="360" t="n"/>
      <c r="DE54" s="360" t="n"/>
      <c r="DF54" s="360" t="n"/>
      <c r="DG54" s="360" t="n"/>
      <c r="DH54" s="360" t="n"/>
      <c r="DI54" s="360" t="n"/>
      <c r="DJ54" s="360" t="n"/>
      <c r="DK54" s="360" t="n"/>
      <c r="DL54" s="360" t="n"/>
      <c r="DM54" s="360" t="n"/>
      <c r="DN54" s="360" t="n"/>
      <c r="DO54" s="360" t="n"/>
      <c r="DP54" s="360" t="n"/>
      <c r="DQ54" s="360" t="n"/>
      <c r="DR54" s="360" t="n"/>
      <c r="DS54" s="360" t="n"/>
      <c r="DT54" s="360" t="n"/>
      <c r="DU54" s="360" t="n"/>
      <c r="DV54" s="360" t="n"/>
      <c r="DW54" s="322" t="inlineStr">
        <is>
          <t>x</t>
        </is>
      </c>
    </row>
    <row r="55" hidden="1" outlineLevel="1">
      <c r="C55" s="426" t="inlineStr">
        <is>
          <t>Equity Multiple</t>
        </is>
      </c>
      <c r="D55" s="431">
        <f t="array" ref="D55">SUMPRODUCT(--($F$50:$DV$50&gt;0),$F$50:$DV$50)/-SUMPRODUCT(--($F$50:$DV$50&lt;0),$F$50:$DV$50)</f>
        <v/>
      </c>
      <c r="F55" s="360" t="n"/>
      <c r="G55" s="664">
        <f>D54</f>
        <v/>
      </c>
      <c r="H55" s="665" t="n">
        <v>2742310.744750198</v>
      </c>
      <c r="I55" s="666" t="n">
        <v>1779532.292821005</v>
      </c>
      <c r="J55" s="360" t="n"/>
      <c r="K55" s="360" t="n"/>
      <c r="L55" s="360" t="n"/>
      <c r="M55" s="360" t="n"/>
      <c r="N55" s="360" t="n"/>
      <c r="O55" s="360" t="n"/>
      <c r="P55" s="360" t="n"/>
      <c r="Q55" s="360" t="n"/>
      <c r="R55" s="360" t="n"/>
      <c r="S55" s="360" t="n"/>
      <c r="T55" s="360" t="n"/>
      <c r="U55" s="360" t="n"/>
      <c r="V55" s="360" t="n"/>
      <c r="W55" s="360" t="n"/>
      <c r="X55" s="360" t="n"/>
      <c r="Y55" s="360" t="n"/>
      <c r="Z55" s="360" t="n"/>
      <c r="AA55" s="360" t="n"/>
      <c r="AB55" s="360" t="n"/>
      <c r="AC55" s="360" t="n"/>
      <c r="AD55" s="360" t="n"/>
      <c r="AE55" s="360" t="n"/>
      <c r="AF55" s="360" t="n"/>
      <c r="AG55" s="360" t="n"/>
      <c r="AH55" s="360" t="n"/>
      <c r="AI55" s="360" t="n"/>
      <c r="AJ55" s="360" t="n"/>
      <c r="AK55" s="360" t="n"/>
      <c r="AL55" s="360" t="n"/>
      <c r="AM55" s="360" t="n"/>
      <c r="AN55" s="360" t="n"/>
      <c r="AO55" s="360" t="n"/>
      <c r="AP55" s="360" t="n"/>
      <c r="AQ55" s="360" t="n"/>
      <c r="AR55" s="360" t="n"/>
      <c r="AS55" s="360" t="n"/>
      <c r="AT55" s="360" t="n"/>
      <c r="AU55" s="360" t="n"/>
      <c r="AV55" s="360" t="n"/>
      <c r="AW55" s="360" t="n"/>
      <c r="AX55" s="360" t="n"/>
      <c r="AY55" s="360" t="n"/>
      <c r="AZ55" s="360" t="n"/>
      <c r="BA55" s="360" t="n"/>
      <c r="BB55" s="360" t="n"/>
      <c r="BC55" s="360" t="n"/>
      <c r="BD55" s="360" t="n"/>
      <c r="BE55" s="360" t="n"/>
      <c r="BF55" s="360" t="n"/>
      <c r="BG55" s="360" t="n"/>
      <c r="BH55" s="360" t="n"/>
      <c r="BI55" s="360" t="n"/>
      <c r="BJ55" s="360" t="n"/>
      <c r="BK55" s="360" t="n"/>
      <c r="BL55" s="360" t="n"/>
      <c r="BM55" s="360" t="n"/>
      <c r="BN55" s="360" t="n"/>
      <c r="BO55" s="360" t="n"/>
      <c r="BP55" s="360" t="n"/>
      <c r="BQ55" s="360" t="n"/>
      <c r="BR55" s="360" t="n"/>
      <c r="BS55" s="360" t="n"/>
      <c r="BT55" s="360" t="n"/>
      <c r="BU55" s="360" t="n"/>
      <c r="BV55" s="360" t="n"/>
      <c r="BW55" s="360" t="n"/>
      <c r="BX55" s="360" t="n"/>
      <c r="BY55" s="360" t="n"/>
      <c r="BZ55" s="360" t="n"/>
      <c r="CA55" s="360" t="n"/>
      <c r="CB55" s="360" t="n"/>
      <c r="CC55" s="360" t="n"/>
      <c r="CD55" s="360" t="n"/>
      <c r="CE55" s="360" t="n"/>
      <c r="CF55" s="360" t="n"/>
      <c r="CG55" s="360" t="n"/>
      <c r="CH55" s="360" t="n"/>
      <c r="CI55" s="360" t="n"/>
      <c r="CJ55" s="360" t="n"/>
      <c r="CK55" s="360" t="n"/>
      <c r="CL55" s="360" t="n"/>
      <c r="CM55" s="360" t="n"/>
      <c r="CN55" s="360" t="n"/>
      <c r="CO55" s="360" t="n"/>
      <c r="CP55" s="360" t="n"/>
      <c r="CQ55" s="360" t="n"/>
      <c r="CR55" s="360" t="n"/>
      <c r="CS55" s="360" t="n"/>
      <c r="CT55" s="360" t="n"/>
      <c r="CU55" s="360" t="n"/>
      <c r="CV55" s="360" t="n"/>
      <c r="CW55" s="360" t="n"/>
      <c r="CX55" s="360" t="n"/>
      <c r="CY55" s="360" t="n"/>
      <c r="CZ55" s="360" t="n"/>
      <c r="DA55" s="360" t="n"/>
      <c r="DB55" s="360" t="n"/>
      <c r="DC55" s="360" t="n"/>
      <c r="DD55" s="360" t="n"/>
      <c r="DE55" s="360" t="n"/>
      <c r="DF55" s="360" t="n"/>
      <c r="DG55" s="360" t="n"/>
      <c r="DH55" s="360" t="n"/>
      <c r="DI55" s="360" t="n"/>
      <c r="DJ55" s="360" t="n"/>
      <c r="DK55" s="360" t="n"/>
      <c r="DL55" s="360" t="n"/>
      <c r="DM55" s="360" t="n"/>
      <c r="DN55" s="360" t="n"/>
      <c r="DO55" s="360" t="n"/>
      <c r="DP55" s="360" t="n"/>
      <c r="DQ55" s="360" t="n"/>
      <c r="DR55" s="360" t="n"/>
      <c r="DS55" s="360" t="n"/>
      <c r="DT55" s="360" t="n"/>
      <c r="DU55" s="360" t="n"/>
      <c r="DV55" s="360" t="n"/>
      <c r="DW55" s="322" t="inlineStr">
        <is>
          <t>x</t>
        </is>
      </c>
    </row>
    <row r="56" hidden="1" outlineLevel="1">
      <c r="C56" s="363" t="inlineStr">
        <is>
          <t>Profit %</t>
        </is>
      </c>
      <c r="D56" s="435">
        <f>D54/SUM(D81,D77)</f>
        <v/>
      </c>
      <c r="F56" s="436" t="n"/>
      <c r="G56" s="360" t="n"/>
      <c r="H56" s="360" t="n"/>
      <c r="I56" s="360" t="n"/>
      <c r="J56" s="360" t="n"/>
      <c r="K56" s="360" t="n"/>
      <c r="L56" s="360" t="n"/>
      <c r="M56" s="360" t="n"/>
      <c r="N56" s="360" t="n"/>
      <c r="O56" s="360" t="n"/>
      <c r="P56" s="360" t="n"/>
      <c r="Q56" s="360" t="n"/>
      <c r="R56" s="360" t="n"/>
      <c r="S56" s="360" t="n"/>
      <c r="T56" s="360" t="n"/>
      <c r="U56" s="360" t="n"/>
      <c r="V56" s="360" t="n"/>
      <c r="W56" s="360" t="n"/>
      <c r="X56" s="360" t="n"/>
      <c r="Y56" s="360" t="n"/>
      <c r="Z56" s="360" t="n"/>
      <c r="AA56" s="360" t="n"/>
      <c r="AB56" s="360" t="n"/>
      <c r="AC56" s="360" t="n"/>
      <c r="AD56" s="360" t="n"/>
      <c r="AE56" s="360" t="n"/>
      <c r="AF56" s="360" t="n"/>
      <c r="AG56" s="360" t="n"/>
      <c r="AH56" s="360" t="n"/>
      <c r="AI56" s="360" t="n"/>
      <c r="AJ56" s="360" t="n"/>
      <c r="AK56" s="360" t="n"/>
      <c r="AL56" s="360" t="n"/>
      <c r="AM56" s="360" t="n"/>
      <c r="AN56" s="360" t="n"/>
      <c r="AO56" s="360" t="n"/>
      <c r="AP56" s="360" t="n"/>
      <c r="AQ56" s="360" t="n"/>
      <c r="AR56" s="360" t="n"/>
      <c r="AS56" s="360" t="n"/>
      <c r="AT56" s="360" t="n"/>
      <c r="AU56" s="360" t="n"/>
      <c r="AV56" s="360" t="n"/>
      <c r="AW56" s="360" t="n"/>
      <c r="AX56" s="360" t="n"/>
      <c r="AY56" s="360" t="n"/>
      <c r="AZ56" s="360" t="n"/>
      <c r="BA56" s="360" t="n"/>
      <c r="BB56" s="360" t="n"/>
      <c r="BC56" s="360" t="n"/>
      <c r="BD56" s="360" t="n"/>
      <c r="BE56" s="360" t="n"/>
      <c r="BF56" s="360" t="n"/>
      <c r="BG56" s="360" t="n"/>
      <c r="BH56" s="360" t="n"/>
      <c r="BI56" s="360" t="n"/>
      <c r="BJ56" s="360" t="n"/>
      <c r="BK56" s="360" t="n"/>
      <c r="BL56" s="360" t="n"/>
      <c r="BM56" s="360" t="n"/>
      <c r="BN56" s="360" t="n"/>
      <c r="BO56" s="360" t="n"/>
      <c r="BP56" s="360" t="n"/>
      <c r="BQ56" s="360" t="n"/>
      <c r="BR56" s="360" t="n"/>
      <c r="BS56" s="360" t="n"/>
      <c r="BT56" s="360" t="n"/>
      <c r="BU56" s="360" t="n"/>
      <c r="BV56" s="360" t="n"/>
      <c r="BW56" s="360" t="n"/>
      <c r="BX56" s="360" t="n"/>
      <c r="BY56" s="360" t="n"/>
      <c r="BZ56" s="360" t="n"/>
      <c r="CA56" s="360" t="n"/>
      <c r="CB56" s="360" t="n"/>
      <c r="CC56" s="360" t="n"/>
      <c r="CD56" s="360" t="n"/>
      <c r="CE56" s="360" t="n"/>
      <c r="CF56" s="360" t="n"/>
      <c r="CG56" s="360" t="n"/>
      <c r="CH56" s="360" t="n"/>
      <c r="CI56" s="360" t="n"/>
      <c r="CJ56" s="360" t="n"/>
      <c r="CK56" s="360" t="n"/>
      <c r="CL56" s="360" t="n"/>
      <c r="CM56" s="360" t="n"/>
      <c r="CN56" s="360" t="n"/>
      <c r="CO56" s="360" t="n"/>
      <c r="CP56" s="360" t="n"/>
      <c r="CQ56" s="360" t="n"/>
      <c r="CR56" s="360" t="n"/>
      <c r="CS56" s="360" t="n"/>
      <c r="CT56" s="360" t="n"/>
      <c r="CU56" s="360" t="n"/>
      <c r="CV56" s="360" t="n"/>
      <c r="CW56" s="360" t="n"/>
      <c r="CX56" s="360" t="n"/>
      <c r="CY56" s="360" t="n"/>
      <c r="CZ56" s="360" t="n"/>
      <c r="DA56" s="360" t="n"/>
      <c r="DB56" s="360" t="n"/>
      <c r="DC56" s="360" t="n"/>
      <c r="DD56" s="360" t="n"/>
      <c r="DE56" s="360" t="n"/>
      <c r="DF56" s="360" t="n"/>
      <c r="DG56" s="360" t="n"/>
      <c r="DH56" s="360" t="n"/>
      <c r="DI56" s="360" t="n"/>
      <c r="DJ56" s="360" t="n"/>
      <c r="DK56" s="360" t="n"/>
      <c r="DL56" s="360" t="n"/>
      <c r="DM56" s="360" t="n"/>
      <c r="DN56" s="360" t="n"/>
      <c r="DO56" s="360" t="n"/>
      <c r="DP56" s="360" t="n"/>
      <c r="DQ56" s="360" t="n"/>
      <c r="DR56" s="360" t="n"/>
      <c r="DS56" s="360" t="n"/>
      <c r="DT56" s="360" t="n"/>
      <c r="DU56" s="360" t="n"/>
      <c r="DV56" s="360" t="n"/>
      <c r="DW56" s="322" t="inlineStr">
        <is>
          <t>x</t>
        </is>
      </c>
    </row>
    <row r="57" hidden="1" outlineLevel="1">
      <c r="C57" s="360" t="n"/>
      <c r="D57" s="360" t="n"/>
      <c r="E57" s="360" t="n"/>
      <c r="F57" s="360" t="n"/>
      <c r="G57" s="360" t="n"/>
      <c r="H57" s="360" t="n"/>
      <c r="I57" s="360" t="n"/>
      <c r="J57" s="360" t="n"/>
      <c r="K57" s="360" t="n"/>
      <c r="L57" s="360" t="n"/>
      <c r="M57" s="360" t="n"/>
      <c r="N57" s="360" t="n"/>
      <c r="O57" s="360" t="n"/>
      <c r="P57" s="360" t="n"/>
      <c r="Q57" s="360" t="n"/>
      <c r="R57" s="360" t="n"/>
      <c r="S57" s="360" t="n"/>
      <c r="T57" s="360" t="n"/>
      <c r="U57" s="360" t="n"/>
      <c r="V57" s="360" t="n"/>
      <c r="W57" s="360" t="n"/>
      <c r="X57" s="360" t="n"/>
      <c r="Y57" s="360" t="n"/>
      <c r="Z57" s="360" t="n"/>
      <c r="AA57" s="360" t="n"/>
      <c r="AB57" s="360" t="n"/>
      <c r="AC57" s="360" t="n"/>
      <c r="AD57" s="360" t="n"/>
      <c r="AE57" s="360" t="n"/>
      <c r="AF57" s="360" t="n"/>
      <c r="AG57" s="360" t="n"/>
      <c r="AH57" s="360" t="n"/>
      <c r="AI57" s="360" t="n"/>
      <c r="AJ57" s="360" t="n"/>
      <c r="AK57" s="360" t="n"/>
      <c r="AL57" s="360" t="n"/>
      <c r="AM57" s="360" t="n"/>
      <c r="AN57" s="360" t="n"/>
      <c r="AO57" s="360" t="n"/>
      <c r="AP57" s="360" t="n"/>
      <c r="AQ57" s="360" t="n"/>
      <c r="AR57" s="360" t="n"/>
      <c r="AS57" s="360" t="n"/>
      <c r="AT57" s="360" t="n"/>
      <c r="AU57" s="360" t="n"/>
      <c r="AV57" s="360" t="n"/>
      <c r="AW57" s="360" t="n"/>
      <c r="AX57" s="360" t="n"/>
      <c r="AY57" s="360" t="n"/>
      <c r="AZ57" s="360" t="n"/>
      <c r="BA57" s="360" t="n"/>
      <c r="BB57" s="360" t="n"/>
      <c r="BC57" s="360" t="n"/>
      <c r="BD57" s="360" t="n"/>
      <c r="BE57" s="360" t="n"/>
      <c r="BF57" s="360" t="n"/>
      <c r="BG57" s="360" t="n"/>
      <c r="BH57" s="360" t="n"/>
      <c r="BI57" s="360" t="n"/>
      <c r="BJ57" s="360" t="n"/>
      <c r="BK57" s="360" t="n"/>
      <c r="BL57" s="360" t="n"/>
      <c r="BM57" s="360" t="n"/>
      <c r="BN57" s="360" t="n"/>
      <c r="BO57" s="360" t="n"/>
      <c r="BP57" s="360" t="n"/>
      <c r="BQ57" s="360" t="n"/>
      <c r="BR57" s="360" t="n"/>
      <c r="BS57" s="360" t="n"/>
      <c r="BT57" s="360" t="n"/>
      <c r="BU57" s="360" t="n"/>
      <c r="BV57" s="360" t="n"/>
      <c r="BW57" s="360" t="n"/>
      <c r="BX57" s="360" t="n"/>
      <c r="BY57" s="360" t="n"/>
      <c r="BZ57" s="360" t="n"/>
      <c r="CA57" s="360" t="n"/>
      <c r="CB57" s="360" t="n"/>
      <c r="CC57" s="360" t="n"/>
      <c r="CD57" s="360" t="n"/>
      <c r="CE57" s="360" t="n"/>
      <c r="CF57" s="360" t="n"/>
      <c r="CG57" s="360" t="n"/>
      <c r="CH57" s="360" t="n"/>
      <c r="CI57" s="360" t="n"/>
      <c r="CJ57" s="360" t="n"/>
      <c r="CK57" s="360" t="n"/>
      <c r="CL57" s="360" t="n"/>
      <c r="CM57" s="360" t="n"/>
      <c r="CN57" s="360" t="n"/>
      <c r="CO57" s="360" t="n"/>
      <c r="CP57" s="360" t="n"/>
      <c r="CQ57" s="360" t="n"/>
      <c r="CR57" s="360" t="n"/>
      <c r="CS57" s="360" t="n"/>
      <c r="CT57" s="360" t="n"/>
      <c r="CU57" s="360" t="n"/>
      <c r="CV57" s="360" t="n"/>
      <c r="CW57" s="360" t="n"/>
      <c r="CX57" s="360" t="n"/>
      <c r="CY57" s="360" t="n"/>
      <c r="CZ57" s="360" t="n"/>
      <c r="DA57" s="360" t="n"/>
      <c r="DB57" s="360" t="n"/>
      <c r="DC57" s="360" t="n"/>
      <c r="DD57" s="360" t="n"/>
      <c r="DE57" s="360" t="n"/>
      <c r="DF57" s="360" t="n"/>
      <c r="DG57" s="360" t="n"/>
      <c r="DH57" s="360" t="n"/>
      <c r="DI57" s="360" t="n"/>
      <c r="DJ57" s="360" t="n"/>
      <c r="DK57" s="360" t="n"/>
      <c r="DL57" s="360" t="n"/>
      <c r="DM57" s="360" t="n"/>
      <c r="DN57" s="360" t="n"/>
      <c r="DO57" s="360" t="n"/>
      <c r="DP57" s="360" t="n"/>
      <c r="DQ57" s="360" t="n"/>
      <c r="DR57" s="360" t="n"/>
      <c r="DS57" s="360" t="n"/>
      <c r="DT57" s="360" t="n"/>
      <c r="DU57" s="360" t="n"/>
      <c r="DV57" s="360" t="n"/>
      <c r="DW57" s="322" t="inlineStr">
        <is>
          <t>x</t>
        </is>
      </c>
    </row>
    <row r="58" hidden="1" outlineLevel="1">
      <c r="DW58" s="322" t="inlineStr">
        <is>
          <t>x</t>
        </is>
      </c>
    </row>
    <row r="59" hidden="1" outlineLevel="1">
      <c r="C59" s="401">
        <f>I37&amp;" Cash Flow Summary"</f>
        <v/>
      </c>
      <c r="D59" s="402" t="n"/>
      <c r="E59" s="403" t="n"/>
      <c r="F59" s="404" t="n"/>
      <c r="G59" s="404" t="n"/>
      <c r="H59" s="405" t="n"/>
      <c r="I59" s="405" t="n"/>
      <c r="J59" s="405" t="n"/>
      <c r="K59" s="405" t="n"/>
      <c r="L59" s="405" t="n"/>
      <c r="M59" s="405" t="n"/>
      <c r="N59" s="405" t="n"/>
      <c r="O59" s="405" t="n"/>
      <c r="P59" s="405" t="n"/>
      <c r="Q59" s="405" t="n"/>
      <c r="R59" s="405" t="n"/>
      <c r="S59" s="405" t="n"/>
      <c r="T59" s="405" t="n"/>
      <c r="U59" s="405" t="n"/>
      <c r="V59" s="405" t="n"/>
      <c r="W59" s="405" t="n"/>
      <c r="X59" s="405" t="n"/>
      <c r="Y59" s="405" t="n"/>
      <c r="Z59" s="405" t="n"/>
      <c r="AA59" s="405" t="n"/>
      <c r="AB59" s="405" t="n"/>
      <c r="AC59" s="405" t="n"/>
      <c r="AD59" s="405" t="n"/>
      <c r="AE59" s="405" t="n"/>
      <c r="AF59" s="405" t="n"/>
      <c r="AG59" s="405" t="n"/>
      <c r="AH59" s="405" t="n"/>
      <c r="AI59" s="405" t="n"/>
      <c r="AJ59" s="405" t="n"/>
      <c r="AK59" s="405" t="n"/>
      <c r="AL59" s="405" t="n"/>
      <c r="AM59" s="405" t="n"/>
      <c r="AN59" s="405" t="n"/>
      <c r="AO59" s="405" t="n"/>
      <c r="AP59" s="405" t="n"/>
      <c r="AQ59" s="405" t="n"/>
      <c r="AR59" s="405" t="n"/>
      <c r="AS59" s="405" t="n"/>
      <c r="AT59" s="405" t="n"/>
      <c r="AU59" s="405" t="n"/>
      <c r="AV59" s="405" t="n"/>
      <c r="AW59" s="405" t="n"/>
      <c r="AX59" s="405" t="n"/>
      <c r="AY59" s="405" t="n"/>
      <c r="AZ59" s="405" t="n"/>
      <c r="BA59" s="405" t="n"/>
      <c r="BB59" s="405" t="n"/>
      <c r="BC59" s="405" t="n"/>
      <c r="BD59" s="405" t="n"/>
      <c r="BE59" s="405" t="n"/>
      <c r="BF59" s="405" t="n"/>
      <c r="BG59" s="405" t="n"/>
      <c r="BH59" s="405" t="n"/>
      <c r="BI59" s="405" t="n"/>
      <c r="BJ59" s="405" t="n"/>
      <c r="BK59" s="405" t="n"/>
      <c r="BL59" s="405" t="n"/>
      <c r="BM59" s="405" t="n"/>
      <c r="BN59" s="405" t="n"/>
      <c r="BO59" s="405" t="n"/>
      <c r="BP59" s="405" t="n"/>
      <c r="BQ59" s="405" t="n"/>
      <c r="BR59" s="405" t="n"/>
      <c r="BS59" s="405" t="n"/>
      <c r="BT59" s="405" t="n"/>
      <c r="BU59" s="405" t="n"/>
      <c r="BV59" s="405" t="n"/>
      <c r="BW59" s="405" t="n"/>
      <c r="BX59" s="405" t="n"/>
      <c r="BY59" s="405" t="n"/>
      <c r="BZ59" s="405" t="n"/>
      <c r="CA59" s="405" t="n"/>
      <c r="CB59" s="405" t="n"/>
      <c r="CC59" s="405" t="n"/>
      <c r="CD59" s="405" t="n"/>
      <c r="CE59" s="405" t="n"/>
      <c r="CF59" s="405" t="n"/>
      <c r="CG59" s="405" t="n"/>
      <c r="CH59" s="405" t="n"/>
      <c r="CI59" s="405" t="n"/>
      <c r="CJ59" s="405" t="n"/>
      <c r="CK59" s="405" t="n"/>
      <c r="CL59" s="405" t="n"/>
      <c r="CM59" s="405" t="n"/>
      <c r="CN59" s="405" t="n"/>
      <c r="CO59" s="405" t="n"/>
      <c r="CP59" s="405" t="n"/>
      <c r="CQ59" s="405" t="n"/>
      <c r="CR59" s="405" t="n"/>
      <c r="CS59" s="405" t="n"/>
      <c r="CT59" s="405" t="n"/>
      <c r="CU59" s="405" t="n"/>
      <c r="CV59" s="405" t="n"/>
      <c r="CW59" s="405" t="n"/>
      <c r="CX59" s="405" t="n"/>
      <c r="CY59" s="405" t="n"/>
      <c r="CZ59" s="405" t="n"/>
      <c r="DA59" s="405" t="n"/>
      <c r="DB59" s="405" t="n"/>
      <c r="DC59" s="405" t="n"/>
      <c r="DD59" s="405" t="n"/>
      <c r="DE59" s="405" t="n"/>
      <c r="DF59" s="405" t="n"/>
      <c r="DG59" s="405" t="n"/>
      <c r="DH59" s="405" t="n"/>
      <c r="DI59" s="405" t="n"/>
      <c r="DJ59" s="405" t="n"/>
      <c r="DK59" s="405" t="n"/>
      <c r="DL59" s="405" t="n"/>
      <c r="DM59" s="405" t="n"/>
      <c r="DN59" s="405" t="n"/>
      <c r="DO59" s="405" t="n"/>
      <c r="DP59" s="405" t="n"/>
      <c r="DQ59" s="405" t="n"/>
      <c r="DR59" s="405" t="n"/>
      <c r="DS59" s="405" t="n"/>
      <c r="DT59" s="405" t="n"/>
      <c r="DU59" s="405" t="n"/>
      <c r="DV59" s="405" t="n"/>
      <c r="DW59" s="322" t="inlineStr">
        <is>
          <t>x</t>
        </is>
      </c>
    </row>
    <row r="60" hidden="1" outlineLevel="1">
      <c r="C60" s="406" t="inlineStr">
        <is>
          <t>Tier I</t>
        </is>
      </c>
      <c r="D60" s="654">
        <f>SUM(F60:DV60)</f>
        <v/>
      </c>
      <c r="E60" s="654" t="n"/>
      <c r="F60" s="667">
        <f>F127</f>
        <v/>
      </c>
      <c r="G60" s="655">
        <f>G127</f>
        <v/>
      </c>
      <c r="H60" s="655">
        <f>H127</f>
        <v/>
      </c>
      <c r="I60" s="655">
        <f>I127</f>
        <v/>
      </c>
      <c r="J60" s="655">
        <f>J127</f>
        <v/>
      </c>
      <c r="K60" s="655">
        <f>K127</f>
        <v/>
      </c>
      <c r="L60" s="655">
        <f>L127</f>
        <v/>
      </c>
      <c r="M60" s="655">
        <f>M127</f>
        <v/>
      </c>
      <c r="N60" s="655">
        <f>N127</f>
        <v/>
      </c>
      <c r="O60" s="655">
        <f>O127</f>
        <v/>
      </c>
      <c r="P60" s="655">
        <f>P127</f>
        <v/>
      </c>
      <c r="Q60" s="655">
        <f>Q127</f>
        <v/>
      </c>
      <c r="R60" s="655">
        <f>R127</f>
        <v/>
      </c>
      <c r="S60" s="655">
        <f>S127</f>
        <v/>
      </c>
      <c r="T60" s="655">
        <f>T127</f>
        <v/>
      </c>
      <c r="U60" s="655">
        <f>U127</f>
        <v/>
      </c>
      <c r="V60" s="655">
        <f>V127</f>
        <v/>
      </c>
      <c r="W60" s="655">
        <f>W127</f>
        <v/>
      </c>
      <c r="X60" s="655">
        <f>X127</f>
        <v/>
      </c>
      <c r="Y60" s="655">
        <f>Y127</f>
        <v/>
      </c>
      <c r="Z60" s="655">
        <f>Z127</f>
        <v/>
      </c>
      <c r="AA60" s="655">
        <f>AA127</f>
        <v/>
      </c>
      <c r="AB60" s="655">
        <f>AB127</f>
        <v/>
      </c>
      <c r="AC60" s="655">
        <f>AC127</f>
        <v/>
      </c>
      <c r="AD60" s="655">
        <f>AD127</f>
        <v/>
      </c>
      <c r="AE60" s="655">
        <f>AE127</f>
        <v/>
      </c>
      <c r="AF60" s="655">
        <f>AF127</f>
        <v/>
      </c>
      <c r="AG60" s="655">
        <f>AG127</f>
        <v/>
      </c>
      <c r="AH60" s="655">
        <f>AH127</f>
        <v/>
      </c>
      <c r="AI60" s="655">
        <f>AI127</f>
        <v/>
      </c>
      <c r="AJ60" s="655">
        <f>AJ127</f>
        <v/>
      </c>
      <c r="AK60" s="655">
        <f>AK127</f>
        <v/>
      </c>
      <c r="AL60" s="655">
        <f>AL127</f>
        <v/>
      </c>
      <c r="AM60" s="655">
        <f>AM127</f>
        <v/>
      </c>
      <c r="AN60" s="655">
        <f>AN127</f>
        <v/>
      </c>
      <c r="AO60" s="655">
        <f>AO127</f>
        <v/>
      </c>
      <c r="AP60" s="655">
        <f>AP127</f>
        <v/>
      </c>
      <c r="AQ60" s="655">
        <f>AQ127</f>
        <v/>
      </c>
      <c r="AR60" s="655">
        <f>AR127</f>
        <v/>
      </c>
      <c r="AS60" s="655">
        <f>AS127</f>
        <v/>
      </c>
      <c r="AT60" s="655">
        <f>AT127</f>
        <v/>
      </c>
      <c r="AU60" s="655">
        <f>AU127</f>
        <v/>
      </c>
      <c r="AV60" s="655">
        <f>AV127</f>
        <v/>
      </c>
      <c r="AW60" s="655">
        <f>AW127</f>
        <v/>
      </c>
      <c r="AX60" s="655">
        <f>AX127</f>
        <v/>
      </c>
      <c r="AY60" s="655">
        <f>AY127</f>
        <v/>
      </c>
      <c r="AZ60" s="655">
        <f>AZ127</f>
        <v/>
      </c>
      <c r="BA60" s="655">
        <f>BA127</f>
        <v/>
      </c>
      <c r="BB60" s="655">
        <f>BB127</f>
        <v/>
      </c>
      <c r="BC60" s="655">
        <f>BC127</f>
        <v/>
      </c>
      <c r="BD60" s="655">
        <f>BD127</f>
        <v/>
      </c>
      <c r="BE60" s="655">
        <f>BE127</f>
        <v/>
      </c>
      <c r="BF60" s="655">
        <f>BF127</f>
        <v/>
      </c>
      <c r="BG60" s="655">
        <f>BG127</f>
        <v/>
      </c>
      <c r="BH60" s="655">
        <f>BH127</f>
        <v/>
      </c>
      <c r="BI60" s="655">
        <f>BI127</f>
        <v/>
      </c>
      <c r="BJ60" s="655">
        <f>BJ127</f>
        <v/>
      </c>
      <c r="BK60" s="655">
        <f>BK127</f>
        <v/>
      </c>
      <c r="BL60" s="655">
        <f>BL127</f>
        <v/>
      </c>
      <c r="BM60" s="655">
        <f>BM127</f>
        <v/>
      </c>
      <c r="BN60" s="655">
        <f>BN127</f>
        <v/>
      </c>
      <c r="BO60" s="655">
        <f>BO127</f>
        <v/>
      </c>
      <c r="BP60" s="655">
        <f>BP127</f>
        <v/>
      </c>
      <c r="BQ60" s="655">
        <f>BQ127</f>
        <v/>
      </c>
      <c r="BR60" s="655">
        <f>BR127</f>
        <v/>
      </c>
      <c r="BS60" s="655">
        <f>BS127</f>
        <v/>
      </c>
      <c r="BT60" s="655">
        <f>BT127</f>
        <v/>
      </c>
      <c r="BU60" s="655">
        <f>BU127</f>
        <v/>
      </c>
      <c r="BV60" s="655">
        <f>BV127</f>
        <v/>
      </c>
      <c r="BW60" s="655">
        <f>BW127</f>
        <v/>
      </c>
      <c r="BX60" s="655">
        <f>BX127</f>
        <v/>
      </c>
      <c r="BY60" s="655">
        <f>BY127</f>
        <v/>
      </c>
      <c r="BZ60" s="655">
        <f>BZ127</f>
        <v/>
      </c>
      <c r="CA60" s="655">
        <f>CA127</f>
        <v/>
      </c>
      <c r="CB60" s="655">
        <f>CB127</f>
        <v/>
      </c>
      <c r="CC60" s="655">
        <f>CC127</f>
        <v/>
      </c>
      <c r="CD60" s="655">
        <f>CD127</f>
        <v/>
      </c>
      <c r="CE60" s="655">
        <f>CE127</f>
        <v/>
      </c>
      <c r="CF60" s="655">
        <f>CF127</f>
        <v/>
      </c>
      <c r="CG60" s="655">
        <f>CG127</f>
        <v/>
      </c>
      <c r="CH60" s="655">
        <f>CH127</f>
        <v/>
      </c>
      <c r="CI60" s="655">
        <f>CI127</f>
        <v/>
      </c>
      <c r="CJ60" s="655">
        <f>CJ127</f>
        <v/>
      </c>
      <c r="CK60" s="655">
        <f>CK127</f>
        <v/>
      </c>
      <c r="CL60" s="655">
        <f>CL127</f>
        <v/>
      </c>
      <c r="CM60" s="655">
        <f>CM127</f>
        <v/>
      </c>
      <c r="CN60" s="655">
        <f>CN127</f>
        <v/>
      </c>
      <c r="CO60" s="655">
        <f>CO127</f>
        <v/>
      </c>
      <c r="CP60" s="655">
        <f>CP127</f>
        <v/>
      </c>
      <c r="CQ60" s="655">
        <f>CQ127</f>
        <v/>
      </c>
      <c r="CR60" s="655">
        <f>CR127</f>
        <v/>
      </c>
      <c r="CS60" s="655">
        <f>CS127</f>
        <v/>
      </c>
      <c r="CT60" s="655">
        <f>CT127</f>
        <v/>
      </c>
      <c r="CU60" s="655">
        <f>CU127</f>
        <v/>
      </c>
      <c r="CV60" s="655">
        <f>CV127</f>
        <v/>
      </c>
      <c r="CW60" s="655">
        <f>CW127</f>
        <v/>
      </c>
      <c r="CX60" s="655">
        <f>CX127</f>
        <v/>
      </c>
      <c r="CY60" s="655">
        <f>CY127</f>
        <v/>
      </c>
      <c r="CZ60" s="655">
        <f>CZ127</f>
        <v/>
      </c>
      <c r="DA60" s="655">
        <f>DA127</f>
        <v/>
      </c>
      <c r="DB60" s="655">
        <f>DB127</f>
        <v/>
      </c>
      <c r="DC60" s="655">
        <f>DC127</f>
        <v/>
      </c>
      <c r="DD60" s="655">
        <f>DD127</f>
        <v/>
      </c>
      <c r="DE60" s="655">
        <f>DE127</f>
        <v/>
      </c>
      <c r="DF60" s="655">
        <f>DF127</f>
        <v/>
      </c>
      <c r="DG60" s="655">
        <f>DG127</f>
        <v/>
      </c>
      <c r="DH60" s="655">
        <f>DH127</f>
        <v/>
      </c>
      <c r="DI60" s="655">
        <f>DI127</f>
        <v/>
      </c>
      <c r="DJ60" s="655">
        <f>DJ127</f>
        <v/>
      </c>
      <c r="DK60" s="655">
        <f>DK127</f>
        <v/>
      </c>
      <c r="DL60" s="655">
        <f>DL127</f>
        <v/>
      </c>
      <c r="DM60" s="655">
        <f>DM127</f>
        <v/>
      </c>
      <c r="DN60" s="655">
        <f>DN127</f>
        <v/>
      </c>
      <c r="DO60" s="655">
        <f>DO127</f>
        <v/>
      </c>
      <c r="DP60" s="655">
        <f>DP127</f>
        <v/>
      </c>
      <c r="DQ60" s="655">
        <f>DQ127</f>
        <v/>
      </c>
      <c r="DR60" s="655">
        <f>DR127</f>
        <v/>
      </c>
      <c r="DS60" s="655">
        <f>DS127</f>
        <v/>
      </c>
      <c r="DT60" s="655">
        <f>DT127</f>
        <v/>
      </c>
      <c r="DU60" s="655">
        <f>DU127</f>
        <v/>
      </c>
      <c r="DV60" s="655">
        <f>DV127</f>
        <v/>
      </c>
      <c r="DW60" s="322" t="inlineStr">
        <is>
          <t>x</t>
        </is>
      </c>
    </row>
    <row r="61" hidden="1" outlineLevel="1">
      <c r="C61" s="406" t="inlineStr">
        <is>
          <t>Tier II</t>
        </is>
      </c>
      <c r="D61" s="411">
        <f>SUM(F61:DV61)</f>
        <v/>
      </c>
      <c r="E61" s="411" t="n"/>
      <c r="F61" s="438">
        <f>F158</f>
        <v/>
      </c>
      <c r="G61" s="412">
        <f>G158</f>
        <v/>
      </c>
      <c r="H61" s="412">
        <f>H158</f>
        <v/>
      </c>
      <c r="I61" s="412">
        <f>I158</f>
        <v/>
      </c>
      <c r="J61" s="412">
        <f>J158</f>
        <v/>
      </c>
      <c r="K61" s="412">
        <f>K158</f>
        <v/>
      </c>
      <c r="L61" s="412">
        <f>L158</f>
        <v/>
      </c>
      <c r="M61" s="412">
        <f>M158</f>
        <v/>
      </c>
      <c r="N61" s="412">
        <f>N158</f>
        <v/>
      </c>
      <c r="O61" s="412">
        <f>O158</f>
        <v/>
      </c>
      <c r="P61" s="412">
        <f>P158</f>
        <v/>
      </c>
      <c r="Q61" s="412">
        <f>Q158</f>
        <v/>
      </c>
      <c r="R61" s="412">
        <f>R158</f>
        <v/>
      </c>
      <c r="S61" s="412">
        <f>S158</f>
        <v/>
      </c>
      <c r="T61" s="412">
        <f>T158</f>
        <v/>
      </c>
      <c r="U61" s="412">
        <f>U158</f>
        <v/>
      </c>
      <c r="V61" s="412">
        <f>V158</f>
        <v/>
      </c>
      <c r="W61" s="412">
        <f>W158</f>
        <v/>
      </c>
      <c r="X61" s="412">
        <f>X158</f>
        <v/>
      </c>
      <c r="Y61" s="412">
        <f>Y158</f>
        <v/>
      </c>
      <c r="Z61" s="412">
        <f>Z158</f>
        <v/>
      </c>
      <c r="AA61" s="412">
        <f>AA158</f>
        <v/>
      </c>
      <c r="AB61" s="412">
        <f>AB158</f>
        <v/>
      </c>
      <c r="AC61" s="412">
        <f>AC158</f>
        <v/>
      </c>
      <c r="AD61" s="412">
        <f>AD158</f>
        <v/>
      </c>
      <c r="AE61" s="412">
        <f>AE158</f>
        <v/>
      </c>
      <c r="AF61" s="412">
        <f>AF158</f>
        <v/>
      </c>
      <c r="AG61" s="412">
        <f>AG158</f>
        <v/>
      </c>
      <c r="AH61" s="412">
        <f>AH158</f>
        <v/>
      </c>
      <c r="AI61" s="412">
        <f>AI158</f>
        <v/>
      </c>
      <c r="AJ61" s="412">
        <f>AJ158</f>
        <v/>
      </c>
      <c r="AK61" s="412">
        <f>AK158</f>
        <v/>
      </c>
      <c r="AL61" s="412">
        <f>AL158</f>
        <v/>
      </c>
      <c r="AM61" s="412">
        <f>AM158</f>
        <v/>
      </c>
      <c r="AN61" s="412">
        <f>AN158</f>
        <v/>
      </c>
      <c r="AO61" s="412">
        <f>AO158</f>
        <v/>
      </c>
      <c r="AP61" s="412">
        <f>AP158</f>
        <v/>
      </c>
      <c r="AQ61" s="412">
        <f>AQ158</f>
        <v/>
      </c>
      <c r="AR61" s="412">
        <f>AR158</f>
        <v/>
      </c>
      <c r="AS61" s="412">
        <f>AS158</f>
        <v/>
      </c>
      <c r="AT61" s="412">
        <f>AT158</f>
        <v/>
      </c>
      <c r="AU61" s="412">
        <f>AU158</f>
        <v/>
      </c>
      <c r="AV61" s="412">
        <f>AV158</f>
        <v/>
      </c>
      <c r="AW61" s="412">
        <f>AW158</f>
        <v/>
      </c>
      <c r="AX61" s="412">
        <f>AX158</f>
        <v/>
      </c>
      <c r="AY61" s="412">
        <f>AY158</f>
        <v/>
      </c>
      <c r="AZ61" s="412">
        <f>AZ158</f>
        <v/>
      </c>
      <c r="BA61" s="412">
        <f>BA158</f>
        <v/>
      </c>
      <c r="BB61" s="412">
        <f>BB158</f>
        <v/>
      </c>
      <c r="BC61" s="412">
        <f>BC158</f>
        <v/>
      </c>
      <c r="BD61" s="412">
        <f>BD158</f>
        <v/>
      </c>
      <c r="BE61" s="412">
        <f>BE158</f>
        <v/>
      </c>
      <c r="BF61" s="412">
        <f>BF158</f>
        <v/>
      </c>
      <c r="BG61" s="412">
        <f>BG158</f>
        <v/>
      </c>
      <c r="BH61" s="412">
        <f>BH158</f>
        <v/>
      </c>
      <c r="BI61" s="412">
        <f>BI158</f>
        <v/>
      </c>
      <c r="BJ61" s="412">
        <f>BJ158</f>
        <v/>
      </c>
      <c r="BK61" s="412">
        <f>BK158</f>
        <v/>
      </c>
      <c r="BL61" s="412">
        <f>BL158</f>
        <v/>
      </c>
      <c r="BM61" s="412">
        <f>BM158</f>
        <v/>
      </c>
      <c r="BN61" s="412">
        <f>BN158</f>
        <v/>
      </c>
      <c r="BO61" s="412">
        <f>BO158</f>
        <v/>
      </c>
      <c r="BP61" s="412">
        <f>BP158</f>
        <v/>
      </c>
      <c r="BQ61" s="412">
        <f>BQ158</f>
        <v/>
      </c>
      <c r="BR61" s="412">
        <f>BR158</f>
        <v/>
      </c>
      <c r="BS61" s="412">
        <f>BS158</f>
        <v/>
      </c>
      <c r="BT61" s="412">
        <f>BT158</f>
        <v/>
      </c>
      <c r="BU61" s="412">
        <f>BU158</f>
        <v/>
      </c>
      <c r="BV61" s="412">
        <f>BV158</f>
        <v/>
      </c>
      <c r="BW61" s="412">
        <f>BW158</f>
        <v/>
      </c>
      <c r="BX61" s="412">
        <f>BX158</f>
        <v/>
      </c>
      <c r="BY61" s="412">
        <f>BY158</f>
        <v/>
      </c>
      <c r="BZ61" s="412">
        <f>BZ158</f>
        <v/>
      </c>
      <c r="CA61" s="412">
        <f>CA158</f>
        <v/>
      </c>
      <c r="CB61" s="412">
        <f>CB158</f>
        <v/>
      </c>
      <c r="CC61" s="412">
        <f>CC158</f>
        <v/>
      </c>
      <c r="CD61" s="412">
        <f>CD158</f>
        <v/>
      </c>
      <c r="CE61" s="412">
        <f>CE158</f>
        <v/>
      </c>
      <c r="CF61" s="412">
        <f>CF158</f>
        <v/>
      </c>
      <c r="CG61" s="412">
        <f>CG158</f>
        <v/>
      </c>
      <c r="CH61" s="412">
        <f>CH158</f>
        <v/>
      </c>
      <c r="CI61" s="412">
        <f>CI158</f>
        <v/>
      </c>
      <c r="CJ61" s="412">
        <f>CJ158</f>
        <v/>
      </c>
      <c r="CK61" s="412">
        <f>CK158</f>
        <v/>
      </c>
      <c r="CL61" s="412">
        <f>CL158</f>
        <v/>
      </c>
      <c r="CM61" s="412">
        <f>CM158</f>
        <v/>
      </c>
      <c r="CN61" s="412">
        <f>CN158</f>
        <v/>
      </c>
      <c r="CO61" s="412">
        <f>CO158</f>
        <v/>
      </c>
      <c r="CP61" s="412">
        <f>CP158</f>
        <v/>
      </c>
      <c r="CQ61" s="412">
        <f>CQ158</f>
        <v/>
      </c>
      <c r="CR61" s="412">
        <f>CR158</f>
        <v/>
      </c>
      <c r="CS61" s="412">
        <f>CS158</f>
        <v/>
      </c>
      <c r="CT61" s="412">
        <f>CT158</f>
        <v/>
      </c>
      <c r="CU61" s="412">
        <f>CU158</f>
        <v/>
      </c>
      <c r="CV61" s="412">
        <f>CV158</f>
        <v/>
      </c>
      <c r="CW61" s="412">
        <f>CW158</f>
        <v/>
      </c>
      <c r="CX61" s="412">
        <f>CX158</f>
        <v/>
      </c>
      <c r="CY61" s="412">
        <f>CY158</f>
        <v/>
      </c>
      <c r="CZ61" s="412">
        <f>CZ158</f>
        <v/>
      </c>
      <c r="DA61" s="412">
        <f>DA158</f>
        <v/>
      </c>
      <c r="DB61" s="412">
        <f>DB158</f>
        <v/>
      </c>
      <c r="DC61" s="412">
        <f>DC158</f>
        <v/>
      </c>
      <c r="DD61" s="412">
        <f>DD158</f>
        <v/>
      </c>
      <c r="DE61" s="412">
        <f>DE158</f>
        <v/>
      </c>
      <c r="DF61" s="412">
        <f>DF158</f>
        <v/>
      </c>
      <c r="DG61" s="412">
        <f>DG158</f>
        <v/>
      </c>
      <c r="DH61" s="412">
        <f>DH158</f>
        <v/>
      </c>
      <c r="DI61" s="412">
        <f>DI158</f>
        <v/>
      </c>
      <c r="DJ61" s="412">
        <f>DJ158</f>
        <v/>
      </c>
      <c r="DK61" s="412">
        <f>DK158</f>
        <v/>
      </c>
      <c r="DL61" s="412">
        <f>DL158</f>
        <v/>
      </c>
      <c r="DM61" s="412">
        <f>DM158</f>
        <v/>
      </c>
      <c r="DN61" s="412">
        <f>DN158</f>
        <v/>
      </c>
      <c r="DO61" s="412">
        <f>DO158</f>
        <v/>
      </c>
      <c r="DP61" s="412">
        <f>DP158</f>
        <v/>
      </c>
      <c r="DQ61" s="412">
        <f>DQ158</f>
        <v/>
      </c>
      <c r="DR61" s="412">
        <f>DR158</f>
        <v/>
      </c>
      <c r="DS61" s="412">
        <f>DS158</f>
        <v/>
      </c>
      <c r="DT61" s="412">
        <f>DT158</f>
        <v/>
      </c>
      <c r="DU61" s="412">
        <f>DU158</f>
        <v/>
      </c>
      <c r="DV61" s="412">
        <f>DV158</f>
        <v/>
      </c>
      <c r="DW61" s="322" t="inlineStr">
        <is>
          <t>x</t>
        </is>
      </c>
    </row>
    <row r="62" hidden="1" outlineLevel="1">
      <c r="C62" s="406" t="inlineStr">
        <is>
          <t>Tier II Promote</t>
        </is>
      </c>
      <c r="D62" s="411">
        <f>SUM(F62:DV62)</f>
        <v/>
      </c>
      <c r="E62" s="411" t="n"/>
      <c r="F62" s="438">
        <f>F159</f>
        <v/>
      </c>
      <c r="G62" s="412">
        <f>G159</f>
        <v/>
      </c>
      <c r="H62" s="412">
        <f>H159</f>
        <v/>
      </c>
      <c r="I62" s="412">
        <f>I159</f>
        <v/>
      </c>
      <c r="J62" s="412">
        <f>J159</f>
        <v/>
      </c>
      <c r="K62" s="412">
        <f>K159</f>
        <v/>
      </c>
      <c r="L62" s="412">
        <f>L159</f>
        <v/>
      </c>
      <c r="M62" s="412">
        <f>M159</f>
        <v/>
      </c>
      <c r="N62" s="412">
        <f>N159</f>
        <v/>
      </c>
      <c r="O62" s="412">
        <f>O159</f>
        <v/>
      </c>
      <c r="P62" s="412">
        <f>P159</f>
        <v/>
      </c>
      <c r="Q62" s="412">
        <f>Q159</f>
        <v/>
      </c>
      <c r="R62" s="412">
        <f>R159</f>
        <v/>
      </c>
      <c r="S62" s="412">
        <f>S159</f>
        <v/>
      </c>
      <c r="T62" s="412">
        <f>T159</f>
        <v/>
      </c>
      <c r="U62" s="412">
        <f>U159</f>
        <v/>
      </c>
      <c r="V62" s="412">
        <f>V159</f>
        <v/>
      </c>
      <c r="W62" s="412">
        <f>W159</f>
        <v/>
      </c>
      <c r="X62" s="412">
        <f>X159</f>
        <v/>
      </c>
      <c r="Y62" s="412">
        <f>Y159</f>
        <v/>
      </c>
      <c r="Z62" s="412">
        <f>Z159</f>
        <v/>
      </c>
      <c r="AA62" s="412">
        <f>AA159</f>
        <v/>
      </c>
      <c r="AB62" s="412">
        <f>AB159</f>
        <v/>
      </c>
      <c r="AC62" s="412">
        <f>AC159</f>
        <v/>
      </c>
      <c r="AD62" s="412">
        <f>AD159</f>
        <v/>
      </c>
      <c r="AE62" s="412">
        <f>AE159</f>
        <v/>
      </c>
      <c r="AF62" s="412">
        <f>AF159</f>
        <v/>
      </c>
      <c r="AG62" s="412">
        <f>AG159</f>
        <v/>
      </c>
      <c r="AH62" s="412">
        <f>AH159</f>
        <v/>
      </c>
      <c r="AI62" s="412">
        <f>AI159</f>
        <v/>
      </c>
      <c r="AJ62" s="412">
        <f>AJ159</f>
        <v/>
      </c>
      <c r="AK62" s="412">
        <f>AK159</f>
        <v/>
      </c>
      <c r="AL62" s="412">
        <f>AL159</f>
        <v/>
      </c>
      <c r="AM62" s="412">
        <f>AM159</f>
        <v/>
      </c>
      <c r="AN62" s="412">
        <f>AN159</f>
        <v/>
      </c>
      <c r="AO62" s="412">
        <f>AO159</f>
        <v/>
      </c>
      <c r="AP62" s="412">
        <f>AP159</f>
        <v/>
      </c>
      <c r="AQ62" s="412">
        <f>AQ159</f>
        <v/>
      </c>
      <c r="AR62" s="412">
        <f>AR159</f>
        <v/>
      </c>
      <c r="AS62" s="412">
        <f>AS159</f>
        <v/>
      </c>
      <c r="AT62" s="412">
        <f>AT159</f>
        <v/>
      </c>
      <c r="AU62" s="412">
        <f>AU159</f>
        <v/>
      </c>
      <c r="AV62" s="412">
        <f>AV159</f>
        <v/>
      </c>
      <c r="AW62" s="412">
        <f>AW159</f>
        <v/>
      </c>
      <c r="AX62" s="412">
        <f>AX159</f>
        <v/>
      </c>
      <c r="AY62" s="412">
        <f>AY159</f>
        <v/>
      </c>
      <c r="AZ62" s="412">
        <f>AZ159</f>
        <v/>
      </c>
      <c r="BA62" s="412">
        <f>BA159</f>
        <v/>
      </c>
      <c r="BB62" s="412">
        <f>BB159</f>
        <v/>
      </c>
      <c r="BC62" s="412">
        <f>BC159</f>
        <v/>
      </c>
      <c r="BD62" s="412">
        <f>BD159</f>
        <v/>
      </c>
      <c r="BE62" s="412">
        <f>BE159</f>
        <v/>
      </c>
      <c r="BF62" s="412">
        <f>BF159</f>
        <v/>
      </c>
      <c r="BG62" s="412">
        <f>BG159</f>
        <v/>
      </c>
      <c r="BH62" s="412">
        <f>BH159</f>
        <v/>
      </c>
      <c r="BI62" s="412">
        <f>BI159</f>
        <v/>
      </c>
      <c r="BJ62" s="412">
        <f>BJ159</f>
        <v/>
      </c>
      <c r="BK62" s="412">
        <f>BK159</f>
        <v/>
      </c>
      <c r="BL62" s="412">
        <f>BL159</f>
        <v/>
      </c>
      <c r="BM62" s="412">
        <f>BM159</f>
        <v/>
      </c>
      <c r="BN62" s="412">
        <f>BN159</f>
        <v/>
      </c>
      <c r="BO62" s="412">
        <f>BO159</f>
        <v/>
      </c>
      <c r="BP62" s="412">
        <f>BP159</f>
        <v/>
      </c>
      <c r="BQ62" s="412">
        <f>BQ159</f>
        <v/>
      </c>
      <c r="BR62" s="412">
        <f>BR159</f>
        <v/>
      </c>
      <c r="BS62" s="412">
        <f>BS159</f>
        <v/>
      </c>
      <c r="BT62" s="412">
        <f>BT159</f>
        <v/>
      </c>
      <c r="BU62" s="412">
        <f>BU159</f>
        <v/>
      </c>
      <c r="BV62" s="412">
        <f>BV159</f>
        <v/>
      </c>
      <c r="BW62" s="412">
        <f>BW159</f>
        <v/>
      </c>
      <c r="BX62" s="412">
        <f>BX159</f>
        <v/>
      </c>
      <c r="BY62" s="412">
        <f>BY159</f>
        <v/>
      </c>
      <c r="BZ62" s="412">
        <f>BZ159</f>
        <v/>
      </c>
      <c r="CA62" s="412">
        <f>CA159</f>
        <v/>
      </c>
      <c r="CB62" s="412">
        <f>CB159</f>
        <v/>
      </c>
      <c r="CC62" s="412">
        <f>CC159</f>
        <v/>
      </c>
      <c r="CD62" s="412">
        <f>CD159</f>
        <v/>
      </c>
      <c r="CE62" s="412">
        <f>CE159</f>
        <v/>
      </c>
      <c r="CF62" s="412">
        <f>CF159</f>
        <v/>
      </c>
      <c r="CG62" s="412">
        <f>CG159</f>
        <v/>
      </c>
      <c r="CH62" s="412">
        <f>CH159</f>
        <v/>
      </c>
      <c r="CI62" s="412">
        <f>CI159</f>
        <v/>
      </c>
      <c r="CJ62" s="412">
        <f>CJ159</f>
        <v/>
      </c>
      <c r="CK62" s="412">
        <f>CK159</f>
        <v/>
      </c>
      <c r="CL62" s="412">
        <f>CL159</f>
        <v/>
      </c>
      <c r="CM62" s="412">
        <f>CM159</f>
        <v/>
      </c>
      <c r="CN62" s="412">
        <f>CN159</f>
        <v/>
      </c>
      <c r="CO62" s="412">
        <f>CO159</f>
        <v/>
      </c>
      <c r="CP62" s="412">
        <f>CP159</f>
        <v/>
      </c>
      <c r="CQ62" s="412">
        <f>CQ159</f>
        <v/>
      </c>
      <c r="CR62" s="412">
        <f>CR159</f>
        <v/>
      </c>
      <c r="CS62" s="412">
        <f>CS159</f>
        <v/>
      </c>
      <c r="CT62" s="412">
        <f>CT159</f>
        <v/>
      </c>
      <c r="CU62" s="412">
        <f>CU159</f>
        <v/>
      </c>
      <c r="CV62" s="412">
        <f>CV159</f>
        <v/>
      </c>
      <c r="CW62" s="412">
        <f>CW159</f>
        <v/>
      </c>
      <c r="CX62" s="412">
        <f>CX159</f>
        <v/>
      </c>
      <c r="CY62" s="412">
        <f>CY159</f>
        <v/>
      </c>
      <c r="CZ62" s="412">
        <f>CZ159</f>
        <v/>
      </c>
      <c r="DA62" s="412">
        <f>DA159</f>
        <v/>
      </c>
      <c r="DB62" s="412">
        <f>DB159</f>
        <v/>
      </c>
      <c r="DC62" s="412">
        <f>DC159</f>
        <v/>
      </c>
      <c r="DD62" s="412">
        <f>DD159</f>
        <v/>
      </c>
      <c r="DE62" s="412">
        <f>DE159</f>
        <v/>
      </c>
      <c r="DF62" s="412">
        <f>DF159</f>
        <v/>
      </c>
      <c r="DG62" s="412">
        <f>DG159</f>
        <v/>
      </c>
      <c r="DH62" s="412">
        <f>DH159</f>
        <v/>
      </c>
      <c r="DI62" s="412">
        <f>DI159</f>
        <v/>
      </c>
      <c r="DJ62" s="412">
        <f>DJ159</f>
        <v/>
      </c>
      <c r="DK62" s="412">
        <f>DK159</f>
        <v/>
      </c>
      <c r="DL62" s="412">
        <f>DL159</f>
        <v/>
      </c>
      <c r="DM62" s="412">
        <f>DM159</f>
        <v/>
      </c>
      <c r="DN62" s="412">
        <f>DN159</f>
        <v/>
      </c>
      <c r="DO62" s="412">
        <f>DO159</f>
        <v/>
      </c>
      <c r="DP62" s="412">
        <f>DP159</f>
        <v/>
      </c>
      <c r="DQ62" s="412">
        <f>DQ159</f>
        <v/>
      </c>
      <c r="DR62" s="412">
        <f>DR159</f>
        <v/>
      </c>
      <c r="DS62" s="412">
        <f>DS159</f>
        <v/>
      </c>
      <c r="DT62" s="412">
        <f>DT159</f>
        <v/>
      </c>
      <c r="DU62" s="412">
        <f>DU159</f>
        <v/>
      </c>
      <c r="DV62" s="412">
        <f>DV159</f>
        <v/>
      </c>
      <c r="DW62" s="322" t="inlineStr">
        <is>
          <t>x</t>
        </is>
      </c>
    </row>
    <row r="63" hidden="1" outlineLevel="1">
      <c r="C63" s="406" t="inlineStr">
        <is>
          <t>Tier III</t>
        </is>
      </c>
      <c r="D63" s="411">
        <f>SUM(F63:DV63)</f>
        <v/>
      </c>
      <c r="E63" s="411" t="n"/>
      <c r="F63" s="438">
        <f>F191</f>
        <v/>
      </c>
      <c r="G63" s="412">
        <f>G191</f>
        <v/>
      </c>
      <c r="H63" s="412">
        <f>H191</f>
        <v/>
      </c>
      <c r="I63" s="412">
        <f>I191</f>
        <v/>
      </c>
      <c r="J63" s="412">
        <f>J191</f>
        <v/>
      </c>
      <c r="K63" s="412">
        <f>K191</f>
        <v/>
      </c>
      <c r="L63" s="412">
        <f>L191</f>
        <v/>
      </c>
      <c r="M63" s="412">
        <f>M191</f>
        <v/>
      </c>
      <c r="N63" s="412">
        <f>N191</f>
        <v/>
      </c>
      <c r="O63" s="412">
        <f>O191</f>
        <v/>
      </c>
      <c r="P63" s="412">
        <f>P191</f>
        <v/>
      </c>
      <c r="Q63" s="412">
        <f>Q191</f>
        <v/>
      </c>
      <c r="R63" s="412">
        <f>R191</f>
        <v/>
      </c>
      <c r="S63" s="412">
        <f>S191</f>
        <v/>
      </c>
      <c r="T63" s="412">
        <f>T191</f>
        <v/>
      </c>
      <c r="U63" s="412">
        <f>U191</f>
        <v/>
      </c>
      <c r="V63" s="412">
        <f>V191</f>
        <v/>
      </c>
      <c r="W63" s="412">
        <f>W191</f>
        <v/>
      </c>
      <c r="X63" s="412">
        <f>X191</f>
        <v/>
      </c>
      <c r="Y63" s="412">
        <f>Y191</f>
        <v/>
      </c>
      <c r="Z63" s="412">
        <f>Z191</f>
        <v/>
      </c>
      <c r="AA63" s="412">
        <f>AA191</f>
        <v/>
      </c>
      <c r="AB63" s="412">
        <f>AB191</f>
        <v/>
      </c>
      <c r="AC63" s="412">
        <f>AC191</f>
        <v/>
      </c>
      <c r="AD63" s="412">
        <f>AD191</f>
        <v/>
      </c>
      <c r="AE63" s="412">
        <f>AE191</f>
        <v/>
      </c>
      <c r="AF63" s="412">
        <f>AF191</f>
        <v/>
      </c>
      <c r="AG63" s="412">
        <f>AG191</f>
        <v/>
      </c>
      <c r="AH63" s="412">
        <f>AH191</f>
        <v/>
      </c>
      <c r="AI63" s="412">
        <f>AI191</f>
        <v/>
      </c>
      <c r="AJ63" s="412">
        <f>AJ191</f>
        <v/>
      </c>
      <c r="AK63" s="412">
        <f>AK191</f>
        <v/>
      </c>
      <c r="AL63" s="412">
        <f>AL191</f>
        <v/>
      </c>
      <c r="AM63" s="412">
        <f>AM191</f>
        <v/>
      </c>
      <c r="AN63" s="412">
        <f>AN191</f>
        <v/>
      </c>
      <c r="AO63" s="412">
        <f>AO191</f>
        <v/>
      </c>
      <c r="AP63" s="412">
        <f>AP191</f>
        <v/>
      </c>
      <c r="AQ63" s="412">
        <f>AQ191</f>
        <v/>
      </c>
      <c r="AR63" s="412">
        <f>AR191</f>
        <v/>
      </c>
      <c r="AS63" s="412">
        <f>AS191</f>
        <v/>
      </c>
      <c r="AT63" s="412">
        <f>AT191</f>
        <v/>
      </c>
      <c r="AU63" s="412">
        <f>AU191</f>
        <v/>
      </c>
      <c r="AV63" s="412">
        <f>AV191</f>
        <v/>
      </c>
      <c r="AW63" s="412">
        <f>AW191</f>
        <v/>
      </c>
      <c r="AX63" s="412">
        <f>AX191</f>
        <v/>
      </c>
      <c r="AY63" s="412">
        <f>AY191</f>
        <v/>
      </c>
      <c r="AZ63" s="412">
        <f>AZ191</f>
        <v/>
      </c>
      <c r="BA63" s="412">
        <f>BA191</f>
        <v/>
      </c>
      <c r="BB63" s="412">
        <f>BB191</f>
        <v/>
      </c>
      <c r="BC63" s="412">
        <f>BC191</f>
        <v/>
      </c>
      <c r="BD63" s="412">
        <f>BD191</f>
        <v/>
      </c>
      <c r="BE63" s="412">
        <f>BE191</f>
        <v/>
      </c>
      <c r="BF63" s="412">
        <f>BF191</f>
        <v/>
      </c>
      <c r="BG63" s="412">
        <f>BG191</f>
        <v/>
      </c>
      <c r="BH63" s="412">
        <f>BH191</f>
        <v/>
      </c>
      <c r="BI63" s="412">
        <f>BI191</f>
        <v/>
      </c>
      <c r="BJ63" s="412">
        <f>BJ191</f>
        <v/>
      </c>
      <c r="BK63" s="412">
        <f>BK191</f>
        <v/>
      </c>
      <c r="BL63" s="412">
        <f>BL191</f>
        <v/>
      </c>
      <c r="BM63" s="412">
        <f>BM191</f>
        <v/>
      </c>
      <c r="BN63" s="412">
        <f>BN191</f>
        <v/>
      </c>
      <c r="BO63" s="412">
        <f>BO191</f>
        <v/>
      </c>
      <c r="BP63" s="412">
        <f>BP191</f>
        <v/>
      </c>
      <c r="BQ63" s="412">
        <f>BQ191</f>
        <v/>
      </c>
      <c r="BR63" s="412">
        <f>BR191</f>
        <v/>
      </c>
      <c r="BS63" s="412">
        <f>BS191</f>
        <v/>
      </c>
      <c r="BT63" s="412">
        <f>BT191</f>
        <v/>
      </c>
      <c r="BU63" s="412">
        <f>BU191</f>
        <v/>
      </c>
      <c r="BV63" s="412">
        <f>BV191</f>
        <v/>
      </c>
      <c r="BW63" s="412">
        <f>BW191</f>
        <v/>
      </c>
      <c r="BX63" s="412">
        <f>BX191</f>
        <v/>
      </c>
      <c r="BY63" s="412">
        <f>BY191</f>
        <v/>
      </c>
      <c r="BZ63" s="412">
        <f>BZ191</f>
        <v/>
      </c>
      <c r="CA63" s="412">
        <f>CA191</f>
        <v/>
      </c>
      <c r="CB63" s="412">
        <f>CB191</f>
        <v/>
      </c>
      <c r="CC63" s="412">
        <f>CC191</f>
        <v/>
      </c>
      <c r="CD63" s="412">
        <f>CD191</f>
        <v/>
      </c>
      <c r="CE63" s="412">
        <f>CE191</f>
        <v/>
      </c>
      <c r="CF63" s="412">
        <f>CF191</f>
        <v/>
      </c>
      <c r="CG63" s="412">
        <f>CG191</f>
        <v/>
      </c>
      <c r="CH63" s="412">
        <f>CH191</f>
        <v/>
      </c>
      <c r="CI63" s="412">
        <f>CI191</f>
        <v/>
      </c>
      <c r="CJ63" s="412">
        <f>CJ191</f>
        <v/>
      </c>
      <c r="CK63" s="412">
        <f>CK191</f>
        <v/>
      </c>
      <c r="CL63" s="412">
        <f>CL191</f>
        <v/>
      </c>
      <c r="CM63" s="412">
        <f>CM191</f>
        <v/>
      </c>
      <c r="CN63" s="412">
        <f>CN191</f>
        <v/>
      </c>
      <c r="CO63" s="412">
        <f>CO191</f>
        <v/>
      </c>
      <c r="CP63" s="412">
        <f>CP191</f>
        <v/>
      </c>
      <c r="CQ63" s="412">
        <f>CQ191</f>
        <v/>
      </c>
      <c r="CR63" s="412">
        <f>CR191</f>
        <v/>
      </c>
      <c r="CS63" s="412">
        <f>CS191</f>
        <v/>
      </c>
      <c r="CT63" s="412">
        <f>CT191</f>
        <v/>
      </c>
      <c r="CU63" s="412">
        <f>CU191</f>
        <v/>
      </c>
      <c r="CV63" s="412">
        <f>CV191</f>
        <v/>
      </c>
      <c r="CW63" s="412">
        <f>CW191</f>
        <v/>
      </c>
      <c r="CX63" s="412">
        <f>CX191</f>
        <v/>
      </c>
      <c r="CY63" s="412">
        <f>CY191</f>
        <v/>
      </c>
      <c r="CZ63" s="412">
        <f>CZ191</f>
        <v/>
      </c>
      <c r="DA63" s="412">
        <f>DA191</f>
        <v/>
      </c>
      <c r="DB63" s="412">
        <f>DB191</f>
        <v/>
      </c>
      <c r="DC63" s="412">
        <f>DC191</f>
        <v/>
      </c>
      <c r="DD63" s="412">
        <f>DD191</f>
        <v/>
      </c>
      <c r="DE63" s="412">
        <f>DE191</f>
        <v/>
      </c>
      <c r="DF63" s="412">
        <f>DF191</f>
        <v/>
      </c>
      <c r="DG63" s="412">
        <f>DG191</f>
        <v/>
      </c>
      <c r="DH63" s="412">
        <f>DH191</f>
        <v/>
      </c>
      <c r="DI63" s="412">
        <f>DI191</f>
        <v/>
      </c>
      <c r="DJ63" s="412">
        <f>DJ191</f>
        <v/>
      </c>
      <c r="DK63" s="412">
        <f>DK191</f>
        <v/>
      </c>
      <c r="DL63" s="412">
        <f>DL191</f>
        <v/>
      </c>
      <c r="DM63" s="412">
        <f>DM191</f>
        <v/>
      </c>
      <c r="DN63" s="412">
        <f>DN191</f>
        <v/>
      </c>
      <c r="DO63" s="412">
        <f>DO191</f>
        <v/>
      </c>
      <c r="DP63" s="412">
        <f>DP191</f>
        <v/>
      </c>
      <c r="DQ63" s="412">
        <f>DQ191</f>
        <v/>
      </c>
      <c r="DR63" s="412">
        <f>DR191</f>
        <v/>
      </c>
      <c r="DS63" s="412">
        <f>DS191</f>
        <v/>
      </c>
      <c r="DT63" s="412">
        <f>DT191</f>
        <v/>
      </c>
      <c r="DU63" s="412">
        <f>DU191</f>
        <v/>
      </c>
      <c r="DV63" s="412">
        <f>DV191</f>
        <v/>
      </c>
      <c r="DW63" s="322" t="inlineStr">
        <is>
          <t>x</t>
        </is>
      </c>
    </row>
    <row r="64" hidden="1" outlineLevel="1">
      <c r="C64" s="406" t="inlineStr">
        <is>
          <t>Tier III Promote</t>
        </is>
      </c>
      <c r="D64" s="411">
        <f>SUM(F64:DV64)</f>
        <v/>
      </c>
      <c r="E64" s="411" t="n"/>
      <c r="F64" s="438">
        <f>F192</f>
        <v/>
      </c>
      <c r="G64" s="412">
        <f>G192</f>
        <v/>
      </c>
      <c r="H64" s="412">
        <f>H192</f>
        <v/>
      </c>
      <c r="I64" s="412">
        <f>I192</f>
        <v/>
      </c>
      <c r="J64" s="412">
        <f>J192</f>
        <v/>
      </c>
      <c r="K64" s="412">
        <f>K192</f>
        <v/>
      </c>
      <c r="L64" s="412">
        <f>L192</f>
        <v/>
      </c>
      <c r="M64" s="412">
        <f>M192</f>
        <v/>
      </c>
      <c r="N64" s="412">
        <f>N192</f>
        <v/>
      </c>
      <c r="O64" s="412">
        <f>O192</f>
        <v/>
      </c>
      <c r="P64" s="412">
        <f>P192</f>
        <v/>
      </c>
      <c r="Q64" s="412">
        <f>Q192</f>
        <v/>
      </c>
      <c r="R64" s="412">
        <f>R192</f>
        <v/>
      </c>
      <c r="S64" s="412">
        <f>S192</f>
        <v/>
      </c>
      <c r="T64" s="412">
        <f>T192</f>
        <v/>
      </c>
      <c r="U64" s="412">
        <f>U192</f>
        <v/>
      </c>
      <c r="V64" s="412">
        <f>V192</f>
        <v/>
      </c>
      <c r="W64" s="412">
        <f>W192</f>
        <v/>
      </c>
      <c r="X64" s="412">
        <f>X192</f>
        <v/>
      </c>
      <c r="Y64" s="412">
        <f>Y192</f>
        <v/>
      </c>
      <c r="Z64" s="412">
        <f>Z192</f>
        <v/>
      </c>
      <c r="AA64" s="412">
        <f>AA192</f>
        <v/>
      </c>
      <c r="AB64" s="412">
        <f>AB192</f>
        <v/>
      </c>
      <c r="AC64" s="412">
        <f>AC192</f>
        <v/>
      </c>
      <c r="AD64" s="412">
        <f>AD192</f>
        <v/>
      </c>
      <c r="AE64" s="412">
        <f>AE192</f>
        <v/>
      </c>
      <c r="AF64" s="412">
        <f>AF192</f>
        <v/>
      </c>
      <c r="AG64" s="412">
        <f>AG192</f>
        <v/>
      </c>
      <c r="AH64" s="412">
        <f>AH192</f>
        <v/>
      </c>
      <c r="AI64" s="412">
        <f>AI192</f>
        <v/>
      </c>
      <c r="AJ64" s="412">
        <f>AJ192</f>
        <v/>
      </c>
      <c r="AK64" s="412">
        <f>AK192</f>
        <v/>
      </c>
      <c r="AL64" s="412">
        <f>AL192</f>
        <v/>
      </c>
      <c r="AM64" s="412">
        <f>AM192</f>
        <v/>
      </c>
      <c r="AN64" s="412">
        <f>AN192</f>
        <v/>
      </c>
      <c r="AO64" s="412">
        <f>AO192</f>
        <v/>
      </c>
      <c r="AP64" s="412">
        <f>AP192</f>
        <v/>
      </c>
      <c r="AQ64" s="412">
        <f>AQ192</f>
        <v/>
      </c>
      <c r="AR64" s="412">
        <f>AR192</f>
        <v/>
      </c>
      <c r="AS64" s="412">
        <f>AS192</f>
        <v/>
      </c>
      <c r="AT64" s="412">
        <f>AT192</f>
        <v/>
      </c>
      <c r="AU64" s="412">
        <f>AU192</f>
        <v/>
      </c>
      <c r="AV64" s="412">
        <f>AV192</f>
        <v/>
      </c>
      <c r="AW64" s="412">
        <f>AW192</f>
        <v/>
      </c>
      <c r="AX64" s="412">
        <f>AX192</f>
        <v/>
      </c>
      <c r="AY64" s="412">
        <f>AY192</f>
        <v/>
      </c>
      <c r="AZ64" s="412">
        <f>AZ192</f>
        <v/>
      </c>
      <c r="BA64" s="412">
        <f>BA192</f>
        <v/>
      </c>
      <c r="BB64" s="412">
        <f>BB192</f>
        <v/>
      </c>
      <c r="BC64" s="412">
        <f>BC192</f>
        <v/>
      </c>
      <c r="BD64" s="412">
        <f>BD192</f>
        <v/>
      </c>
      <c r="BE64" s="412">
        <f>BE192</f>
        <v/>
      </c>
      <c r="BF64" s="412">
        <f>BF192</f>
        <v/>
      </c>
      <c r="BG64" s="412">
        <f>BG192</f>
        <v/>
      </c>
      <c r="BH64" s="412">
        <f>BH192</f>
        <v/>
      </c>
      <c r="BI64" s="412">
        <f>BI192</f>
        <v/>
      </c>
      <c r="BJ64" s="412">
        <f>BJ192</f>
        <v/>
      </c>
      <c r="BK64" s="412">
        <f>BK192</f>
        <v/>
      </c>
      <c r="BL64" s="412">
        <f>BL192</f>
        <v/>
      </c>
      <c r="BM64" s="412">
        <f>BM192</f>
        <v/>
      </c>
      <c r="BN64" s="412">
        <f>BN192</f>
        <v/>
      </c>
      <c r="BO64" s="412">
        <f>BO192</f>
        <v/>
      </c>
      <c r="BP64" s="412">
        <f>BP192</f>
        <v/>
      </c>
      <c r="BQ64" s="412">
        <f>BQ192</f>
        <v/>
      </c>
      <c r="BR64" s="412">
        <f>BR192</f>
        <v/>
      </c>
      <c r="BS64" s="412">
        <f>BS192</f>
        <v/>
      </c>
      <c r="BT64" s="412">
        <f>BT192</f>
        <v/>
      </c>
      <c r="BU64" s="412">
        <f>BU192</f>
        <v/>
      </c>
      <c r="BV64" s="412">
        <f>BV192</f>
        <v/>
      </c>
      <c r="BW64" s="412">
        <f>BW192</f>
        <v/>
      </c>
      <c r="BX64" s="412">
        <f>BX192</f>
        <v/>
      </c>
      <c r="BY64" s="412">
        <f>BY192</f>
        <v/>
      </c>
      <c r="BZ64" s="412">
        <f>BZ192</f>
        <v/>
      </c>
      <c r="CA64" s="412">
        <f>CA192</f>
        <v/>
      </c>
      <c r="CB64" s="412">
        <f>CB192</f>
        <v/>
      </c>
      <c r="CC64" s="412">
        <f>CC192</f>
        <v/>
      </c>
      <c r="CD64" s="412">
        <f>CD192</f>
        <v/>
      </c>
      <c r="CE64" s="412">
        <f>CE192</f>
        <v/>
      </c>
      <c r="CF64" s="412">
        <f>CF192</f>
        <v/>
      </c>
      <c r="CG64" s="412">
        <f>CG192</f>
        <v/>
      </c>
      <c r="CH64" s="412">
        <f>CH192</f>
        <v/>
      </c>
      <c r="CI64" s="412">
        <f>CI192</f>
        <v/>
      </c>
      <c r="CJ64" s="412">
        <f>CJ192</f>
        <v/>
      </c>
      <c r="CK64" s="412">
        <f>CK192</f>
        <v/>
      </c>
      <c r="CL64" s="412">
        <f>CL192</f>
        <v/>
      </c>
      <c r="CM64" s="412">
        <f>CM192</f>
        <v/>
      </c>
      <c r="CN64" s="412">
        <f>CN192</f>
        <v/>
      </c>
      <c r="CO64" s="412">
        <f>CO192</f>
        <v/>
      </c>
      <c r="CP64" s="412">
        <f>CP192</f>
        <v/>
      </c>
      <c r="CQ64" s="412">
        <f>CQ192</f>
        <v/>
      </c>
      <c r="CR64" s="412">
        <f>CR192</f>
        <v/>
      </c>
      <c r="CS64" s="412">
        <f>CS192</f>
        <v/>
      </c>
      <c r="CT64" s="412">
        <f>CT192</f>
        <v/>
      </c>
      <c r="CU64" s="412">
        <f>CU192</f>
        <v/>
      </c>
      <c r="CV64" s="412">
        <f>CV192</f>
        <v/>
      </c>
      <c r="CW64" s="412">
        <f>CW192</f>
        <v/>
      </c>
      <c r="CX64" s="412">
        <f>CX192</f>
        <v/>
      </c>
      <c r="CY64" s="412">
        <f>CY192</f>
        <v/>
      </c>
      <c r="CZ64" s="412">
        <f>CZ192</f>
        <v/>
      </c>
      <c r="DA64" s="412">
        <f>DA192</f>
        <v/>
      </c>
      <c r="DB64" s="412">
        <f>DB192</f>
        <v/>
      </c>
      <c r="DC64" s="412">
        <f>DC192</f>
        <v/>
      </c>
      <c r="DD64" s="412">
        <f>DD192</f>
        <v/>
      </c>
      <c r="DE64" s="412">
        <f>DE192</f>
        <v/>
      </c>
      <c r="DF64" s="412">
        <f>DF192</f>
        <v/>
      </c>
      <c r="DG64" s="412">
        <f>DG192</f>
        <v/>
      </c>
      <c r="DH64" s="412">
        <f>DH192</f>
        <v/>
      </c>
      <c r="DI64" s="412">
        <f>DI192</f>
        <v/>
      </c>
      <c r="DJ64" s="412">
        <f>DJ192</f>
        <v/>
      </c>
      <c r="DK64" s="412">
        <f>DK192</f>
        <v/>
      </c>
      <c r="DL64" s="412">
        <f>DL192</f>
        <v/>
      </c>
      <c r="DM64" s="412">
        <f>DM192</f>
        <v/>
      </c>
      <c r="DN64" s="412">
        <f>DN192</f>
        <v/>
      </c>
      <c r="DO64" s="412">
        <f>DO192</f>
        <v/>
      </c>
      <c r="DP64" s="412">
        <f>DP192</f>
        <v/>
      </c>
      <c r="DQ64" s="412">
        <f>DQ192</f>
        <v/>
      </c>
      <c r="DR64" s="412">
        <f>DR192</f>
        <v/>
      </c>
      <c r="DS64" s="412">
        <f>DS192</f>
        <v/>
      </c>
      <c r="DT64" s="412">
        <f>DT192</f>
        <v/>
      </c>
      <c r="DU64" s="412">
        <f>DU192</f>
        <v/>
      </c>
      <c r="DV64" s="412">
        <f>DV192</f>
        <v/>
      </c>
      <c r="DW64" s="322" t="inlineStr">
        <is>
          <t>x</t>
        </is>
      </c>
    </row>
    <row r="65" hidden="1" outlineLevel="1">
      <c r="C65" s="406" t="inlineStr">
        <is>
          <t>Tier IV</t>
        </is>
      </c>
      <c r="D65" s="411">
        <f>SUM(F65:DV65)</f>
        <v/>
      </c>
      <c r="E65" s="411" t="n"/>
      <c r="F65" s="438">
        <f>F209</f>
        <v/>
      </c>
      <c r="G65" s="412">
        <f>G209</f>
        <v/>
      </c>
      <c r="H65" s="412">
        <f>H209</f>
        <v/>
      </c>
      <c r="I65" s="412">
        <f>I209</f>
        <v/>
      </c>
      <c r="J65" s="412">
        <f>J209</f>
        <v/>
      </c>
      <c r="K65" s="412">
        <f>K209</f>
        <v/>
      </c>
      <c r="L65" s="412">
        <f>L209</f>
        <v/>
      </c>
      <c r="M65" s="412">
        <f>M209</f>
        <v/>
      </c>
      <c r="N65" s="412">
        <f>N209</f>
        <v/>
      </c>
      <c r="O65" s="412">
        <f>O209</f>
        <v/>
      </c>
      <c r="P65" s="412">
        <f>P209</f>
        <v/>
      </c>
      <c r="Q65" s="412">
        <f>Q209</f>
        <v/>
      </c>
      <c r="R65" s="412">
        <f>R209</f>
        <v/>
      </c>
      <c r="S65" s="412">
        <f>S209</f>
        <v/>
      </c>
      <c r="T65" s="412">
        <f>T209</f>
        <v/>
      </c>
      <c r="U65" s="412">
        <f>U209</f>
        <v/>
      </c>
      <c r="V65" s="412">
        <f>V209</f>
        <v/>
      </c>
      <c r="W65" s="412">
        <f>W209</f>
        <v/>
      </c>
      <c r="X65" s="412">
        <f>X209</f>
        <v/>
      </c>
      <c r="Y65" s="412">
        <f>Y209</f>
        <v/>
      </c>
      <c r="Z65" s="412">
        <f>Z209</f>
        <v/>
      </c>
      <c r="AA65" s="412">
        <f>AA209</f>
        <v/>
      </c>
      <c r="AB65" s="412">
        <f>AB209</f>
        <v/>
      </c>
      <c r="AC65" s="412">
        <f>AC209</f>
        <v/>
      </c>
      <c r="AD65" s="412">
        <f>AD209</f>
        <v/>
      </c>
      <c r="AE65" s="412">
        <f>AE209</f>
        <v/>
      </c>
      <c r="AF65" s="412">
        <f>AF209</f>
        <v/>
      </c>
      <c r="AG65" s="412">
        <f>AG209</f>
        <v/>
      </c>
      <c r="AH65" s="412">
        <f>AH209</f>
        <v/>
      </c>
      <c r="AI65" s="412">
        <f>AI209</f>
        <v/>
      </c>
      <c r="AJ65" s="412">
        <f>AJ209</f>
        <v/>
      </c>
      <c r="AK65" s="412">
        <f>AK209</f>
        <v/>
      </c>
      <c r="AL65" s="412">
        <f>AL209</f>
        <v/>
      </c>
      <c r="AM65" s="412">
        <f>AM209</f>
        <v/>
      </c>
      <c r="AN65" s="412">
        <f>AN209</f>
        <v/>
      </c>
      <c r="AO65" s="412">
        <f>AO209</f>
        <v/>
      </c>
      <c r="AP65" s="412">
        <f>AP209</f>
        <v/>
      </c>
      <c r="AQ65" s="412">
        <f>AQ209</f>
        <v/>
      </c>
      <c r="AR65" s="412">
        <f>AR209</f>
        <v/>
      </c>
      <c r="AS65" s="412">
        <f>AS209</f>
        <v/>
      </c>
      <c r="AT65" s="412">
        <f>AT209</f>
        <v/>
      </c>
      <c r="AU65" s="412">
        <f>AU209</f>
        <v/>
      </c>
      <c r="AV65" s="412">
        <f>AV209</f>
        <v/>
      </c>
      <c r="AW65" s="412">
        <f>AW209</f>
        <v/>
      </c>
      <c r="AX65" s="412">
        <f>AX209</f>
        <v/>
      </c>
      <c r="AY65" s="412">
        <f>AY209</f>
        <v/>
      </c>
      <c r="AZ65" s="412">
        <f>AZ209</f>
        <v/>
      </c>
      <c r="BA65" s="412">
        <f>BA209</f>
        <v/>
      </c>
      <c r="BB65" s="412">
        <f>BB209</f>
        <v/>
      </c>
      <c r="BC65" s="412">
        <f>BC209</f>
        <v/>
      </c>
      <c r="BD65" s="412">
        <f>BD209</f>
        <v/>
      </c>
      <c r="BE65" s="412">
        <f>BE209</f>
        <v/>
      </c>
      <c r="BF65" s="412">
        <f>BF209</f>
        <v/>
      </c>
      <c r="BG65" s="412">
        <f>BG209</f>
        <v/>
      </c>
      <c r="BH65" s="412">
        <f>BH209</f>
        <v/>
      </c>
      <c r="BI65" s="412">
        <f>BI209</f>
        <v/>
      </c>
      <c r="BJ65" s="412">
        <f>BJ209</f>
        <v/>
      </c>
      <c r="BK65" s="412">
        <f>BK209</f>
        <v/>
      </c>
      <c r="BL65" s="412">
        <f>BL209</f>
        <v/>
      </c>
      <c r="BM65" s="412">
        <f>BM209</f>
        <v/>
      </c>
      <c r="BN65" s="412">
        <f>BN209</f>
        <v/>
      </c>
      <c r="BO65" s="412">
        <f>BO209</f>
        <v/>
      </c>
      <c r="BP65" s="412">
        <f>BP209</f>
        <v/>
      </c>
      <c r="BQ65" s="412">
        <f>BQ209</f>
        <v/>
      </c>
      <c r="BR65" s="412">
        <f>BR209</f>
        <v/>
      </c>
      <c r="BS65" s="412">
        <f>BS209</f>
        <v/>
      </c>
      <c r="BT65" s="412">
        <f>BT209</f>
        <v/>
      </c>
      <c r="BU65" s="412">
        <f>BU209</f>
        <v/>
      </c>
      <c r="BV65" s="412">
        <f>BV209</f>
        <v/>
      </c>
      <c r="BW65" s="412">
        <f>BW209</f>
        <v/>
      </c>
      <c r="BX65" s="412">
        <f>BX209</f>
        <v/>
      </c>
      <c r="BY65" s="412">
        <f>BY209</f>
        <v/>
      </c>
      <c r="BZ65" s="412">
        <f>BZ209</f>
        <v/>
      </c>
      <c r="CA65" s="412">
        <f>CA209</f>
        <v/>
      </c>
      <c r="CB65" s="412">
        <f>CB209</f>
        <v/>
      </c>
      <c r="CC65" s="412">
        <f>CC209</f>
        <v/>
      </c>
      <c r="CD65" s="412">
        <f>CD209</f>
        <v/>
      </c>
      <c r="CE65" s="412">
        <f>CE209</f>
        <v/>
      </c>
      <c r="CF65" s="412">
        <f>CF209</f>
        <v/>
      </c>
      <c r="CG65" s="412">
        <f>CG209</f>
        <v/>
      </c>
      <c r="CH65" s="412">
        <f>CH209</f>
        <v/>
      </c>
      <c r="CI65" s="412">
        <f>CI209</f>
        <v/>
      </c>
      <c r="CJ65" s="412">
        <f>CJ209</f>
        <v/>
      </c>
      <c r="CK65" s="412">
        <f>CK209</f>
        <v/>
      </c>
      <c r="CL65" s="412">
        <f>CL209</f>
        <v/>
      </c>
      <c r="CM65" s="412">
        <f>CM209</f>
        <v/>
      </c>
      <c r="CN65" s="412">
        <f>CN209</f>
        <v/>
      </c>
      <c r="CO65" s="412">
        <f>CO209</f>
        <v/>
      </c>
      <c r="CP65" s="412">
        <f>CP209</f>
        <v/>
      </c>
      <c r="CQ65" s="412">
        <f>CQ209</f>
        <v/>
      </c>
      <c r="CR65" s="412">
        <f>CR209</f>
        <v/>
      </c>
      <c r="CS65" s="412">
        <f>CS209</f>
        <v/>
      </c>
      <c r="CT65" s="412">
        <f>CT209</f>
        <v/>
      </c>
      <c r="CU65" s="412">
        <f>CU209</f>
        <v/>
      </c>
      <c r="CV65" s="412">
        <f>CV209</f>
        <v/>
      </c>
      <c r="CW65" s="412">
        <f>CW209</f>
        <v/>
      </c>
      <c r="CX65" s="412">
        <f>CX209</f>
        <v/>
      </c>
      <c r="CY65" s="412">
        <f>CY209</f>
        <v/>
      </c>
      <c r="CZ65" s="412">
        <f>CZ209</f>
        <v/>
      </c>
      <c r="DA65" s="412">
        <f>DA209</f>
        <v/>
      </c>
      <c r="DB65" s="412">
        <f>DB209</f>
        <v/>
      </c>
      <c r="DC65" s="412">
        <f>DC209</f>
        <v/>
      </c>
      <c r="DD65" s="412">
        <f>DD209</f>
        <v/>
      </c>
      <c r="DE65" s="412">
        <f>DE209</f>
        <v/>
      </c>
      <c r="DF65" s="412">
        <f>DF209</f>
        <v/>
      </c>
      <c r="DG65" s="412">
        <f>DG209</f>
        <v/>
      </c>
      <c r="DH65" s="412">
        <f>DH209</f>
        <v/>
      </c>
      <c r="DI65" s="412">
        <f>DI209</f>
        <v/>
      </c>
      <c r="DJ65" s="412">
        <f>DJ209</f>
        <v/>
      </c>
      <c r="DK65" s="412">
        <f>DK209</f>
        <v/>
      </c>
      <c r="DL65" s="412">
        <f>DL209</f>
        <v/>
      </c>
      <c r="DM65" s="412">
        <f>DM209</f>
        <v/>
      </c>
      <c r="DN65" s="412">
        <f>DN209</f>
        <v/>
      </c>
      <c r="DO65" s="412">
        <f>DO209</f>
        <v/>
      </c>
      <c r="DP65" s="412">
        <f>DP209</f>
        <v/>
      </c>
      <c r="DQ65" s="412">
        <f>DQ209</f>
        <v/>
      </c>
      <c r="DR65" s="412">
        <f>DR209</f>
        <v/>
      </c>
      <c r="DS65" s="412">
        <f>DS209</f>
        <v/>
      </c>
      <c r="DT65" s="412">
        <f>DT209</f>
        <v/>
      </c>
      <c r="DU65" s="412">
        <f>DU209</f>
        <v/>
      </c>
      <c r="DV65" s="412">
        <f>DV209</f>
        <v/>
      </c>
      <c r="DW65" s="322" t="inlineStr">
        <is>
          <t>x</t>
        </is>
      </c>
    </row>
    <row r="66" hidden="1" outlineLevel="1">
      <c r="C66" s="406" t="inlineStr">
        <is>
          <t>Tier IV Promote</t>
        </is>
      </c>
      <c r="D66" s="411">
        <f>SUM(F66:DV66)</f>
        <v/>
      </c>
      <c r="E66" s="411" t="n"/>
      <c r="F66" s="438">
        <f>F210</f>
        <v/>
      </c>
      <c r="G66" s="412">
        <f>G210</f>
        <v/>
      </c>
      <c r="H66" s="412">
        <f>H210</f>
        <v/>
      </c>
      <c r="I66" s="412">
        <f>I210</f>
        <v/>
      </c>
      <c r="J66" s="412">
        <f>J210</f>
        <v/>
      </c>
      <c r="K66" s="412">
        <f>K210</f>
        <v/>
      </c>
      <c r="L66" s="412">
        <f>L210</f>
        <v/>
      </c>
      <c r="M66" s="412">
        <f>M210</f>
        <v/>
      </c>
      <c r="N66" s="412">
        <f>N210</f>
        <v/>
      </c>
      <c r="O66" s="412">
        <f>O210</f>
        <v/>
      </c>
      <c r="P66" s="412">
        <f>P210</f>
        <v/>
      </c>
      <c r="Q66" s="412">
        <f>Q210</f>
        <v/>
      </c>
      <c r="R66" s="412">
        <f>R210</f>
        <v/>
      </c>
      <c r="S66" s="412">
        <f>S210</f>
        <v/>
      </c>
      <c r="T66" s="412">
        <f>T210</f>
        <v/>
      </c>
      <c r="U66" s="412">
        <f>U210</f>
        <v/>
      </c>
      <c r="V66" s="412">
        <f>V210</f>
        <v/>
      </c>
      <c r="W66" s="412">
        <f>W210</f>
        <v/>
      </c>
      <c r="X66" s="412">
        <f>X210</f>
        <v/>
      </c>
      <c r="Y66" s="412">
        <f>Y210</f>
        <v/>
      </c>
      <c r="Z66" s="412">
        <f>Z210</f>
        <v/>
      </c>
      <c r="AA66" s="412">
        <f>AA210</f>
        <v/>
      </c>
      <c r="AB66" s="412">
        <f>AB210</f>
        <v/>
      </c>
      <c r="AC66" s="412">
        <f>AC210</f>
        <v/>
      </c>
      <c r="AD66" s="412">
        <f>AD210</f>
        <v/>
      </c>
      <c r="AE66" s="412">
        <f>AE210</f>
        <v/>
      </c>
      <c r="AF66" s="412">
        <f>AF210</f>
        <v/>
      </c>
      <c r="AG66" s="412">
        <f>AG210</f>
        <v/>
      </c>
      <c r="AH66" s="412">
        <f>AH210</f>
        <v/>
      </c>
      <c r="AI66" s="412">
        <f>AI210</f>
        <v/>
      </c>
      <c r="AJ66" s="412">
        <f>AJ210</f>
        <v/>
      </c>
      <c r="AK66" s="412">
        <f>AK210</f>
        <v/>
      </c>
      <c r="AL66" s="412">
        <f>AL210</f>
        <v/>
      </c>
      <c r="AM66" s="412">
        <f>AM210</f>
        <v/>
      </c>
      <c r="AN66" s="412">
        <f>AN210</f>
        <v/>
      </c>
      <c r="AO66" s="412">
        <f>AO210</f>
        <v/>
      </c>
      <c r="AP66" s="412">
        <f>AP210</f>
        <v/>
      </c>
      <c r="AQ66" s="412">
        <f>AQ210</f>
        <v/>
      </c>
      <c r="AR66" s="412">
        <f>AR210</f>
        <v/>
      </c>
      <c r="AS66" s="412">
        <f>AS210</f>
        <v/>
      </c>
      <c r="AT66" s="412">
        <f>AT210</f>
        <v/>
      </c>
      <c r="AU66" s="412">
        <f>AU210</f>
        <v/>
      </c>
      <c r="AV66" s="412">
        <f>AV210</f>
        <v/>
      </c>
      <c r="AW66" s="412">
        <f>AW210</f>
        <v/>
      </c>
      <c r="AX66" s="412">
        <f>AX210</f>
        <v/>
      </c>
      <c r="AY66" s="412">
        <f>AY210</f>
        <v/>
      </c>
      <c r="AZ66" s="412">
        <f>AZ210</f>
        <v/>
      </c>
      <c r="BA66" s="412">
        <f>BA210</f>
        <v/>
      </c>
      <c r="BB66" s="412">
        <f>BB210</f>
        <v/>
      </c>
      <c r="BC66" s="412">
        <f>BC210</f>
        <v/>
      </c>
      <c r="BD66" s="412">
        <f>BD210</f>
        <v/>
      </c>
      <c r="BE66" s="412">
        <f>BE210</f>
        <v/>
      </c>
      <c r="BF66" s="412">
        <f>BF210</f>
        <v/>
      </c>
      <c r="BG66" s="412">
        <f>BG210</f>
        <v/>
      </c>
      <c r="BH66" s="412">
        <f>BH210</f>
        <v/>
      </c>
      <c r="BI66" s="412">
        <f>BI210</f>
        <v/>
      </c>
      <c r="BJ66" s="412">
        <f>BJ210</f>
        <v/>
      </c>
      <c r="BK66" s="412">
        <f>BK210</f>
        <v/>
      </c>
      <c r="BL66" s="412">
        <f>BL210</f>
        <v/>
      </c>
      <c r="BM66" s="412">
        <f>BM210</f>
        <v/>
      </c>
      <c r="BN66" s="412">
        <f>BN210</f>
        <v/>
      </c>
      <c r="BO66" s="412">
        <f>BO210</f>
        <v/>
      </c>
      <c r="BP66" s="412">
        <f>BP210</f>
        <v/>
      </c>
      <c r="BQ66" s="412">
        <f>BQ210</f>
        <v/>
      </c>
      <c r="BR66" s="412">
        <f>BR210</f>
        <v/>
      </c>
      <c r="BS66" s="412">
        <f>BS210</f>
        <v/>
      </c>
      <c r="BT66" s="412">
        <f>BT210</f>
        <v/>
      </c>
      <c r="BU66" s="412">
        <f>BU210</f>
        <v/>
      </c>
      <c r="BV66" s="412">
        <f>BV210</f>
        <v/>
      </c>
      <c r="BW66" s="412">
        <f>BW210</f>
        <v/>
      </c>
      <c r="BX66" s="412">
        <f>BX210</f>
        <v/>
      </c>
      <c r="BY66" s="412">
        <f>BY210</f>
        <v/>
      </c>
      <c r="BZ66" s="412">
        <f>BZ210</f>
        <v/>
      </c>
      <c r="CA66" s="412">
        <f>CA210</f>
        <v/>
      </c>
      <c r="CB66" s="412">
        <f>CB210</f>
        <v/>
      </c>
      <c r="CC66" s="412">
        <f>CC210</f>
        <v/>
      </c>
      <c r="CD66" s="412">
        <f>CD210</f>
        <v/>
      </c>
      <c r="CE66" s="412">
        <f>CE210</f>
        <v/>
      </c>
      <c r="CF66" s="412">
        <f>CF210</f>
        <v/>
      </c>
      <c r="CG66" s="412">
        <f>CG210</f>
        <v/>
      </c>
      <c r="CH66" s="412">
        <f>CH210</f>
        <v/>
      </c>
      <c r="CI66" s="412">
        <f>CI210</f>
        <v/>
      </c>
      <c r="CJ66" s="412">
        <f>CJ210</f>
        <v/>
      </c>
      <c r="CK66" s="412">
        <f>CK210</f>
        <v/>
      </c>
      <c r="CL66" s="412">
        <f>CL210</f>
        <v/>
      </c>
      <c r="CM66" s="412">
        <f>CM210</f>
        <v/>
      </c>
      <c r="CN66" s="412">
        <f>CN210</f>
        <v/>
      </c>
      <c r="CO66" s="412">
        <f>CO210</f>
        <v/>
      </c>
      <c r="CP66" s="412">
        <f>CP210</f>
        <v/>
      </c>
      <c r="CQ66" s="412">
        <f>CQ210</f>
        <v/>
      </c>
      <c r="CR66" s="412">
        <f>CR210</f>
        <v/>
      </c>
      <c r="CS66" s="412">
        <f>CS210</f>
        <v/>
      </c>
      <c r="CT66" s="412">
        <f>CT210</f>
        <v/>
      </c>
      <c r="CU66" s="412">
        <f>CU210</f>
        <v/>
      </c>
      <c r="CV66" s="412">
        <f>CV210</f>
        <v/>
      </c>
      <c r="CW66" s="412">
        <f>CW210</f>
        <v/>
      </c>
      <c r="CX66" s="412">
        <f>CX210</f>
        <v/>
      </c>
      <c r="CY66" s="412">
        <f>CY210</f>
        <v/>
      </c>
      <c r="CZ66" s="412">
        <f>CZ210</f>
        <v/>
      </c>
      <c r="DA66" s="412">
        <f>DA210</f>
        <v/>
      </c>
      <c r="DB66" s="412">
        <f>DB210</f>
        <v/>
      </c>
      <c r="DC66" s="412">
        <f>DC210</f>
        <v/>
      </c>
      <c r="DD66" s="412">
        <f>DD210</f>
        <v/>
      </c>
      <c r="DE66" s="412">
        <f>DE210</f>
        <v/>
      </c>
      <c r="DF66" s="412">
        <f>DF210</f>
        <v/>
      </c>
      <c r="DG66" s="412">
        <f>DG210</f>
        <v/>
      </c>
      <c r="DH66" s="412">
        <f>DH210</f>
        <v/>
      </c>
      <c r="DI66" s="412">
        <f>DI210</f>
        <v/>
      </c>
      <c r="DJ66" s="412">
        <f>DJ210</f>
        <v/>
      </c>
      <c r="DK66" s="412">
        <f>DK210</f>
        <v/>
      </c>
      <c r="DL66" s="412">
        <f>DL210</f>
        <v/>
      </c>
      <c r="DM66" s="412">
        <f>DM210</f>
        <v/>
      </c>
      <c r="DN66" s="412">
        <f>DN210</f>
        <v/>
      </c>
      <c r="DO66" s="412">
        <f>DO210</f>
        <v/>
      </c>
      <c r="DP66" s="412">
        <f>DP210</f>
        <v/>
      </c>
      <c r="DQ66" s="412">
        <f>DQ210</f>
        <v/>
      </c>
      <c r="DR66" s="412">
        <f>DR210</f>
        <v/>
      </c>
      <c r="DS66" s="412">
        <f>DS210</f>
        <v/>
      </c>
      <c r="DT66" s="412">
        <f>DT210</f>
        <v/>
      </c>
      <c r="DU66" s="412">
        <f>DU210</f>
        <v/>
      </c>
      <c r="DV66" s="412">
        <f>DV210</f>
        <v/>
      </c>
      <c r="DW66" s="322" t="inlineStr">
        <is>
          <t>x</t>
        </is>
      </c>
    </row>
    <row r="67" hidden="1" outlineLevel="1">
      <c r="C67" s="406" t="inlineStr">
        <is>
          <t>Tier V</t>
        </is>
      </c>
      <c r="D67" s="411">
        <f>SUM(F67:DV67)</f>
        <v/>
      </c>
      <c r="E67" s="411" t="n"/>
      <c r="F67" s="438">
        <f>F218</f>
        <v/>
      </c>
      <c r="G67" s="412">
        <f>G218</f>
        <v/>
      </c>
      <c r="H67" s="412">
        <f>H218</f>
        <v/>
      </c>
      <c r="I67" s="412">
        <f>I218</f>
        <v/>
      </c>
      <c r="J67" s="412">
        <f>J218</f>
        <v/>
      </c>
      <c r="K67" s="412">
        <f>K218</f>
        <v/>
      </c>
      <c r="L67" s="412">
        <f>L218</f>
        <v/>
      </c>
      <c r="M67" s="412">
        <f>M218</f>
        <v/>
      </c>
      <c r="N67" s="412">
        <f>N218</f>
        <v/>
      </c>
      <c r="O67" s="412">
        <f>O218</f>
        <v/>
      </c>
      <c r="P67" s="412">
        <f>P218</f>
        <v/>
      </c>
      <c r="Q67" s="412">
        <f>Q218</f>
        <v/>
      </c>
      <c r="R67" s="412">
        <f>R218</f>
        <v/>
      </c>
      <c r="S67" s="412">
        <f>S218</f>
        <v/>
      </c>
      <c r="T67" s="412">
        <f>T218</f>
        <v/>
      </c>
      <c r="U67" s="412">
        <f>U218</f>
        <v/>
      </c>
      <c r="V67" s="412">
        <f>V218</f>
        <v/>
      </c>
      <c r="W67" s="412">
        <f>W218</f>
        <v/>
      </c>
      <c r="X67" s="412">
        <f>X218</f>
        <v/>
      </c>
      <c r="Y67" s="412">
        <f>Y218</f>
        <v/>
      </c>
      <c r="Z67" s="412">
        <f>Z218</f>
        <v/>
      </c>
      <c r="AA67" s="412">
        <f>AA218</f>
        <v/>
      </c>
      <c r="AB67" s="412">
        <f>AB218</f>
        <v/>
      </c>
      <c r="AC67" s="412">
        <f>AC218</f>
        <v/>
      </c>
      <c r="AD67" s="412">
        <f>AD218</f>
        <v/>
      </c>
      <c r="AE67" s="412">
        <f>AE218</f>
        <v/>
      </c>
      <c r="AF67" s="412">
        <f>AF218</f>
        <v/>
      </c>
      <c r="AG67" s="412">
        <f>AG218</f>
        <v/>
      </c>
      <c r="AH67" s="412">
        <f>AH218</f>
        <v/>
      </c>
      <c r="AI67" s="412">
        <f>AI218</f>
        <v/>
      </c>
      <c r="AJ67" s="412">
        <f>AJ218</f>
        <v/>
      </c>
      <c r="AK67" s="412">
        <f>AK218</f>
        <v/>
      </c>
      <c r="AL67" s="412">
        <f>AL218</f>
        <v/>
      </c>
      <c r="AM67" s="412">
        <f>AM218</f>
        <v/>
      </c>
      <c r="AN67" s="412">
        <f>AN218</f>
        <v/>
      </c>
      <c r="AO67" s="412">
        <f>AO218</f>
        <v/>
      </c>
      <c r="AP67" s="412">
        <f>AP218</f>
        <v/>
      </c>
      <c r="AQ67" s="412">
        <f>AQ218</f>
        <v/>
      </c>
      <c r="AR67" s="412">
        <f>AR218</f>
        <v/>
      </c>
      <c r="AS67" s="412">
        <f>AS218</f>
        <v/>
      </c>
      <c r="AT67" s="412">
        <f>AT218</f>
        <v/>
      </c>
      <c r="AU67" s="412">
        <f>AU218</f>
        <v/>
      </c>
      <c r="AV67" s="412">
        <f>AV218</f>
        <v/>
      </c>
      <c r="AW67" s="412">
        <f>AW218</f>
        <v/>
      </c>
      <c r="AX67" s="412">
        <f>AX218</f>
        <v/>
      </c>
      <c r="AY67" s="412">
        <f>AY218</f>
        <v/>
      </c>
      <c r="AZ67" s="412">
        <f>AZ218</f>
        <v/>
      </c>
      <c r="BA67" s="412">
        <f>BA218</f>
        <v/>
      </c>
      <c r="BB67" s="412">
        <f>BB218</f>
        <v/>
      </c>
      <c r="BC67" s="412">
        <f>BC218</f>
        <v/>
      </c>
      <c r="BD67" s="412">
        <f>BD218</f>
        <v/>
      </c>
      <c r="BE67" s="412">
        <f>BE218</f>
        <v/>
      </c>
      <c r="BF67" s="412">
        <f>BF218</f>
        <v/>
      </c>
      <c r="BG67" s="412">
        <f>BG218</f>
        <v/>
      </c>
      <c r="BH67" s="412">
        <f>BH218</f>
        <v/>
      </c>
      <c r="BI67" s="412">
        <f>BI218</f>
        <v/>
      </c>
      <c r="BJ67" s="412">
        <f>BJ218</f>
        <v/>
      </c>
      <c r="BK67" s="412">
        <f>BK218</f>
        <v/>
      </c>
      <c r="BL67" s="412">
        <f>BL218</f>
        <v/>
      </c>
      <c r="BM67" s="412">
        <f>BM218</f>
        <v/>
      </c>
      <c r="BN67" s="412">
        <f>BN218</f>
        <v/>
      </c>
      <c r="BO67" s="412">
        <f>BO218</f>
        <v/>
      </c>
      <c r="BP67" s="412">
        <f>BP218</f>
        <v/>
      </c>
      <c r="BQ67" s="412">
        <f>BQ218</f>
        <v/>
      </c>
      <c r="BR67" s="412">
        <f>BR218</f>
        <v/>
      </c>
      <c r="BS67" s="412">
        <f>BS218</f>
        <v/>
      </c>
      <c r="BT67" s="412">
        <f>BT218</f>
        <v/>
      </c>
      <c r="BU67" s="412">
        <f>BU218</f>
        <v/>
      </c>
      <c r="BV67" s="412">
        <f>BV218</f>
        <v/>
      </c>
      <c r="BW67" s="412">
        <f>BW218</f>
        <v/>
      </c>
      <c r="BX67" s="412">
        <f>BX218</f>
        <v/>
      </c>
      <c r="BY67" s="412">
        <f>BY218</f>
        <v/>
      </c>
      <c r="BZ67" s="412">
        <f>BZ218</f>
        <v/>
      </c>
      <c r="CA67" s="412">
        <f>CA218</f>
        <v/>
      </c>
      <c r="CB67" s="412">
        <f>CB218</f>
        <v/>
      </c>
      <c r="CC67" s="412">
        <f>CC218</f>
        <v/>
      </c>
      <c r="CD67" s="412">
        <f>CD218</f>
        <v/>
      </c>
      <c r="CE67" s="412">
        <f>CE218</f>
        <v/>
      </c>
      <c r="CF67" s="412">
        <f>CF218</f>
        <v/>
      </c>
      <c r="CG67" s="412">
        <f>CG218</f>
        <v/>
      </c>
      <c r="CH67" s="412">
        <f>CH218</f>
        <v/>
      </c>
      <c r="CI67" s="412">
        <f>CI218</f>
        <v/>
      </c>
      <c r="CJ67" s="412">
        <f>CJ218</f>
        <v/>
      </c>
      <c r="CK67" s="412">
        <f>CK218</f>
        <v/>
      </c>
      <c r="CL67" s="412">
        <f>CL218</f>
        <v/>
      </c>
      <c r="CM67" s="412">
        <f>CM218</f>
        <v/>
      </c>
      <c r="CN67" s="412">
        <f>CN218</f>
        <v/>
      </c>
      <c r="CO67" s="412">
        <f>CO218</f>
        <v/>
      </c>
      <c r="CP67" s="412">
        <f>CP218</f>
        <v/>
      </c>
      <c r="CQ67" s="412">
        <f>CQ218</f>
        <v/>
      </c>
      <c r="CR67" s="412">
        <f>CR218</f>
        <v/>
      </c>
      <c r="CS67" s="412">
        <f>CS218</f>
        <v/>
      </c>
      <c r="CT67" s="412">
        <f>CT218</f>
        <v/>
      </c>
      <c r="CU67" s="412">
        <f>CU218</f>
        <v/>
      </c>
      <c r="CV67" s="412">
        <f>CV218</f>
        <v/>
      </c>
      <c r="CW67" s="412">
        <f>CW218</f>
        <v/>
      </c>
      <c r="CX67" s="412">
        <f>CX218</f>
        <v/>
      </c>
      <c r="CY67" s="412">
        <f>CY218</f>
        <v/>
      </c>
      <c r="CZ67" s="412">
        <f>CZ218</f>
        <v/>
      </c>
      <c r="DA67" s="412">
        <f>DA218</f>
        <v/>
      </c>
      <c r="DB67" s="412">
        <f>DB218</f>
        <v/>
      </c>
      <c r="DC67" s="412">
        <f>DC218</f>
        <v/>
      </c>
      <c r="DD67" s="412">
        <f>DD218</f>
        <v/>
      </c>
      <c r="DE67" s="412">
        <f>DE218</f>
        <v/>
      </c>
      <c r="DF67" s="412">
        <f>DF218</f>
        <v/>
      </c>
      <c r="DG67" s="412">
        <f>DG218</f>
        <v/>
      </c>
      <c r="DH67" s="412">
        <f>DH218</f>
        <v/>
      </c>
      <c r="DI67" s="412">
        <f>DI218</f>
        <v/>
      </c>
      <c r="DJ67" s="412">
        <f>DJ218</f>
        <v/>
      </c>
      <c r="DK67" s="412">
        <f>DK218</f>
        <v/>
      </c>
      <c r="DL67" s="412">
        <f>DL218</f>
        <v/>
      </c>
      <c r="DM67" s="412">
        <f>DM218</f>
        <v/>
      </c>
      <c r="DN67" s="412">
        <f>DN218</f>
        <v/>
      </c>
      <c r="DO67" s="412">
        <f>DO218</f>
        <v/>
      </c>
      <c r="DP67" s="412">
        <f>DP218</f>
        <v/>
      </c>
      <c r="DQ67" s="412">
        <f>DQ218</f>
        <v/>
      </c>
      <c r="DR67" s="412">
        <f>DR218</f>
        <v/>
      </c>
      <c r="DS67" s="412">
        <f>DS218</f>
        <v/>
      </c>
      <c r="DT67" s="412">
        <f>DT218</f>
        <v/>
      </c>
      <c r="DU67" s="412">
        <f>DU218</f>
        <v/>
      </c>
      <c r="DV67" s="412">
        <f>DV218</f>
        <v/>
      </c>
      <c r="DW67" s="322" t="inlineStr">
        <is>
          <t>x</t>
        </is>
      </c>
    </row>
    <row r="68" hidden="1" outlineLevel="1">
      <c r="C68" s="406" t="inlineStr">
        <is>
          <t xml:space="preserve">Tier V Promote </t>
        </is>
      </c>
      <c r="D68" s="411">
        <f>SUM(F68:DV68)</f>
        <v/>
      </c>
      <c r="E68" s="411" t="n"/>
      <c r="F68" s="439">
        <f>F219</f>
        <v/>
      </c>
      <c r="G68" s="440">
        <f>G219</f>
        <v/>
      </c>
      <c r="H68" s="440">
        <f>H219</f>
        <v/>
      </c>
      <c r="I68" s="440">
        <f>I219</f>
        <v/>
      </c>
      <c r="J68" s="440">
        <f>J219</f>
        <v/>
      </c>
      <c r="K68" s="440">
        <f>K219</f>
        <v/>
      </c>
      <c r="L68" s="440">
        <f>L219</f>
        <v/>
      </c>
      <c r="M68" s="440">
        <f>M219</f>
        <v/>
      </c>
      <c r="N68" s="440">
        <f>N219</f>
        <v/>
      </c>
      <c r="O68" s="440">
        <f>O219</f>
        <v/>
      </c>
      <c r="P68" s="440">
        <f>P219</f>
        <v/>
      </c>
      <c r="Q68" s="440">
        <f>Q219</f>
        <v/>
      </c>
      <c r="R68" s="440">
        <f>R219</f>
        <v/>
      </c>
      <c r="S68" s="440">
        <f>S219</f>
        <v/>
      </c>
      <c r="T68" s="440">
        <f>T219</f>
        <v/>
      </c>
      <c r="U68" s="440">
        <f>U219</f>
        <v/>
      </c>
      <c r="V68" s="440">
        <f>V219</f>
        <v/>
      </c>
      <c r="W68" s="440">
        <f>W219</f>
        <v/>
      </c>
      <c r="X68" s="440">
        <f>X219</f>
        <v/>
      </c>
      <c r="Y68" s="440">
        <f>Y219</f>
        <v/>
      </c>
      <c r="Z68" s="440">
        <f>Z219</f>
        <v/>
      </c>
      <c r="AA68" s="440">
        <f>AA219</f>
        <v/>
      </c>
      <c r="AB68" s="440">
        <f>AB219</f>
        <v/>
      </c>
      <c r="AC68" s="440">
        <f>AC219</f>
        <v/>
      </c>
      <c r="AD68" s="440">
        <f>AD219</f>
        <v/>
      </c>
      <c r="AE68" s="440">
        <f>AE219</f>
        <v/>
      </c>
      <c r="AF68" s="440">
        <f>AF219</f>
        <v/>
      </c>
      <c r="AG68" s="440">
        <f>AG219</f>
        <v/>
      </c>
      <c r="AH68" s="440">
        <f>AH219</f>
        <v/>
      </c>
      <c r="AI68" s="440">
        <f>AI219</f>
        <v/>
      </c>
      <c r="AJ68" s="440">
        <f>AJ219</f>
        <v/>
      </c>
      <c r="AK68" s="440">
        <f>AK219</f>
        <v/>
      </c>
      <c r="AL68" s="440">
        <f>AL219</f>
        <v/>
      </c>
      <c r="AM68" s="440">
        <f>AM219</f>
        <v/>
      </c>
      <c r="AN68" s="440">
        <f>AN219</f>
        <v/>
      </c>
      <c r="AO68" s="440">
        <f>AO219</f>
        <v/>
      </c>
      <c r="AP68" s="440">
        <f>AP219</f>
        <v/>
      </c>
      <c r="AQ68" s="440">
        <f>AQ219</f>
        <v/>
      </c>
      <c r="AR68" s="440">
        <f>AR219</f>
        <v/>
      </c>
      <c r="AS68" s="440">
        <f>AS219</f>
        <v/>
      </c>
      <c r="AT68" s="440">
        <f>AT219</f>
        <v/>
      </c>
      <c r="AU68" s="440">
        <f>AU219</f>
        <v/>
      </c>
      <c r="AV68" s="440">
        <f>AV219</f>
        <v/>
      </c>
      <c r="AW68" s="440">
        <f>AW219</f>
        <v/>
      </c>
      <c r="AX68" s="440">
        <f>AX219</f>
        <v/>
      </c>
      <c r="AY68" s="440">
        <f>AY219</f>
        <v/>
      </c>
      <c r="AZ68" s="440">
        <f>AZ219</f>
        <v/>
      </c>
      <c r="BA68" s="440">
        <f>BA219</f>
        <v/>
      </c>
      <c r="BB68" s="440">
        <f>BB219</f>
        <v/>
      </c>
      <c r="BC68" s="440">
        <f>BC219</f>
        <v/>
      </c>
      <c r="BD68" s="440">
        <f>BD219</f>
        <v/>
      </c>
      <c r="BE68" s="440">
        <f>BE219</f>
        <v/>
      </c>
      <c r="BF68" s="440">
        <f>BF219</f>
        <v/>
      </c>
      <c r="BG68" s="440">
        <f>BG219</f>
        <v/>
      </c>
      <c r="BH68" s="440">
        <f>BH219</f>
        <v/>
      </c>
      <c r="BI68" s="440">
        <f>BI219</f>
        <v/>
      </c>
      <c r="BJ68" s="440">
        <f>BJ219</f>
        <v/>
      </c>
      <c r="BK68" s="440">
        <f>BK219</f>
        <v/>
      </c>
      <c r="BL68" s="440">
        <f>BL219</f>
        <v/>
      </c>
      <c r="BM68" s="440">
        <f>BM219</f>
        <v/>
      </c>
      <c r="BN68" s="440">
        <f>BN219</f>
        <v/>
      </c>
      <c r="BO68" s="440">
        <f>BO219</f>
        <v/>
      </c>
      <c r="BP68" s="440">
        <f>BP219</f>
        <v/>
      </c>
      <c r="BQ68" s="440">
        <f>BQ219</f>
        <v/>
      </c>
      <c r="BR68" s="440">
        <f>BR219</f>
        <v/>
      </c>
      <c r="BS68" s="440">
        <f>BS219</f>
        <v/>
      </c>
      <c r="BT68" s="440">
        <f>BT219</f>
        <v/>
      </c>
      <c r="BU68" s="440">
        <f>BU219</f>
        <v/>
      </c>
      <c r="BV68" s="440">
        <f>BV219</f>
        <v/>
      </c>
      <c r="BW68" s="440">
        <f>BW219</f>
        <v/>
      </c>
      <c r="BX68" s="440">
        <f>BX219</f>
        <v/>
      </c>
      <c r="BY68" s="440">
        <f>BY219</f>
        <v/>
      </c>
      <c r="BZ68" s="440">
        <f>BZ219</f>
        <v/>
      </c>
      <c r="CA68" s="440">
        <f>CA219</f>
        <v/>
      </c>
      <c r="CB68" s="440">
        <f>CB219</f>
        <v/>
      </c>
      <c r="CC68" s="440">
        <f>CC219</f>
        <v/>
      </c>
      <c r="CD68" s="440">
        <f>CD219</f>
        <v/>
      </c>
      <c r="CE68" s="440">
        <f>CE219</f>
        <v/>
      </c>
      <c r="CF68" s="440">
        <f>CF219</f>
        <v/>
      </c>
      <c r="CG68" s="440">
        <f>CG219</f>
        <v/>
      </c>
      <c r="CH68" s="440">
        <f>CH219</f>
        <v/>
      </c>
      <c r="CI68" s="440">
        <f>CI219</f>
        <v/>
      </c>
      <c r="CJ68" s="440">
        <f>CJ219</f>
        <v/>
      </c>
      <c r="CK68" s="440">
        <f>CK219</f>
        <v/>
      </c>
      <c r="CL68" s="440">
        <f>CL219</f>
        <v/>
      </c>
      <c r="CM68" s="440">
        <f>CM219</f>
        <v/>
      </c>
      <c r="CN68" s="440">
        <f>CN219</f>
        <v/>
      </c>
      <c r="CO68" s="440">
        <f>CO219</f>
        <v/>
      </c>
      <c r="CP68" s="440">
        <f>CP219</f>
        <v/>
      </c>
      <c r="CQ68" s="440">
        <f>CQ219</f>
        <v/>
      </c>
      <c r="CR68" s="440">
        <f>CR219</f>
        <v/>
      </c>
      <c r="CS68" s="440">
        <f>CS219</f>
        <v/>
      </c>
      <c r="CT68" s="440">
        <f>CT219</f>
        <v/>
      </c>
      <c r="CU68" s="440">
        <f>CU219</f>
        <v/>
      </c>
      <c r="CV68" s="440">
        <f>CV219</f>
        <v/>
      </c>
      <c r="CW68" s="440">
        <f>CW219</f>
        <v/>
      </c>
      <c r="CX68" s="440">
        <f>CX219</f>
        <v/>
      </c>
      <c r="CY68" s="440">
        <f>CY219</f>
        <v/>
      </c>
      <c r="CZ68" s="440">
        <f>CZ219</f>
        <v/>
      </c>
      <c r="DA68" s="440">
        <f>DA219</f>
        <v/>
      </c>
      <c r="DB68" s="440">
        <f>DB219</f>
        <v/>
      </c>
      <c r="DC68" s="440">
        <f>DC219</f>
        <v/>
      </c>
      <c r="DD68" s="440">
        <f>DD219</f>
        <v/>
      </c>
      <c r="DE68" s="440">
        <f>DE219</f>
        <v/>
      </c>
      <c r="DF68" s="440">
        <f>DF219</f>
        <v/>
      </c>
      <c r="DG68" s="440">
        <f>DG219</f>
        <v/>
      </c>
      <c r="DH68" s="440">
        <f>DH219</f>
        <v/>
      </c>
      <c r="DI68" s="440">
        <f>DI219</f>
        <v/>
      </c>
      <c r="DJ68" s="440">
        <f>DJ219</f>
        <v/>
      </c>
      <c r="DK68" s="440">
        <f>DK219</f>
        <v/>
      </c>
      <c r="DL68" s="440">
        <f>DL219</f>
        <v/>
      </c>
      <c r="DM68" s="440">
        <f>DM219</f>
        <v/>
      </c>
      <c r="DN68" s="440">
        <f>DN219</f>
        <v/>
      </c>
      <c r="DO68" s="440">
        <f>DO219</f>
        <v/>
      </c>
      <c r="DP68" s="440">
        <f>DP219</f>
        <v/>
      </c>
      <c r="DQ68" s="440">
        <f>DQ219</f>
        <v/>
      </c>
      <c r="DR68" s="440">
        <f>DR219</f>
        <v/>
      </c>
      <c r="DS68" s="440">
        <f>DS219</f>
        <v/>
      </c>
      <c r="DT68" s="440">
        <f>DT219</f>
        <v/>
      </c>
      <c r="DU68" s="440">
        <f>DU219</f>
        <v/>
      </c>
      <c r="DV68" s="440">
        <f>DV219</f>
        <v/>
      </c>
      <c r="DW68" s="322" t="inlineStr">
        <is>
          <t>x</t>
        </is>
      </c>
    </row>
    <row r="69" hidden="1" outlineLevel="1" ht="17.25" customHeight="1" thickBot="1">
      <c r="C69" s="441" t="inlineStr">
        <is>
          <t>Total</t>
        </is>
      </c>
      <c r="D69" s="668">
        <f>SUM(D60:D68)</f>
        <v/>
      </c>
      <c r="E69" s="669" t="n"/>
      <c r="F69" s="670">
        <f>SUM(F60:F68)</f>
        <v/>
      </c>
      <c r="G69" s="670">
        <f>SUM(G60:G68)</f>
        <v/>
      </c>
      <c r="H69" s="670">
        <f>SUM(H60:H68)</f>
        <v/>
      </c>
      <c r="I69" s="670">
        <f>SUM(I60:I68)</f>
        <v/>
      </c>
      <c r="J69" s="670">
        <f>SUM(J60:J68)</f>
        <v/>
      </c>
      <c r="K69" s="670">
        <f>SUM(K60:K68)</f>
        <v/>
      </c>
      <c r="L69" s="670">
        <f>SUM(L60:L68)</f>
        <v/>
      </c>
      <c r="M69" s="670">
        <f>SUM(M60:M68)</f>
        <v/>
      </c>
      <c r="N69" s="670">
        <f>SUM(N60:N68)</f>
        <v/>
      </c>
      <c r="O69" s="670">
        <f>SUM(O60:O68)</f>
        <v/>
      </c>
      <c r="P69" s="670">
        <f>SUM(P60:P68)</f>
        <v/>
      </c>
      <c r="Q69" s="670">
        <f>SUM(Q60:Q68)</f>
        <v/>
      </c>
      <c r="R69" s="670">
        <f>SUM(R60:R68)</f>
        <v/>
      </c>
      <c r="S69" s="670">
        <f>SUM(S60:S68)</f>
        <v/>
      </c>
      <c r="T69" s="670">
        <f>SUM(T60:T68)</f>
        <v/>
      </c>
      <c r="U69" s="670">
        <f>SUM(U60:U68)</f>
        <v/>
      </c>
      <c r="V69" s="670">
        <f>SUM(V60:V68)</f>
        <v/>
      </c>
      <c r="W69" s="670">
        <f>SUM(W60:W68)</f>
        <v/>
      </c>
      <c r="X69" s="670">
        <f>SUM(X60:X68)</f>
        <v/>
      </c>
      <c r="Y69" s="670">
        <f>SUM(Y60:Y68)</f>
        <v/>
      </c>
      <c r="Z69" s="670">
        <f>SUM(Z60:Z68)</f>
        <v/>
      </c>
      <c r="AA69" s="670">
        <f>SUM(AA60:AA68)</f>
        <v/>
      </c>
      <c r="AB69" s="670">
        <f>SUM(AB60:AB68)</f>
        <v/>
      </c>
      <c r="AC69" s="670">
        <f>SUM(AC60:AC68)</f>
        <v/>
      </c>
      <c r="AD69" s="670">
        <f>SUM(AD60:AD68)</f>
        <v/>
      </c>
      <c r="AE69" s="670">
        <f>SUM(AE60:AE68)</f>
        <v/>
      </c>
      <c r="AF69" s="670">
        <f>SUM(AF60:AF68)</f>
        <v/>
      </c>
      <c r="AG69" s="670">
        <f>SUM(AG60:AG68)</f>
        <v/>
      </c>
      <c r="AH69" s="670">
        <f>SUM(AH60:AH68)</f>
        <v/>
      </c>
      <c r="AI69" s="670">
        <f>SUM(AI60:AI68)</f>
        <v/>
      </c>
      <c r="AJ69" s="670">
        <f>SUM(AJ60:AJ68)</f>
        <v/>
      </c>
      <c r="AK69" s="670">
        <f>SUM(AK60:AK68)</f>
        <v/>
      </c>
      <c r="AL69" s="670">
        <f>SUM(AL60:AL68)</f>
        <v/>
      </c>
      <c r="AM69" s="670">
        <f>SUM(AM60:AM68)</f>
        <v/>
      </c>
      <c r="AN69" s="670">
        <f>SUM(AN60:AN68)</f>
        <v/>
      </c>
      <c r="AO69" s="670">
        <f>SUM(AO60:AO68)</f>
        <v/>
      </c>
      <c r="AP69" s="670">
        <f>SUM(AP60:AP68)</f>
        <v/>
      </c>
      <c r="AQ69" s="670">
        <f>SUM(AQ60:AQ68)</f>
        <v/>
      </c>
      <c r="AR69" s="670">
        <f>SUM(AR60:AR68)</f>
        <v/>
      </c>
      <c r="AS69" s="670">
        <f>SUM(AS60:AS68)</f>
        <v/>
      </c>
      <c r="AT69" s="670">
        <f>SUM(AT60:AT68)</f>
        <v/>
      </c>
      <c r="AU69" s="670">
        <f>SUM(AU60:AU68)</f>
        <v/>
      </c>
      <c r="AV69" s="670">
        <f>SUM(AV60:AV68)</f>
        <v/>
      </c>
      <c r="AW69" s="670">
        <f>SUM(AW60:AW68)</f>
        <v/>
      </c>
      <c r="AX69" s="670">
        <f>SUM(AX60:AX68)</f>
        <v/>
      </c>
      <c r="AY69" s="670">
        <f>SUM(AY60:AY68)</f>
        <v/>
      </c>
      <c r="AZ69" s="670">
        <f>SUM(AZ60:AZ68)</f>
        <v/>
      </c>
      <c r="BA69" s="670">
        <f>SUM(BA60:BA68)</f>
        <v/>
      </c>
      <c r="BB69" s="670">
        <f>SUM(BB60:BB68)</f>
        <v/>
      </c>
      <c r="BC69" s="670">
        <f>SUM(BC60:BC68)</f>
        <v/>
      </c>
      <c r="BD69" s="670">
        <f>SUM(BD60:BD68)</f>
        <v/>
      </c>
      <c r="BE69" s="670">
        <f>SUM(BE60:BE68)</f>
        <v/>
      </c>
      <c r="BF69" s="670">
        <f>SUM(BF60:BF68)</f>
        <v/>
      </c>
      <c r="BG69" s="670">
        <f>SUM(BG60:BG68)</f>
        <v/>
      </c>
      <c r="BH69" s="670">
        <f>SUM(BH60:BH68)</f>
        <v/>
      </c>
      <c r="BI69" s="670">
        <f>SUM(BI60:BI68)</f>
        <v/>
      </c>
      <c r="BJ69" s="670">
        <f>SUM(BJ60:BJ68)</f>
        <v/>
      </c>
      <c r="BK69" s="670">
        <f>SUM(BK60:BK68)</f>
        <v/>
      </c>
      <c r="BL69" s="670">
        <f>SUM(BL60:BL68)</f>
        <v/>
      </c>
      <c r="BM69" s="670">
        <f>SUM(BM60:BM68)</f>
        <v/>
      </c>
      <c r="BN69" s="670">
        <f>SUM(BN60:BN68)</f>
        <v/>
      </c>
      <c r="BO69" s="670">
        <f>SUM(BO60:BO68)</f>
        <v/>
      </c>
      <c r="BP69" s="670">
        <f>SUM(BP60:BP68)</f>
        <v/>
      </c>
      <c r="BQ69" s="670">
        <f>SUM(BQ60:BQ68)</f>
        <v/>
      </c>
      <c r="BR69" s="670">
        <f>SUM(BR60:BR68)</f>
        <v/>
      </c>
      <c r="BS69" s="670">
        <f>SUM(BS60:BS68)</f>
        <v/>
      </c>
      <c r="BT69" s="670">
        <f>SUM(BT60:BT68)</f>
        <v/>
      </c>
      <c r="BU69" s="670">
        <f>SUM(BU60:BU68)</f>
        <v/>
      </c>
      <c r="BV69" s="670">
        <f>SUM(BV60:BV68)</f>
        <v/>
      </c>
      <c r="BW69" s="670">
        <f>SUM(BW60:BW68)</f>
        <v/>
      </c>
      <c r="BX69" s="670">
        <f>SUM(BX60:BX68)</f>
        <v/>
      </c>
      <c r="BY69" s="670">
        <f>SUM(BY60:BY68)</f>
        <v/>
      </c>
      <c r="BZ69" s="670">
        <f>SUM(BZ60:BZ68)</f>
        <v/>
      </c>
      <c r="CA69" s="670">
        <f>SUM(CA60:CA68)</f>
        <v/>
      </c>
      <c r="CB69" s="670">
        <f>SUM(CB60:CB68)</f>
        <v/>
      </c>
      <c r="CC69" s="670">
        <f>SUM(CC60:CC68)</f>
        <v/>
      </c>
      <c r="CD69" s="670">
        <f>SUM(CD60:CD68)</f>
        <v/>
      </c>
      <c r="CE69" s="670">
        <f>SUM(CE60:CE68)</f>
        <v/>
      </c>
      <c r="CF69" s="670">
        <f>SUM(CF60:CF68)</f>
        <v/>
      </c>
      <c r="CG69" s="670">
        <f>SUM(CG60:CG68)</f>
        <v/>
      </c>
      <c r="CH69" s="670">
        <f>SUM(CH60:CH68)</f>
        <v/>
      </c>
      <c r="CI69" s="670">
        <f>SUM(CI60:CI68)</f>
        <v/>
      </c>
      <c r="CJ69" s="670">
        <f>SUM(CJ60:CJ68)</f>
        <v/>
      </c>
      <c r="CK69" s="670">
        <f>SUM(CK60:CK68)</f>
        <v/>
      </c>
      <c r="CL69" s="670">
        <f>SUM(CL60:CL68)</f>
        <v/>
      </c>
      <c r="CM69" s="670">
        <f>SUM(CM60:CM68)</f>
        <v/>
      </c>
      <c r="CN69" s="670">
        <f>SUM(CN60:CN68)</f>
        <v/>
      </c>
      <c r="CO69" s="670">
        <f>SUM(CO60:CO68)</f>
        <v/>
      </c>
      <c r="CP69" s="670">
        <f>SUM(CP60:CP68)</f>
        <v/>
      </c>
      <c r="CQ69" s="670">
        <f>SUM(CQ60:CQ68)</f>
        <v/>
      </c>
      <c r="CR69" s="670">
        <f>SUM(CR60:CR68)</f>
        <v/>
      </c>
      <c r="CS69" s="670">
        <f>SUM(CS60:CS68)</f>
        <v/>
      </c>
      <c r="CT69" s="670">
        <f>SUM(CT60:CT68)</f>
        <v/>
      </c>
      <c r="CU69" s="670">
        <f>SUM(CU60:CU68)</f>
        <v/>
      </c>
      <c r="CV69" s="670">
        <f>SUM(CV60:CV68)</f>
        <v/>
      </c>
      <c r="CW69" s="670">
        <f>SUM(CW60:CW68)</f>
        <v/>
      </c>
      <c r="CX69" s="670">
        <f>SUM(CX60:CX68)</f>
        <v/>
      </c>
      <c r="CY69" s="670">
        <f>SUM(CY60:CY68)</f>
        <v/>
      </c>
      <c r="CZ69" s="670">
        <f>SUM(CZ60:CZ68)</f>
        <v/>
      </c>
      <c r="DA69" s="670">
        <f>SUM(DA60:DA68)</f>
        <v/>
      </c>
      <c r="DB69" s="670">
        <f>SUM(DB60:DB68)</f>
        <v/>
      </c>
      <c r="DC69" s="670">
        <f>SUM(DC60:DC68)</f>
        <v/>
      </c>
      <c r="DD69" s="670">
        <f>SUM(DD60:DD68)</f>
        <v/>
      </c>
      <c r="DE69" s="670">
        <f>SUM(DE60:DE68)</f>
        <v/>
      </c>
      <c r="DF69" s="670">
        <f>SUM(DF60:DF68)</f>
        <v/>
      </c>
      <c r="DG69" s="670">
        <f>SUM(DG60:DG68)</f>
        <v/>
      </c>
      <c r="DH69" s="670">
        <f>SUM(DH60:DH68)</f>
        <v/>
      </c>
      <c r="DI69" s="670">
        <f>SUM(DI60:DI68)</f>
        <v/>
      </c>
      <c r="DJ69" s="670">
        <f>SUM(DJ60:DJ68)</f>
        <v/>
      </c>
      <c r="DK69" s="670">
        <f>SUM(DK60:DK68)</f>
        <v/>
      </c>
      <c r="DL69" s="670">
        <f>SUM(DL60:DL68)</f>
        <v/>
      </c>
      <c r="DM69" s="670">
        <f>SUM(DM60:DM68)</f>
        <v/>
      </c>
      <c r="DN69" s="670">
        <f>SUM(DN60:DN68)</f>
        <v/>
      </c>
      <c r="DO69" s="670">
        <f>SUM(DO60:DO68)</f>
        <v/>
      </c>
      <c r="DP69" s="670">
        <f>SUM(DP60:DP68)</f>
        <v/>
      </c>
      <c r="DQ69" s="670">
        <f>SUM(DQ60:DQ68)</f>
        <v/>
      </c>
      <c r="DR69" s="670">
        <f>SUM(DR60:DR68)</f>
        <v/>
      </c>
      <c r="DS69" s="670">
        <f>SUM(DS60:DS68)</f>
        <v/>
      </c>
      <c r="DT69" s="670">
        <f>SUM(DT60:DT68)</f>
        <v/>
      </c>
      <c r="DU69" s="670">
        <f>SUM(DU60:DU68)</f>
        <v/>
      </c>
      <c r="DV69" s="670">
        <f>SUM(DV60:DV68)</f>
        <v/>
      </c>
      <c r="DW69" s="322" t="inlineStr">
        <is>
          <t>x</t>
        </is>
      </c>
    </row>
    <row r="70" hidden="1" outlineLevel="1" ht="17.25" customHeight="1" thickTop="1">
      <c r="C70" s="360" t="n"/>
      <c r="D70" s="360" t="n"/>
      <c r="E70" s="360" t="n"/>
      <c r="F70" s="360" t="n"/>
      <c r="G70" s="360" t="n"/>
      <c r="H70" s="360" t="n"/>
      <c r="I70" s="360" t="n"/>
      <c r="J70" s="360" t="n"/>
      <c r="K70" s="360" t="n"/>
      <c r="L70" s="360" t="n"/>
      <c r="M70" s="360" t="n"/>
      <c r="N70" s="360" t="n"/>
      <c r="O70" s="360" t="n"/>
      <c r="P70" s="360" t="n"/>
      <c r="Q70" s="360" t="n"/>
      <c r="R70" s="360" t="n"/>
      <c r="S70" s="360" t="n"/>
      <c r="T70" s="360" t="n"/>
      <c r="U70" s="360" t="n"/>
      <c r="V70" s="360" t="n"/>
      <c r="W70" s="360" t="n"/>
      <c r="X70" s="360" t="n"/>
      <c r="Y70" s="360" t="n"/>
      <c r="Z70" s="360" t="n"/>
      <c r="AA70" s="360" t="n"/>
      <c r="AB70" s="360" t="n"/>
      <c r="AC70" s="360" t="n"/>
      <c r="AD70" s="360" t="n"/>
      <c r="AE70" s="360" t="n"/>
      <c r="AF70" s="360" t="n"/>
      <c r="AG70" s="360" t="n"/>
      <c r="AH70" s="360" t="n"/>
      <c r="AI70" s="360" t="n"/>
      <c r="AJ70" s="360" t="n"/>
      <c r="AK70" s="360" t="n"/>
      <c r="AL70" s="360" t="n"/>
      <c r="AM70" s="360" t="n"/>
      <c r="AN70" s="360" t="n"/>
      <c r="AO70" s="360" t="n"/>
      <c r="AP70" s="360" t="n"/>
      <c r="AQ70" s="360" t="n"/>
      <c r="AR70" s="360" t="n"/>
      <c r="AS70" s="360" t="n"/>
      <c r="AT70" s="360" t="n"/>
      <c r="AU70" s="360" t="n"/>
      <c r="AV70" s="360" t="n"/>
      <c r="AW70" s="360" t="n"/>
      <c r="AX70" s="360" t="n"/>
      <c r="AY70" s="360" t="n"/>
      <c r="AZ70" s="360" t="n"/>
      <c r="BA70" s="360" t="n"/>
      <c r="BB70" s="360" t="n"/>
      <c r="BC70" s="360" t="n"/>
      <c r="BD70" s="360" t="n"/>
      <c r="BE70" s="360" t="n"/>
      <c r="BF70" s="360" t="n"/>
      <c r="BG70" s="360" t="n"/>
      <c r="BH70" s="360" t="n"/>
      <c r="BI70" s="360" t="n"/>
      <c r="BJ70" s="360" t="n"/>
      <c r="BK70" s="360" t="n"/>
      <c r="BL70" s="360" t="n"/>
      <c r="BM70" s="360" t="n"/>
      <c r="BN70" s="360" t="n"/>
      <c r="BO70" s="360" t="n"/>
      <c r="BP70" s="360" t="n"/>
      <c r="BQ70" s="360" t="n"/>
      <c r="BR70" s="360" t="n"/>
      <c r="BS70" s="360" t="n"/>
      <c r="BT70" s="360" t="n"/>
      <c r="BU70" s="360" t="n"/>
      <c r="BV70" s="360" t="n"/>
      <c r="BW70" s="360" t="n"/>
      <c r="BX70" s="360" t="n"/>
      <c r="BY70" s="360" t="n"/>
      <c r="BZ70" s="360" t="n"/>
      <c r="CA70" s="360" t="n"/>
      <c r="CB70" s="360" t="n"/>
      <c r="CC70" s="360" t="n"/>
      <c r="CD70" s="360" t="n"/>
      <c r="CE70" s="360" t="n"/>
      <c r="CF70" s="360" t="n"/>
      <c r="CG70" s="360" t="n"/>
      <c r="CH70" s="360" t="n"/>
      <c r="CI70" s="360" t="n"/>
      <c r="CJ70" s="360" t="n"/>
      <c r="CK70" s="360" t="n"/>
      <c r="CL70" s="360" t="n"/>
      <c r="CM70" s="360" t="n"/>
      <c r="CN70" s="360" t="n"/>
      <c r="CO70" s="360" t="n"/>
      <c r="CP70" s="360" t="n"/>
      <c r="CQ70" s="360" t="n"/>
      <c r="CR70" s="360" t="n"/>
      <c r="CS70" s="360" t="n"/>
      <c r="CT70" s="360" t="n"/>
      <c r="CU70" s="360" t="n"/>
      <c r="CV70" s="360" t="n"/>
      <c r="CW70" s="360" t="n"/>
      <c r="CX70" s="360" t="n"/>
      <c r="CY70" s="360" t="n"/>
      <c r="CZ70" s="360" t="n"/>
      <c r="DA70" s="360" t="n"/>
      <c r="DB70" s="360" t="n"/>
      <c r="DC70" s="360" t="n"/>
      <c r="DD70" s="360" t="n"/>
      <c r="DE70" s="360" t="n"/>
      <c r="DF70" s="360" t="n"/>
      <c r="DG70" s="360" t="n"/>
      <c r="DH70" s="360" t="n"/>
      <c r="DI70" s="360" t="n"/>
      <c r="DJ70" s="360" t="n"/>
      <c r="DK70" s="360" t="n"/>
      <c r="DL70" s="360" t="n"/>
      <c r="DM70" s="360" t="n"/>
      <c r="DN70" s="360" t="n"/>
      <c r="DO70" s="360" t="n"/>
      <c r="DP70" s="360" t="n"/>
      <c r="DQ70" s="360" t="n"/>
      <c r="DR70" s="360" t="n"/>
      <c r="DS70" s="360" t="n"/>
      <c r="DT70" s="360" t="n"/>
      <c r="DU70" s="360" t="n"/>
      <c r="DV70" s="360" t="n"/>
      <c r="DW70" s="322" t="inlineStr">
        <is>
          <t>x</t>
        </is>
      </c>
    </row>
    <row r="71" hidden="1" outlineLevel="1">
      <c r="C71" s="416">
        <f>I37&amp;" Returns"</f>
        <v/>
      </c>
      <c r="D71" s="417" t="n"/>
      <c r="E71" s="360" t="n"/>
      <c r="F71" s="360" t="n"/>
      <c r="G71" s="447" t="n"/>
      <c r="H71" s="360" t="n"/>
      <c r="I71" s="360" t="n"/>
      <c r="J71" s="360" t="n"/>
      <c r="K71" s="360" t="n"/>
      <c r="L71" s="360" t="n"/>
      <c r="M71" s="360" t="n"/>
      <c r="N71" s="360" t="n"/>
      <c r="O71" s="360" t="n"/>
      <c r="P71" s="360" t="n"/>
      <c r="Q71" s="360" t="n"/>
      <c r="R71" s="360" t="n"/>
      <c r="S71" s="360" t="n"/>
      <c r="T71" s="360" t="n"/>
      <c r="U71" s="360" t="n"/>
      <c r="V71" s="360" t="n"/>
      <c r="W71" s="360" t="n"/>
      <c r="X71" s="360" t="n"/>
      <c r="Y71" s="360" t="n"/>
      <c r="Z71" s="360" t="n"/>
      <c r="AA71" s="360" t="n"/>
      <c r="AB71" s="360" t="n"/>
      <c r="AC71" s="360" t="n"/>
      <c r="AD71" s="360" t="n"/>
      <c r="AE71" s="360" t="n"/>
      <c r="AF71" s="360" t="n"/>
      <c r="AG71" s="360" t="n"/>
      <c r="AH71" s="360" t="n"/>
      <c r="AI71" s="360" t="n"/>
      <c r="AJ71" s="360" t="n"/>
      <c r="AK71" s="360" t="n"/>
      <c r="AL71" s="360" t="n"/>
      <c r="AM71" s="360" t="n"/>
      <c r="AN71" s="360" t="n"/>
      <c r="AO71" s="360" t="n"/>
      <c r="AP71" s="360" t="n"/>
      <c r="AQ71" s="360" t="n"/>
      <c r="AR71" s="360" t="n"/>
      <c r="AS71" s="360" t="n"/>
      <c r="AT71" s="360" t="n"/>
      <c r="AU71" s="360" t="n"/>
      <c r="AV71" s="360" t="n"/>
      <c r="AW71" s="360" t="n"/>
      <c r="AX71" s="360" t="n"/>
      <c r="AY71" s="360" t="n"/>
      <c r="AZ71" s="360" t="n"/>
      <c r="BA71" s="360" t="n"/>
      <c r="BB71" s="360" t="n"/>
      <c r="BC71" s="360" t="n"/>
      <c r="BD71" s="360" t="n"/>
      <c r="BE71" s="360" t="n"/>
      <c r="BF71" s="360" t="n"/>
      <c r="BG71" s="360" t="n"/>
      <c r="BH71" s="360" t="n"/>
      <c r="BI71" s="360" t="n"/>
      <c r="BJ71" s="360" t="n"/>
      <c r="BK71" s="360" t="n"/>
      <c r="BL71" s="360" t="n"/>
      <c r="BM71" s="360" t="n"/>
      <c r="BN71" s="360" t="n"/>
      <c r="BO71" s="360" t="n"/>
      <c r="BP71" s="360" t="n"/>
      <c r="BQ71" s="360" t="n"/>
      <c r="BR71" s="360" t="n"/>
      <c r="BS71" s="360" t="n"/>
      <c r="BT71" s="360" t="n"/>
      <c r="BU71" s="360" t="n"/>
      <c r="BV71" s="360" t="n"/>
      <c r="BW71" s="360" t="n"/>
      <c r="BX71" s="360" t="n"/>
      <c r="BY71" s="360" t="n"/>
      <c r="BZ71" s="360" t="n"/>
      <c r="CA71" s="360" t="n"/>
      <c r="CB71" s="360" t="n"/>
      <c r="CC71" s="360" t="n"/>
      <c r="CD71" s="360" t="n"/>
      <c r="CE71" s="360" t="n"/>
      <c r="CF71" s="360" t="n"/>
      <c r="CG71" s="360" t="n"/>
      <c r="CH71" s="360" t="n"/>
      <c r="CI71" s="360" t="n"/>
      <c r="CJ71" s="360" t="n"/>
      <c r="CK71" s="360" t="n"/>
      <c r="CL71" s="360" t="n"/>
      <c r="CM71" s="360" t="n"/>
      <c r="CN71" s="360" t="n"/>
      <c r="CO71" s="360" t="n"/>
      <c r="CP71" s="360" t="n"/>
      <c r="CQ71" s="360" t="n"/>
      <c r="CR71" s="360" t="n"/>
      <c r="CS71" s="360" t="n"/>
      <c r="CT71" s="360" t="n"/>
      <c r="CU71" s="360" t="n"/>
      <c r="CV71" s="360" t="n"/>
      <c r="CW71" s="360" t="n"/>
      <c r="CX71" s="360" t="n"/>
      <c r="CY71" s="360" t="n"/>
      <c r="CZ71" s="360" t="n"/>
      <c r="DA71" s="360" t="n"/>
      <c r="DB71" s="360" t="n"/>
      <c r="DC71" s="360" t="n"/>
      <c r="DD71" s="360" t="n"/>
      <c r="DE71" s="360" t="n"/>
      <c r="DF71" s="360" t="n"/>
      <c r="DG71" s="360" t="n"/>
      <c r="DH71" s="360" t="n"/>
      <c r="DI71" s="360" t="n"/>
      <c r="DJ71" s="360" t="n"/>
      <c r="DK71" s="360" t="n"/>
      <c r="DL71" s="360" t="n"/>
      <c r="DM71" s="360" t="n"/>
      <c r="DN71" s="360" t="n"/>
      <c r="DO71" s="360" t="n"/>
      <c r="DP71" s="360" t="n"/>
      <c r="DQ71" s="360" t="n"/>
      <c r="DR71" s="360" t="n"/>
      <c r="DS71" s="360" t="n"/>
      <c r="DT71" s="360" t="n"/>
      <c r="DU71" s="360" t="n"/>
      <c r="DV71" s="360" t="n"/>
      <c r="DW71" s="322" t="inlineStr">
        <is>
          <t>x</t>
        </is>
      </c>
    </row>
    <row r="72" hidden="1" outlineLevel="1">
      <c r="C72" s="421" t="inlineStr">
        <is>
          <t>IRR</t>
        </is>
      </c>
      <c r="D72" s="422">
        <f>XIRR(F69:DV69,$F$9:$DV$9)</f>
        <v/>
      </c>
      <c r="F72" s="360" t="n"/>
      <c r="G72" s="445" t="n"/>
      <c r="H72" s="360" t="n"/>
      <c r="I72" s="360" t="n"/>
      <c r="J72" s="360" t="n"/>
      <c r="K72" s="360" t="n"/>
      <c r="L72" s="360" t="n"/>
      <c r="M72" s="360" t="n"/>
      <c r="N72" s="360" t="n"/>
      <c r="O72" s="360" t="n"/>
      <c r="P72" s="360" t="n"/>
      <c r="Q72" s="360" t="n"/>
      <c r="R72" s="360" t="n"/>
      <c r="S72" s="360" t="n"/>
      <c r="T72" s="360" t="n"/>
      <c r="U72" s="360" t="n"/>
      <c r="V72" s="360" t="n"/>
      <c r="W72" s="360" t="n"/>
      <c r="X72" s="360" t="n"/>
      <c r="Y72" s="360" t="n"/>
      <c r="Z72" s="360" t="n"/>
      <c r="AA72" s="360" t="n"/>
      <c r="AB72" s="360" t="n"/>
      <c r="AC72" s="360" t="n"/>
      <c r="AD72" s="360" t="n"/>
      <c r="AE72" s="360" t="n"/>
      <c r="AF72" s="360" t="n"/>
      <c r="AG72" s="360" t="n"/>
      <c r="AH72" s="360" t="n"/>
      <c r="AI72" s="360" t="n"/>
      <c r="AJ72" s="360" t="n"/>
      <c r="AK72" s="360" t="n"/>
      <c r="AL72" s="360" t="n"/>
      <c r="AM72" s="360" t="n"/>
      <c r="AN72" s="360" t="n"/>
      <c r="AO72" s="360" t="n"/>
      <c r="AP72" s="360" t="n"/>
      <c r="AQ72" s="360" t="n"/>
      <c r="AR72" s="360" t="n"/>
      <c r="AS72" s="360" t="n"/>
      <c r="AT72" s="360" t="n"/>
      <c r="AU72" s="360" t="n"/>
      <c r="AV72" s="360" t="n"/>
      <c r="AW72" s="360" t="n"/>
      <c r="AX72" s="360" t="n"/>
      <c r="AY72" s="360" t="n"/>
      <c r="AZ72" s="360" t="n"/>
      <c r="BA72" s="360" t="n"/>
      <c r="BB72" s="360" t="n"/>
      <c r="BC72" s="360" t="n"/>
      <c r="BD72" s="360" t="n"/>
      <c r="BE72" s="360" t="n"/>
      <c r="BF72" s="360" t="n"/>
      <c r="BG72" s="360" t="n"/>
      <c r="BH72" s="360" t="n"/>
      <c r="BI72" s="360" t="n"/>
      <c r="BJ72" s="360" t="n"/>
      <c r="BK72" s="360" t="n"/>
      <c r="BL72" s="360" t="n"/>
      <c r="BM72" s="360" t="n"/>
      <c r="BN72" s="360" t="n"/>
      <c r="BO72" s="360" t="n"/>
      <c r="BP72" s="360" t="n"/>
      <c r="BQ72" s="360" t="n"/>
      <c r="BR72" s="360" t="n"/>
      <c r="BS72" s="360" t="n"/>
      <c r="BT72" s="360" t="n"/>
      <c r="BU72" s="360" t="n"/>
      <c r="BV72" s="360" t="n"/>
      <c r="BW72" s="360" t="n"/>
      <c r="BX72" s="360" t="n"/>
      <c r="BY72" s="360" t="n"/>
      <c r="BZ72" s="360" t="n"/>
      <c r="CA72" s="360" t="n"/>
      <c r="CB72" s="360" t="n"/>
      <c r="CC72" s="360" t="n"/>
      <c r="CD72" s="360" t="n"/>
      <c r="CE72" s="360" t="n"/>
      <c r="CF72" s="360" t="n"/>
      <c r="CG72" s="360" t="n"/>
      <c r="CH72" s="360" t="n"/>
      <c r="CI72" s="360" t="n"/>
      <c r="CJ72" s="360" t="n"/>
      <c r="CK72" s="360" t="n"/>
      <c r="CL72" s="360" t="n"/>
      <c r="CM72" s="360" t="n"/>
      <c r="CN72" s="360" t="n"/>
      <c r="CO72" s="360" t="n"/>
      <c r="CP72" s="360" t="n"/>
      <c r="CQ72" s="360" t="n"/>
      <c r="CR72" s="360" t="n"/>
      <c r="CS72" s="360" t="n"/>
      <c r="CT72" s="360" t="n"/>
      <c r="CU72" s="360" t="n"/>
      <c r="CV72" s="360" t="n"/>
      <c r="CW72" s="360" t="n"/>
      <c r="CX72" s="360" t="n"/>
      <c r="CY72" s="360" t="n"/>
      <c r="CZ72" s="360" t="n"/>
      <c r="DA72" s="360" t="n"/>
      <c r="DB72" s="360" t="n"/>
      <c r="DC72" s="360" t="n"/>
      <c r="DD72" s="360" t="n"/>
      <c r="DE72" s="360" t="n"/>
      <c r="DF72" s="360" t="n"/>
      <c r="DG72" s="360" t="n"/>
      <c r="DH72" s="360" t="n"/>
      <c r="DI72" s="360" t="n"/>
      <c r="DJ72" s="360" t="n"/>
      <c r="DK72" s="360" t="n"/>
      <c r="DL72" s="360" t="n"/>
      <c r="DM72" s="360" t="n"/>
      <c r="DN72" s="360" t="n"/>
      <c r="DO72" s="360" t="n"/>
      <c r="DP72" s="360" t="n"/>
      <c r="DQ72" s="360" t="n"/>
      <c r="DR72" s="360" t="n"/>
      <c r="DS72" s="360" t="n"/>
      <c r="DT72" s="360" t="n"/>
      <c r="DU72" s="360" t="n"/>
      <c r="DV72" s="360" t="n"/>
      <c r="DW72" s="322" t="inlineStr">
        <is>
          <t>x</t>
        </is>
      </c>
    </row>
    <row r="73" hidden="1" outlineLevel="1">
      <c r="C73" s="426" t="inlineStr">
        <is>
          <t>Profit</t>
        </is>
      </c>
      <c r="D73" s="660">
        <f>SUM(F69:DV69)</f>
        <v/>
      </c>
      <c r="F73" s="360" t="n"/>
      <c r="G73" s="446" t="n"/>
      <c r="H73" s="360" t="n"/>
      <c r="I73" s="360" t="n"/>
      <c r="J73" s="360" t="n"/>
      <c r="K73" s="360" t="n"/>
      <c r="L73" s="360" t="n"/>
      <c r="M73" s="360" t="n"/>
      <c r="N73" s="360" t="n"/>
      <c r="O73" s="360" t="n"/>
      <c r="P73" s="360" t="n"/>
      <c r="Q73" s="360" t="n"/>
      <c r="R73" s="360" t="n"/>
      <c r="S73" s="360" t="n"/>
      <c r="T73" s="360" t="n"/>
      <c r="U73" s="360" t="n"/>
      <c r="V73" s="360" t="n"/>
      <c r="W73" s="360" t="n"/>
      <c r="X73" s="360" t="n"/>
      <c r="Y73" s="360" t="n"/>
      <c r="Z73" s="360" t="n"/>
      <c r="AA73" s="360" t="n"/>
      <c r="AB73" s="360" t="n"/>
      <c r="AC73" s="360" t="n"/>
      <c r="AD73" s="360" t="n"/>
      <c r="AE73" s="360" t="n"/>
      <c r="AF73" s="360" t="n"/>
      <c r="AG73" s="360" t="n"/>
      <c r="AH73" s="360" t="n"/>
      <c r="AI73" s="360" t="n"/>
      <c r="AJ73" s="360" t="n"/>
      <c r="AK73" s="360" t="n"/>
      <c r="AL73" s="360" t="n"/>
      <c r="AM73" s="360" t="n"/>
      <c r="AN73" s="360" t="n"/>
      <c r="AO73" s="360" t="n"/>
      <c r="AP73" s="360" t="n"/>
      <c r="AQ73" s="360" t="n"/>
      <c r="AR73" s="360" t="n"/>
      <c r="AS73" s="360" t="n"/>
      <c r="AT73" s="360" t="n"/>
      <c r="AU73" s="360" t="n"/>
      <c r="AV73" s="360" t="n"/>
      <c r="AW73" s="360" t="n"/>
      <c r="AX73" s="360" t="n"/>
      <c r="AY73" s="360" t="n"/>
      <c r="AZ73" s="360" t="n"/>
      <c r="BA73" s="360" t="n"/>
      <c r="BB73" s="360" t="n"/>
      <c r="BC73" s="360" t="n"/>
      <c r="BD73" s="360" t="n"/>
      <c r="BE73" s="360" t="n"/>
      <c r="BF73" s="360" t="n"/>
      <c r="BG73" s="360" t="n"/>
      <c r="BH73" s="360" t="n"/>
      <c r="BI73" s="360" t="n"/>
      <c r="BJ73" s="360" t="n"/>
      <c r="BK73" s="360" t="n"/>
      <c r="BL73" s="360" t="n"/>
      <c r="BM73" s="360" t="n"/>
      <c r="BN73" s="360" t="n"/>
      <c r="BO73" s="360" t="n"/>
      <c r="BP73" s="360" t="n"/>
      <c r="BQ73" s="360" t="n"/>
      <c r="BR73" s="360" t="n"/>
      <c r="BS73" s="360" t="n"/>
      <c r="BT73" s="360" t="n"/>
      <c r="BU73" s="360" t="n"/>
      <c r="BV73" s="360" t="n"/>
      <c r="BW73" s="360" t="n"/>
      <c r="BX73" s="360" t="n"/>
      <c r="BY73" s="360" t="n"/>
      <c r="BZ73" s="360" t="n"/>
      <c r="CA73" s="360" t="n"/>
      <c r="CB73" s="360" t="n"/>
      <c r="CC73" s="360" t="n"/>
      <c r="CD73" s="360" t="n"/>
      <c r="CE73" s="360" t="n"/>
      <c r="CF73" s="360" t="n"/>
      <c r="CG73" s="360" t="n"/>
      <c r="CH73" s="360" t="n"/>
      <c r="CI73" s="360" t="n"/>
      <c r="CJ73" s="360" t="n"/>
      <c r="CK73" s="360" t="n"/>
      <c r="CL73" s="360" t="n"/>
      <c r="CM73" s="360" t="n"/>
      <c r="CN73" s="360" t="n"/>
      <c r="CO73" s="360" t="n"/>
      <c r="CP73" s="360" t="n"/>
      <c r="CQ73" s="360" t="n"/>
      <c r="CR73" s="360" t="n"/>
      <c r="CS73" s="360" t="n"/>
      <c r="CT73" s="360" t="n"/>
      <c r="CU73" s="360" t="n"/>
      <c r="CV73" s="360" t="n"/>
      <c r="CW73" s="360" t="n"/>
      <c r="CX73" s="360" t="n"/>
      <c r="CY73" s="360" t="n"/>
      <c r="CZ73" s="360" t="n"/>
      <c r="DA73" s="360" t="n"/>
      <c r="DB73" s="360" t="n"/>
      <c r="DC73" s="360" t="n"/>
      <c r="DD73" s="360" t="n"/>
      <c r="DE73" s="360" t="n"/>
      <c r="DF73" s="360" t="n"/>
      <c r="DG73" s="360" t="n"/>
      <c r="DH73" s="360" t="n"/>
      <c r="DI73" s="360" t="n"/>
      <c r="DJ73" s="360" t="n"/>
      <c r="DK73" s="360" t="n"/>
      <c r="DL73" s="360" t="n"/>
      <c r="DM73" s="360" t="n"/>
      <c r="DN73" s="360" t="n"/>
      <c r="DO73" s="360" t="n"/>
      <c r="DP73" s="360" t="n"/>
      <c r="DQ73" s="360" t="n"/>
      <c r="DR73" s="360" t="n"/>
      <c r="DS73" s="360" t="n"/>
      <c r="DT73" s="360" t="n"/>
      <c r="DU73" s="360" t="n"/>
      <c r="DV73" s="360" t="n"/>
      <c r="DW73" s="322" t="inlineStr">
        <is>
          <t>x</t>
        </is>
      </c>
    </row>
    <row r="74" hidden="1" outlineLevel="1">
      <c r="C74" s="426" t="inlineStr">
        <is>
          <t>Equity Multiple</t>
        </is>
      </c>
      <c r="D74" s="431">
        <f t="array" ref="D74">SUMPRODUCT(--($F$69:$DV$69&gt;0),$F$69:$DV$69)/-SUMPRODUCT(--($F$69:$DV$69&lt;0),$F$69:$DV$69)</f>
        <v/>
      </c>
      <c r="F74" s="360" t="n"/>
      <c r="G74" s="447" t="n"/>
      <c r="H74" s="360" t="n"/>
      <c r="I74" s="360" t="n"/>
      <c r="J74" s="360" t="n"/>
      <c r="K74" s="360" t="n"/>
      <c r="L74" s="360" t="n"/>
      <c r="M74" s="360" t="n"/>
      <c r="N74" s="360" t="n"/>
      <c r="O74" s="360" t="n"/>
      <c r="P74" s="360" t="n"/>
      <c r="Q74" s="360" t="n"/>
      <c r="R74" s="360" t="n"/>
      <c r="S74" s="360" t="n"/>
      <c r="T74" s="360" t="n"/>
      <c r="U74" s="360" t="n"/>
      <c r="V74" s="360" t="n"/>
      <c r="W74" s="360" t="n"/>
      <c r="X74" s="360" t="n"/>
      <c r="Y74" s="360" t="n"/>
      <c r="Z74" s="360" t="n"/>
      <c r="AA74" s="360" t="n"/>
      <c r="AB74" s="360" t="n"/>
      <c r="AC74" s="360" t="n"/>
      <c r="AD74" s="360" t="n"/>
      <c r="AE74" s="360" t="n"/>
      <c r="AF74" s="360" t="n"/>
      <c r="AG74" s="360" t="n"/>
      <c r="AH74" s="360" t="n"/>
      <c r="AI74" s="360" t="n"/>
      <c r="AJ74" s="360" t="n"/>
      <c r="AK74" s="360" t="n"/>
      <c r="AL74" s="360" t="n"/>
      <c r="AM74" s="360" t="n"/>
      <c r="AN74" s="360" t="n"/>
      <c r="AO74" s="360" t="n"/>
      <c r="AP74" s="360" t="n"/>
      <c r="AQ74" s="360" t="n"/>
      <c r="AR74" s="360" t="n"/>
      <c r="AS74" s="360" t="n"/>
      <c r="AT74" s="360" t="n"/>
      <c r="AU74" s="360" t="n"/>
      <c r="AV74" s="360" t="n"/>
      <c r="AW74" s="360" t="n"/>
      <c r="AX74" s="360" t="n"/>
      <c r="AY74" s="360" t="n"/>
      <c r="AZ74" s="360" t="n"/>
      <c r="BA74" s="360" t="n"/>
      <c r="BB74" s="360" t="n"/>
      <c r="BC74" s="360" t="n"/>
      <c r="BD74" s="360" t="n"/>
      <c r="BE74" s="360" t="n"/>
      <c r="BF74" s="360" t="n"/>
      <c r="BG74" s="360" t="n"/>
      <c r="BH74" s="360" t="n"/>
      <c r="BI74" s="360" t="n"/>
      <c r="BJ74" s="360" t="n"/>
      <c r="BK74" s="360" t="n"/>
      <c r="BL74" s="360" t="n"/>
      <c r="BM74" s="360" t="n"/>
      <c r="BN74" s="360" t="n"/>
      <c r="BO74" s="360" t="n"/>
      <c r="BP74" s="360" t="n"/>
      <c r="BQ74" s="360" t="n"/>
      <c r="BR74" s="360" t="n"/>
      <c r="BS74" s="360" t="n"/>
      <c r="BT74" s="360" t="n"/>
      <c r="BU74" s="360" t="n"/>
      <c r="BV74" s="360" t="n"/>
      <c r="BW74" s="360" t="n"/>
      <c r="BX74" s="360" t="n"/>
      <c r="BY74" s="360" t="n"/>
      <c r="BZ74" s="360" t="n"/>
      <c r="CA74" s="360" t="n"/>
      <c r="CB74" s="360" t="n"/>
      <c r="CC74" s="360" t="n"/>
      <c r="CD74" s="360" t="n"/>
      <c r="CE74" s="360" t="n"/>
      <c r="CF74" s="360" t="n"/>
      <c r="CG74" s="360" t="n"/>
      <c r="CH74" s="360" t="n"/>
      <c r="CI74" s="360" t="n"/>
      <c r="CJ74" s="360" t="n"/>
      <c r="CK74" s="360" t="n"/>
      <c r="CL74" s="360" t="n"/>
      <c r="CM74" s="360" t="n"/>
      <c r="CN74" s="360" t="n"/>
      <c r="CO74" s="360" t="n"/>
      <c r="CP74" s="360" t="n"/>
      <c r="CQ74" s="360" t="n"/>
      <c r="CR74" s="360" t="n"/>
      <c r="CS74" s="360" t="n"/>
      <c r="CT74" s="360" t="n"/>
      <c r="CU74" s="360" t="n"/>
      <c r="CV74" s="360" t="n"/>
      <c r="CW74" s="360" t="n"/>
      <c r="CX74" s="360" t="n"/>
      <c r="CY74" s="360" t="n"/>
      <c r="CZ74" s="360" t="n"/>
      <c r="DA74" s="360" t="n"/>
      <c r="DB74" s="360" t="n"/>
      <c r="DC74" s="360" t="n"/>
      <c r="DD74" s="360" t="n"/>
      <c r="DE74" s="360" t="n"/>
      <c r="DF74" s="360" t="n"/>
      <c r="DG74" s="360" t="n"/>
      <c r="DH74" s="360" t="n"/>
      <c r="DI74" s="360" t="n"/>
      <c r="DJ74" s="360" t="n"/>
      <c r="DK74" s="360" t="n"/>
      <c r="DL74" s="360" t="n"/>
      <c r="DM74" s="360" t="n"/>
      <c r="DN74" s="360" t="n"/>
      <c r="DO74" s="360" t="n"/>
      <c r="DP74" s="360" t="n"/>
      <c r="DQ74" s="360" t="n"/>
      <c r="DR74" s="360" t="n"/>
      <c r="DS74" s="360" t="n"/>
      <c r="DT74" s="360" t="n"/>
      <c r="DU74" s="360" t="n"/>
      <c r="DV74" s="360" t="n"/>
      <c r="DW74" s="322" t="inlineStr">
        <is>
          <t>x</t>
        </is>
      </c>
    </row>
    <row r="75" hidden="1" outlineLevel="1">
      <c r="C75" s="363" t="inlineStr">
        <is>
          <t>Profit %</t>
        </is>
      </c>
      <c r="D75" s="435">
        <f>D73/SUM(D81,D77)</f>
        <v/>
      </c>
      <c r="F75" s="360" t="n"/>
      <c r="G75" s="671" t="n"/>
      <c r="H75" s="360" t="n"/>
      <c r="I75" s="360" t="n"/>
      <c r="J75" s="360" t="n"/>
      <c r="K75" s="360" t="n"/>
      <c r="L75" s="360" t="n"/>
      <c r="M75" s="360" t="n"/>
      <c r="N75" s="360" t="n"/>
      <c r="O75" s="360" t="n"/>
      <c r="P75" s="360" t="n"/>
      <c r="Q75" s="360" t="n"/>
      <c r="R75" s="360" t="n"/>
      <c r="S75" s="360" t="n"/>
      <c r="T75" s="360" t="n"/>
      <c r="U75" s="360" t="n"/>
      <c r="V75" s="360" t="n"/>
      <c r="W75" s="360" t="n"/>
      <c r="X75" s="360" t="n"/>
      <c r="Y75" s="360" t="n"/>
      <c r="Z75" s="360" t="n"/>
      <c r="AA75" s="360" t="n"/>
      <c r="AB75" s="360" t="n"/>
      <c r="AC75" s="360" t="n"/>
      <c r="AD75" s="360" t="n"/>
      <c r="AE75" s="360" t="n"/>
      <c r="AF75" s="360" t="n"/>
      <c r="AG75" s="360" t="n"/>
      <c r="AH75" s="360" t="n"/>
      <c r="AI75" s="360" t="n"/>
      <c r="AJ75" s="360" t="n"/>
      <c r="AK75" s="360" t="n"/>
      <c r="AL75" s="360" t="n"/>
      <c r="AM75" s="360" t="n"/>
      <c r="AN75" s="360" t="n"/>
      <c r="AO75" s="360" t="n"/>
      <c r="AP75" s="360" t="n"/>
      <c r="AQ75" s="360" t="n"/>
      <c r="AR75" s="360" t="n"/>
      <c r="AS75" s="360" t="n"/>
      <c r="AT75" s="360" t="n"/>
      <c r="AU75" s="360" t="n"/>
      <c r="AV75" s="360" t="n"/>
      <c r="AW75" s="360" t="n"/>
      <c r="AX75" s="360" t="n"/>
      <c r="AY75" s="360" t="n"/>
      <c r="AZ75" s="360" t="n"/>
      <c r="BA75" s="360" t="n"/>
      <c r="BB75" s="360" t="n"/>
      <c r="BC75" s="360" t="n"/>
      <c r="BD75" s="360" t="n"/>
      <c r="BE75" s="360" t="n"/>
      <c r="BF75" s="360" t="n"/>
      <c r="BG75" s="360" t="n"/>
      <c r="BH75" s="360" t="n"/>
      <c r="BI75" s="360" t="n"/>
      <c r="BJ75" s="360" t="n"/>
      <c r="BK75" s="360" t="n"/>
      <c r="BL75" s="360" t="n"/>
      <c r="BM75" s="360" t="n"/>
      <c r="BN75" s="360" t="n"/>
      <c r="BO75" s="360" t="n"/>
      <c r="BP75" s="360" t="n"/>
      <c r="BQ75" s="360" t="n"/>
      <c r="BR75" s="360" t="n"/>
      <c r="BS75" s="360" t="n"/>
      <c r="BT75" s="360" t="n"/>
      <c r="BU75" s="360" t="n"/>
      <c r="BV75" s="360" t="n"/>
      <c r="BW75" s="360" t="n"/>
      <c r="BX75" s="360" t="n"/>
      <c r="BY75" s="360" t="n"/>
      <c r="BZ75" s="360" t="n"/>
      <c r="CA75" s="360" t="n"/>
      <c r="CB75" s="360" t="n"/>
      <c r="CC75" s="360" t="n"/>
      <c r="CD75" s="360" t="n"/>
      <c r="CE75" s="360" t="n"/>
      <c r="CF75" s="360" t="n"/>
      <c r="CG75" s="360" t="n"/>
      <c r="CH75" s="360" t="n"/>
      <c r="CI75" s="360" t="n"/>
      <c r="CJ75" s="360" t="n"/>
      <c r="CK75" s="360" t="n"/>
      <c r="CL75" s="360" t="n"/>
      <c r="CM75" s="360" t="n"/>
      <c r="CN75" s="360" t="n"/>
      <c r="CO75" s="360" t="n"/>
      <c r="CP75" s="360" t="n"/>
      <c r="CQ75" s="360" t="n"/>
      <c r="CR75" s="360" t="n"/>
      <c r="CS75" s="360" t="n"/>
      <c r="CT75" s="360" t="n"/>
      <c r="CU75" s="360" t="n"/>
      <c r="CV75" s="360" t="n"/>
      <c r="CW75" s="360" t="n"/>
      <c r="CX75" s="360" t="n"/>
      <c r="CY75" s="360" t="n"/>
      <c r="CZ75" s="360" t="n"/>
      <c r="DA75" s="360" t="n"/>
      <c r="DB75" s="360" t="n"/>
      <c r="DC75" s="360" t="n"/>
      <c r="DD75" s="360" t="n"/>
      <c r="DE75" s="360" t="n"/>
      <c r="DF75" s="360" t="n"/>
      <c r="DG75" s="360" t="n"/>
      <c r="DH75" s="360" t="n"/>
      <c r="DI75" s="360" t="n"/>
      <c r="DJ75" s="360" t="n"/>
      <c r="DK75" s="360" t="n"/>
      <c r="DL75" s="360" t="n"/>
      <c r="DM75" s="360" t="n"/>
      <c r="DN75" s="360" t="n"/>
      <c r="DO75" s="360" t="n"/>
      <c r="DP75" s="360" t="n"/>
      <c r="DQ75" s="360" t="n"/>
      <c r="DR75" s="360" t="n"/>
      <c r="DS75" s="360" t="n"/>
      <c r="DT75" s="360" t="n"/>
      <c r="DU75" s="360" t="n"/>
      <c r="DV75" s="360" t="n"/>
      <c r="DW75" s="322" t="inlineStr">
        <is>
          <t>x</t>
        </is>
      </c>
    </row>
    <row r="76" hidden="1" outlineLevel="1">
      <c r="C76" s="449" t="n"/>
      <c r="D76" s="449" t="n"/>
    </row>
    <row r="77" hidden="1" outlineLevel="1">
      <c r="C77" s="374" t="inlineStr">
        <is>
          <t>Deal-Level</t>
        </is>
      </c>
      <c r="D77" s="672">
        <f>SUM(F77:DV77)</f>
        <v/>
      </c>
      <c r="F77" s="673">
        <f>IF($C$27=1,IF(F20&lt;0,F20,0),IF(F13&lt;0,F13,0))</f>
        <v/>
      </c>
      <c r="G77" s="673">
        <f>IF($C$27=1,IF(G20&lt;0,G20,0),IF(G13&lt;0,G13,0))</f>
        <v/>
      </c>
      <c r="H77" s="673">
        <f>IF($C$27=1,IF(H20&lt;0,H20,0),IF(H13&lt;0,H13,0))</f>
        <v/>
      </c>
      <c r="I77" s="673">
        <f>IF($C$27=1,IF(I20&lt;0,I20,0),IF(I13&lt;0,I13,0))</f>
        <v/>
      </c>
      <c r="J77" s="673">
        <f>IF($C$27=1,IF(J20&lt;0,J20,0),IF(J13&lt;0,J13,0))</f>
        <v/>
      </c>
      <c r="K77" s="673">
        <f>IF($C$27=1,IF(K20&lt;0,K20,0),IF(K13&lt;0,K13,0))</f>
        <v/>
      </c>
      <c r="L77" s="673">
        <f>IF($C$27=1,IF(L20&lt;0,L20,0),IF(L13&lt;0,L13,0))</f>
        <v/>
      </c>
      <c r="M77" s="673">
        <f>IF($C$27=1,IF(M20&lt;0,M20,0),IF(M13&lt;0,M13,0))</f>
        <v/>
      </c>
      <c r="N77" s="673">
        <f>IF($C$27=1,IF(N20&lt;0,N20,0),IF(N13&lt;0,N13,0))</f>
        <v/>
      </c>
      <c r="O77" s="673">
        <f>IF($C$27=1,IF(O20&lt;0,O20,0),IF(O13&lt;0,O13,0))</f>
        <v/>
      </c>
      <c r="P77" s="673">
        <f>IF($C$27=1,IF(P20&lt;0,P20,0),IF(P13&lt;0,P13,0))</f>
        <v/>
      </c>
      <c r="Q77" s="673">
        <f>IF($C$27=1,IF(Q20&lt;0,Q20,0),IF(Q13&lt;0,Q13,0))</f>
        <v/>
      </c>
      <c r="R77" s="673">
        <f>IF($C$27=1,IF(R20&lt;0,R20,0),IF(R13&lt;0,R13,0))</f>
        <v/>
      </c>
      <c r="S77" s="673">
        <f>IF($C$27=1,IF(S20&lt;0,S20,0),IF(S13&lt;0,S13,0))</f>
        <v/>
      </c>
      <c r="T77" s="673">
        <f>IF($C$27=1,IF(T20&lt;0,T20,0),IF(T13&lt;0,T13,0))</f>
        <v/>
      </c>
      <c r="U77" s="673">
        <f>IF($C$27=1,IF(U20&lt;0,U20,0),IF(U13&lt;0,U13,0))</f>
        <v/>
      </c>
      <c r="V77" s="673">
        <f>IF($C$27=1,IF(V20&lt;0,V20,0),IF(V13&lt;0,V13,0))</f>
        <v/>
      </c>
      <c r="W77" s="673">
        <f>IF($C$27=1,IF(W20&lt;0,W20,0),IF(W13&lt;0,W13,0))</f>
        <v/>
      </c>
      <c r="X77" s="673">
        <f>IF($C$27=1,IF(X20&lt;0,X20,0),IF(X13&lt;0,X13,0))</f>
        <v/>
      </c>
      <c r="Y77" s="673">
        <f>IF($C$27=1,IF(Y20&lt;0,Y20,0),IF(Y13&lt;0,Y13,0))</f>
        <v/>
      </c>
      <c r="Z77" s="673">
        <f>IF($C$27=1,IF(Z20&lt;0,Z20,0),IF(Z13&lt;0,Z13,0))</f>
        <v/>
      </c>
      <c r="AA77" s="673">
        <f>IF($C$27=1,IF(AA20&lt;0,AA20,0),IF(AA13&lt;0,AA13,0))</f>
        <v/>
      </c>
      <c r="AB77" s="673">
        <f>IF($C$27=1,IF(AB20&lt;0,AB20,0),IF(AB13&lt;0,AB13,0))</f>
        <v/>
      </c>
      <c r="AC77" s="673">
        <f>IF($C$27=1,IF(AC20&lt;0,AC20,0),IF(AC13&lt;0,AC13,0))</f>
        <v/>
      </c>
      <c r="AD77" s="673">
        <f>IF($C$27=1,IF(AD20&lt;0,AD20,0),IF(AD13&lt;0,AD13,0))</f>
        <v/>
      </c>
      <c r="AE77" s="673">
        <f>IF($C$27=1,IF(AE20&lt;0,AE20,0),IF(AE13&lt;0,AE13,0))</f>
        <v/>
      </c>
      <c r="AF77" s="673">
        <f>IF($C$27=1,IF(AF20&lt;0,AF20,0),IF(AF13&lt;0,AF13,0))</f>
        <v/>
      </c>
      <c r="AG77" s="673">
        <f>IF($C$27=1,IF(AG20&lt;0,AG20,0),IF(AG13&lt;0,AG13,0))</f>
        <v/>
      </c>
      <c r="AH77" s="673">
        <f>IF($C$27=1,IF(AH20&lt;0,AH20,0),IF(AH13&lt;0,AH13,0))</f>
        <v/>
      </c>
      <c r="AI77" s="673">
        <f>IF($C$27=1,IF(AI20&lt;0,AI20,0),IF(AI13&lt;0,AI13,0))</f>
        <v/>
      </c>
      <c r="AJ77" s="673">
        <f>IF($C$27=1,IF(AJ20&lt;0,AJ20,0),IF(AJ13&lt;0,AJ13,0))</f>
        <v/>
      </c>
      <c r="AK77" s="673">
        <f>IF($C$27=1,IF(AK20&lt;0,AK20,0),IF(AK13&lt;0,AK13,0))</f>
        <v/>
      </c>
      <c r="AL77" s="673">
        <f>IF($C$27=1,IF(AL20&lt;0,AL20,0),IF(AL13&lt;0,AL13,0))</f>
        <v/>
      </c>
      <c r="AM77" s="673">
        <f>IF($C$27=1,IF(AM20&lt;0,AM20,0),IF(AM13&lt;0,AM13,0))</f>
        <v/>
      </c>
      <c r="AN77" s="673">
        <f>IF($C$27=1,IF(AN20&lt;0,AN20,0),IF(AN13&lt;0,AN13,0))</f>
        <v/>
      </c>
      <c r="AO77" s="673">
        <f>IF($C$27=1,IF(AO20&lt;0,AO20,0),IF(AO13&lt;0,AO13,0))</f>
        <v/>
      </c>
      <c r="AP77" s="673">
        <f>IF($C$27=1,IF(AP20&lt;0,AP20,0),IF(AP13&lt;0,AP13,0))</f>
        <v/>
      </c>
      <c r="AQ77" s="673">
        <f>IF($C$27=1,IF(AQ20&lt;0,AQ20,0),IF(AQ13&lt;0,AQ13,0))</f>
        <v/>
      </c>
      <c r="AR77" s="673">
        <f>IF($C$27=1,IF(AR20&lt;0,AR20,0),IF(AR13&lt;0,AR13,0))</f>
        <v/>
      </c>
      <c r="AS77" s="673">
        <f>IF($C$27=1,IF(AS20&lt;0,AS20,0),IF(AS13&lt;0,AS13,0))</f>
        <v/>
      </c>
      <c r="AT77" s="673">
        <f>IF($C$27=1,IF(AT20&lt;0,AT20,0),IF(AT13&lt;0,AT13,0))</f>
        <v/>
      </c>
      <c r="AU77" s="673">
        <f>IF($C$27=1,IF(AU20&lt;0,AU20,0),IF(AU13&lt;0,AU13,0))</f>
        <v/>
      </c>
      <c r="AV77" s="673">
        <f>IF($C$27=1,IF(AV20&lt;0,AV20,0),IF(AV13&lt;0,AV13,0))</f>
        <v/>
      </c>
      <c r="AW77" s="673">
        <f>IF($C$27=1,IF(AW20&lt;0,AW20,0),IF(AW13&lt;0,AW13,0))</f>
        <v/>
      </c>
      <c r="AX77" s="673">
        <f>IF($C$27=1,IF(AX20&lt;0,AX20,0),IF(AX13&lt;0,AX13,0))</f>
        <v/>
      </c>
      <c r="AY77" s="673">
        <f>IF($C$27=1,IF(AY20&lt;0,AY20,0),IF(AY13&lt;0,AY13,0))</f>
        <v/>
      </c>
      <c r="AZ77" s="673">
        <f>IF($C$27=1,IF(AZ20&lt;0,AZ20,0),IF(AZ13&lt;0,AZ13,0))</f>
        <v/>
      </c>
      <c r="BA77" s="673">
        <f>IF($C$27=1,IF(BA20&lt;0,BA20,0),IF(BA13&lt;0,BA13,0))</f>
        <v/>
      </c>
      <c r="BB77" s="673">
        <f>IF($C$27=1,IF(BB20&lt;0,BB20,0),IF(BB13&lt;0,BB13,0))</f>
        <v/>
      </c>
      <c r="BC77" s="673">
        <f>IF($C$27=1,IF(BC20&lt;0,BC20,0),IF(BC13&lt;0,BC13,0))</f>
        <v/>
      </c>
      <c r="BD77" s="673">
        <f>IF($C$27=1,IF(BD20&lt;0,BD20,0),IF(BD13&lt;0,BD13,0))</f>
        <v/>
      </c>
      <c r="BE77" s="673">
        <f>IF($C$27=1,IF(BE20&lt;0,BE20,0),IF(BE13&lt;0,BE13,0))</f>
        <v/>
      </c>
      <c r="BF77" s="673">
        <f>IF($C$27=1,IF(BF20&lt;0,BF20,0),IF(BF13&lt;0,BF13,0))</f>
        <v/>
      </c>
      <c r="BG77" s="673">
        <f>IF($C$27=1,IF(BG20&lt;0,BG20,0),IF(BG13&lt;0,BG13,0))</f>
        <v/>
      </c>
      <c r="BH77" s="673">
        <f>IF($C$27=1,IF(BH20&lt;0,BH20,0),IF(BH13&lt;0,BH13,0))</f>
        <v/>
      </c>
      <c r="BI77" s="673">
        <f>IF($C$27=1,IF(BI20&lt;0,BI20,0),IF(BI13&lt;0,BI13,0))</f>
        <v/>
      </c>
      <c r="BJ77" s="673">
        <f>IF($C$27=1,IF(BJ20&lt;0,BJ20,0),IF(BJ13&lt;0,BJ13,0))</f>
        <v/>
      </c>
      <c r="BK77" s="673">
        <f>IF($C$27=1,IF(BK20&lt;0,BK20,0),IF(BK13&lt;0,BK13,0))</f>
        <v/>
      </c>
      <c r="BL77" s="673">
        <f>IF($C$27=1,IF(BL20&lt;0,BL20,0),IF(BL13&lt;0,BL13,0))</f>
        <v/>
      </c>
      <c r="BM77" s="673">
        <f>IF($C$27=1,IF(BM20&lt;0,BM20,0),IF(BM13&lt;0,BM13,0))</f>
        <v/>
      </c>
      <c r="BN77" s="673">
        <f>IF($C$27=1,IF(BN20&lt;0,BN20,0),IF(BN13&lt;0,BN13,0))</f>
        <v/>
      </c>
      <c r="BO77" s="673">
        <f>IF($C$27=1,IF(BO20&lt;0,BO20,0),IF(BO13&lt;0,BO13,0))</f>
        <v/>
      </c>
      <c r="BP77" s="673">
        <f>IF($C$27=1,IF(BP20&lt;0,BP20,0),IF(BP13&lt;0,BP13,0))</f>
        <v/>
      </c>
      <c r="BQ77" s="673">
        <f>IF($C$27=1,IF(BQ20&lt;0,BQ20,0),IF(BQ13&lt;0,BQ13,0))</f>
        <v/>
      </c>
      <c r="BR77" s="673">
        <f>IF($C$27=1,IF(BR20&lt;0,BR20,0),IF(BR13&lt;0,BR13,0))</f>
        <v/>
      </c>
      <c r="BS77" s="673">
        <f>IF($C$27=1,IF(BS20&lt;0,BS20,0),IF(BS13&lt;0,BS13,0))</f>
        <v/>
      </c>
      <c r="BT77" s="673">
        <f>IF($C$27=1,IF(BT20&lt;0,BT20,0),IF(BT13&lt;0,BT13,0))</f>
        <v/>
      </c>
      <c r="BU77" s="673">
        <f>IF($C$27=1,IF(BU20&lt;0,BU20,0),IF(BU13&lt;0,BU13,0))</f>
        <v/>
      </c>
      <c r="BV77" s="673">
        <f>IF($C$27=1,IF(BV20&lt;0,BV20,0),IF(BV13&lt;0,BV13,0))</f>
        <v/>
      </c>
      <c r="BW77" s="673">
        <f>IF($C$27=1,IF(BW20&lt;0,BW20,0),IF(BW13&lt;0,BW13,0))</f>
        <v/>
      </c>
      <c r="BX77" s="673">
        <f>IF($C$27=1,IF(BX20&lt;0,BX20,0),IF(BX13&lt;0,BX13,0))</f>
        <v/>
      </c>
      <c r="BY77" s="673">
        <f>IF($C$27=1,IF(BY20&lt;0,BY20,0),IF(BY13&lt;0,BY13,0))</f>
        <v/>
      </c>
      <c r="BZ77" s="673">
        <f>IF($C$27=1,IF(BZ20&lt;0,BZ20,0),IF(BZ13&lt;0,BZ13,0))</f>
        <v/>
      </c>
      <c r="CA77" s="673">
        <f>IF($C$27=1,IF(CA20&lt;0,CA20,0),IF(CA13&lt;0,CA13,0))</f>
        <v/>
      </c>
      <c r="CB77" s="673">
        <f>IF($C$27=1,IF(CB20&lt;0,CB20,0),IF(CB13&lt;0,CB13,0))</f>
        <v/>
      </c>
      <c r="CC77" s="673">
        <f>IF($C$27=1,IF(CC20&lt;0,CC20,0),IF(CC13&lt;0,CC13,0))</f>
        <v/>
      </c>
      <c r="CD77" s="673">
        <f>IF($C$27=1,IF(CD20&lt;0,CD20,0),IF(CD13&lt;0,CD13,0))</f>
        <v/>
      </c>
      <c r="CE77" s="673">
        <f>IF($C$27=1,IF(CE20&lt;0,CE20,0),IF(CE13&lt;0,CE13,0))</f>
        <v/>
      </c>
      <c r="CF77" s="673">
        <f>IF($C$27=1,IF(CF20&lt;0,CF20,0),IF(CF13&lt;0,CF13,0))</f>
        <v/>
      </c>
      <c r="CG77" s="673">
        <f>IF($C$27=1,IF(CG20&lt;0,CG20,0),IF(CG13&lt;0,CG13,0))</f>
        <v/>
      </c>
      <c r="CH77" s="673">
        <f>IF($C$27=1,IF(CH20&lt;0,CH20,0),IF(CH13&lt;0,CH13,0))</f>
        <v/>
      </c>
      <c r="CI77" s="673">
        <f>IF($C$27=1,IF(CI20&lt;0,CI20,0),IF(CI13&lt;0,CI13,0))</f>
        <v/>
      </c>
      <c r="CJ77" s="673">
        <f>IF($C$27=1,IF(CJ20&lt;0,CJ20,0),IF(CJ13&lt;0,CJ13,0))</f>
        <v/>
      </c>
      <c r="CK77" s="673">
        <f>IF($C$27=1,IF(CK20&lt;0,CK20,0),IF(CK13&lt;0,CK13,0))</f>
        <v/>
      </c>
      <c r="CL77" s="673">
        <f>IF($C$27=1,IF(CL20&lt;0,CL20,0),IF(CL13&lt;0,CL13,0))</f>
        <v/>
      </c>
      <c r="CM77" s="673">
        <f>IF($C$27=1,IF(CM20&lt;0,CM20,0),IF(CM13&lt;0,CM13,0))</f>
        <v/>
      </c>
      <c r="CN77" s="673">
        <f>IF($C$27=1,IF(CN20&lt;0,CN20,0),IF(CN13&lt;0,CN13,0))</f>
        <v/>
      </c>
      <c r="CO77" s="673">
        <f>IF($C$27=1,IF(CO20&lt;0,CO20,0),IF(CO13&lt;0,CO13,0))</f>
        <v/>
      </c>
      <c r="CP77" s="673">
        <f>IF($C$27=1,IF(CP20&lt;0,CP20,0),IF(CP13&lt;0,CP13,0))</f>
        <v/>
      </c>
      <c r="CQ77" s="673">
        <f>IF($C$27=1,IF(CQ20&lt;0,CQ20,0),IF(CQ13&lt;0,CQ13,0))</f>
        <v/>
      </c>
      <c r="CR77" s="673">
        <f>IF($C$27=1,IF(CR20&lt;0,CR20,0),IF(CR13&lt;0,CR13,0))</f>
        <v/>
      </c>
      <c r="CS77" s="673">
        <f>IF($C$27=1,IF(CS20&lt;0,CS20,0),IF(CS13&lt;0,CS13,0))</f>
        <v/>
      </c>
      <c r="CT77" s="673">
        <f>IF($C$27=1,IF(CT20&lt;0,CT20,0),IF(CT13&lt;0,CT13,0))</f>
        <v/>
      </c>
      <c r="CU77" s="673">
        <f>IF($C$27=1,IF(CU20&lt;0,CU20,0),IF(CU13&lt;0,CU13,0))</f>
        <v/>
      </c>
      <c r="CV77" s="673">
        <f>IF($C$27=1,IF(CV20&lt;0,CV20,0),IF(CV13&lt;0,CV13,0))</f>
        <v/>
      </c>
      <c r="CW77" s="673">
        <f>IF($C$27=1,IF(CW20&lt;0,CW20,0),IF(CW13&lt;0,CW13,0))</f>
        <v/>
      </c>
      <c r="CX77" s="673">
        <f>IF($C$27=1,IF(CX20&lt;0,CX20,0),IF(CX13&lt;0,CX13,0))</f>
        <v/>
      </c>
      <c r="CY77" s="673">
        <f>IF($C$27=1,IF(CY20&lt;0,CY20,0),IF(CY13&lt;0,CY13,0))</f>
        <v/>
      </c>
      <c r="CZ77" s="673">
        <f>IF($C$27=1,IF(CZ20&lt;0,CZ20,0),IF(CZ13&lt;0,CZ13,0))</f>
        <v/>
      </c>
      <c r="DA77" s="673">
        <f>IF($C$27=1,IF(DA20&lt;0,DA20,0),IF(DA13&lt;0,DA13,0))</f>
        <v/>
      </c>
      <c r="DB77" s="673">
        <f>IF($C$27=1,IF(DB20&lt;0,DB20,0),IF(DB13&lt;0,DB13,0))</f>
        <v/>
      </c>
      <c r="DC77" s="673">
        <f>IF($C$27=1,IF(DC20&lt;0,DC20,0),IF(DC13&lt;0,DC13,0))</f>
        <v/>
      </c>
      <c r="DD77" s="673">
        <f>IF($C$27=1,IF(DD20&lt;0,DD20,0),IF(DD13&lt;0,DD13,0))</f>
        <v/>
      </c>
      <c r="DE77" s="673">
        <f>IF($C$27=1,IF(DE20&lt;0,DE20,0),IF(DE13&lt;0,DE13,0))</f>
        <v/>
      </c>
      <c r="DF77" s="673">
        <f>IF($C$27=1,IF(DF20&lt;0,DF20,0),IF(DF13&lt;0,DF13,0))</f>
        <v/>
      </c>
      <c r="DG77" s="673">
        <f>IF($C$27=1,IF(DG20&lt;0,DG20,0),IF(DG13&lt;0,DG13,0))</f>
        <v/>
      </c>
      <c r="DH77" s="673">
        <f>IF($C$27=1,IF(DH20&lt;0,DH20,0),IF(DH13&lt;0,DH13,0))</f>
        <v/>
      </c>
      <c r="DI77" s="673">
        <f>IF($C$27=1,IF(DI20&lt;0,DI20,0),IF(DI13&lt;0,DI13,0))</f>
        <v/>
      </c>
      <c r="DJ77" s="673">
        <f>IF($C$27=1,IF(DJ20&lt;0,DJ20,0),IF(DJ13&lt;0,DJ13,0))</f>
        <v/>
      </c>
      <c r="DK77" s="673">
        <f>IF($C$27=1,IF(DK20&lt;0,DK20,0),IF(DK13&lt;0,DK13,0))</f>
        <v/>
      </c>
      <c r="DL77" s="673">
        <f>IF($C$27=1,IF(DL20&lt;0,DL20,0),IF(DL13&lt;0,DL13,0))</f>
        <v/>
      </c>
      <c r="DM77" s="673">
        <f>IF($C$27=1,IF(DM20&lt;0,DM20,0),IF(DM13&lt;0,DM13,0))</f>
        <v/>
      </c>
      <c r="DN77" s="673">
        <f>IF($C$27=1,IF(DN20&lt;0,DN20,0),IF(DN13&lt;0,DN13,0))</f>
        <v/>
      </c>
      <c r="DO77" s="673">
        <f>IF($C$27=1,IF(DO20&lt;0,DO20,0),IF(DO13&lt;0,DO13,0))</f>
        <v/>
      </c>
      <c r="DP77" s="673">
        <f>IF($C$27=1,IF(DP20&lt;0,DP20,0),IF(DP13&lt;0,DP13,0))</f>
        <v/>
      </c>
      <c r="DQ77" s="673">
        <f>IF($C$27=1,IF(DQ20&lt;0,DQ20,0),IF(DQ13&lt;0,DQ13,0))</f>
        <v/>
      </c>
      <c r="DR77" s="673">
        <f>IF($C$27=1,IF(DR20&lt;0,DR20,0),IF(DR13&lt;0,DR13,0))</f>
        <v/>
      </c>
      <c r="DS77" s="673">
        <f>IF($C$27=1,IF(DS20&lt;0,DS20,0),IF(DS13&lt;0,DS13,0))</f>
        <v/>
      </c>
      <c r="DT77" s="673">
        <f>IF($C$27=1,IF(DT20&lt;0,DT20,0),IF(DT13&lt;0,DT13,0))</f>
        <v/>
      </c>
      <c r="DU77" s="673">
        <f>IF($C$27=1,IF(DU20&lt;0,DU20,0),IF(DU13&lt;0,DU13,0))</f>
        <v/>
      </c>
      <c r="DV77" s="673">
        <f>IF($C$27=1,IF(DV20&lt;0,DV20,0),IF(DV13&lt;0,DV13,0))</f>
        <v/>
      </c>
      <c r="DW77" s="322" t="inlineStr">
        <is>
          <t>x</t>
        </is>
      </c>
    </row>
    <row r="78" hidden="1" outlineLevel="1">
      <c r="C78" s="452">
        <f>H37</f>
        <v/>
      </c>
      <c r="D78" s="453">
        <f>SUM(F78:DV78)</f>
        <v/>
      </c>
      <c r="F78" s="412">
        <f>F77*$D$31</f>
        <v/>
      </c>
      <c r="G78" s="412">
        <f>G77*$D$31</f>
        <v/>
      </c>
      <c r="H78" s="412">
        <f>H77*$D$31</f>
        <v/>
      </c>
      <c r="I78" s="412">
        <f>I77*$D$31</f>
        <v/>
      </c>
      <c r="J78" s="412">
        <f>J77*$D$31</f>
        <v/>
      </c>
      <c r="K78" s="412">
        <f>K77*$D$31</f>
        <v/>
      </c>
      <c r="L78" s="412">
        <f>L77*$D$31</f>
        <v/>
      </c>
      <c r="M78" s="412">
        <f>M77*$D$31</f>
        <v/>
      </c>
      <c r="N78" s="412">
        <f>N77*$D$31</f>
        <v/>
      </c>
      <c r="O78" s="412">
        <f>O77*$D$31</f>
        <v/>
      </c>
      <c r="P78" s="412">
        <f>P77*$D$31</f>
        <v/>
      </c>
      <c r="Q78" s="412">
        <f>Q77*$D$31</f>
        <v/>
      </c>
      <c r="R78" s="412">
        <f>R77*$D$31</f>
        <v/>
      </c>
      <c r="S78" s="412">
        <f>S77*$D$31</f>
        <v/>
      </c>
      <c r="T78" s="412">
        <f>T77*$D$31</f>
        <v/>
      </c>
      <c r="U78" s="412">
        <f>U77*$D$31</f>
        <v/>
      </c>
      <c r="V78" s="412">
        <f>V77*$D$31</f>
        <v/>
      </c>
      <c r="W78" s="412">
        <f>W77*$D$31</f>
        <v/>
      </c>
      <c r="X78" s="412">
        <f>X77*$D$31</f>
        <v/>
      </c>
      <c r="Y78" s="412">
        <f>Y77*$D$31</f>
        <v/>
      </c>
      <c r="Z78" s="412">
        <f>Z77*$D$31</f>
        <v/>
      </c>
      <c r="AA78" s="412">
        <f>AA77*$D$31</f>
        <v/>
      </c>
      <c r="AB78" s="412">
        <f>AB77*$D$31</f>
        <v/>
      </c>
      <c r="AC78" s="412">
        <f>AC77*$D$31</f>
        <v/>
      </c>
      <c r="AD78" s="412">
        <f>AD77*$D$31</f>
        <v/>
      </c>
      <c r="AE78" s="412">
        <f>AE77*$D$31</f>
        <v/>
      </c>
      <c r="AF78" s="412">
        <f>AF77*$D$31</f>
        <v/>
      </c>
      <c r="AG78" s="412">
        <f>AG77*$D$31</f>
        <v/>
      </c>
      <c r="AH78" s="412">
        <f>AH77*$D$31</f>
        <v/>
      </c>
      <c r="AI78" s="412">
        <f>AI77*$D$31</f>
        <v/>
      </c>
      <c r="AJ78" s="412">
        <f>AJ77*$D$31</f>
        <v/>
      </c>
      <c r="AK78" s="412">
        <f>AK77*$D$31</f>
        <v/>
      </c>
      <c r="AL78" s="412">
        <f>AL77*$D$31</f>
        <v/>
      </c>
      <c r="AM78" s="412">
        <f>AM77*$D$31</f>
        <v/>
      </c>
      <c r="AN78" s="412">
        <f>AN77*$D$31</f>
        <v/>
      </c>
      <c r="AO78" s="412">
        <f>AO77*$D$31</f>
        <v/>
      </c>
      <c r="AP78" s="412">
        <f>AP77*$D$31</f>
        <v/>
      </c>
      <c r="AQ78" s="412">
        <f>AQ77*$D$31</f>
        <v/>
      </c>
      <c r="AR78" s="412">
        <f>AR77*$D$31</f>
        <v/>
      </c>
      <c r="AS78" s="412">
        <f>AS77*$D$31</f>
        <v/>
      </c>
      <c r="AT78" s="412">
        <f>AT77*$D$31</f>
        <v/>
      </c>
      <c r="AU78" s="412">
        <f>AU77*$D$31</f>
        <v/>
      </c>
      <c r="AV78" s="412">
        <f>AV77*$D$31</f>
        <v/>
      </c>
      <c r="AW78" s="412">
        <f>AW77*$D$31</f>
        <v/>
      </c>
      <c r="AX78" s="412">
        <f>AX77*$D$31</f>
        <v/>
      </c>
      <c r="AY78" s="412">
        <f>AY77*$D$31</f>
        <v/>
      </c>
      <c r="AZ78" s="412">
        <f>AZ77*$D$31</f>
        <v/>
      </c>
      <c r="BA78" s="412">
        <f>BA77*$D$31</f>
        <v/>
      </c>
      <c r="BB78" s="412">
        <f>BB77*$D$31</f>
        <v/>
      </c>
      <c r="BC78" s="412">
        <f>BC77*$D$31</f>
        <v/>
      </c>
      <c r="BD78" s="412">
        <f>BD77*$D$31</f>
        <v/>
      </c>
      <c r="BE78" s="412">
        <f>BE77*$D$31</f>
        <v/>
      </c>
      <c r="BF78" s="412">
        <f>BF77*$D$31</f>
        <v/>
      </c>
      <c r="BG78" s="412">
        <f>BG77*$D$31</f>
        <v/>
      </c>
      <c r="BH78" s="412">
        <f>BH77*$D$31</f>
        <v/>
      </c>
      <c r="BI78" s="412">
        <f>BI77*$D$31</f>
        <v/>
      </c>
      <c r="BJ78" s="412">
        <f>BJ77*$D$31</f>
        <v/>
      </c>
      <c r="BK78" s="412">
        <f>BK77*$D$31</f>
        <v/>
      </c>
      <c r="BL78" s="412">
        <f>BL77*$D$31</f>
        <v/>
      </c>
      <c r="BM78" s="412">
        <f>BM77*$D$31</f>
        <v/>
      </c>
      <c r="BN78" s="412">
        <f>BN77*$D$31</f>
        <v/>
      </c>
      <c r="BO78" s="412">
        <f>BO77*$D$31</f>
        <v/>
      </c>
      <c r="BP78" s="412">
        <f>BP77*$D$31</f>
        <v/>
      </c>
      <c r="BQ78" s="412">
        <f>BQ77*$D$31</f>
        <v/>
      </c>
      <c r="BR78" s="412">
        <f>BR77*$D$31</f>
        <v/>
      </c>
      <c r="BS78" s="412">
        <f>BS77*$D$31</f>
        <v/>
      </c>
      <c r="BT78" s="412">
        <f>BT77*$D$31</f>
        <v/>
      </c>
      <c r="BU78" s="412">
        <f>BU77*$D$31</f>
        <v/>
      </c>
      <c r="BV78" s="412">
        <f>BV77*$D$31</f>
        <v/>
      </c>
      <c r="BW78" s="412">
        <f>BW77*$D$31</f>
        <v/>
      </c>
      <c r="BX78" s="412">
        <f>BX77*$D$31</f>
        <v/>
      </c>
      <c r="BY78" s="412">
        <f>BY77*$D$31</f>
        <v/>
      </c>
      <c r="BZ78" s="412">
        <f>BZ77*$D$31</f>
        <v/>
      </c>
      <c r="CA78" s="412">
        <f>CA77*$D$31</f>
        <v/>
      </c>
      <c r="CB78" s="412">
        <f>CB77*$D$31</f>
        <v/>
      </c>
      <c r="CC78" s="412">
        <f>CC77*$D$31</f>
        <v/>
      </c>
      <c r="CD78" s="412">
        <f>CD77*$D$31</f>
        <v/>
      </c>
      <c r="CE78" s="412">
        <f>CE77*$D$31</f>
        <v/>
      </c>
      <c r="CF78" s="412">
        <f>CF77*$D$31</f>
        <v/>
      </c>
      <c r="CG78" s="412">
        <f>CG77*$D$31</f>
        <v/>
      </c>
      <c r="CH78" s="412">
        <f>CH77*$D$31</f>
        <v/>
      </c>
      <c r="CI78" s="412">
        <f>CI77*$D$31</f>
        <v/>
      </c>
      <c r="CJ78" s="412">
        <f>CJ77*$D$31</f>
        <v/>
      </c>
      <c r="CK78" s="412">
        <f>CK77*$D$31</f>
        <v/>
      </c>
      <c r="CL78" s="412">
        <f>CL77*$D$31</f>
        <v/>
      </c>
      <c r="CM78" s="412">
        <f>CM77*$D$31</f>
        <v/>
      </c>
      <c r="CN78" s="412">
        <f>CN77*$D$31</f>
        <v/>
      </c>
      <c r="CO78" s="412">
        <f>CO77*$D$31</f>
        <v/>
      </c>
      <c r="CP78" s="412">
        <f>CP77*$D$31</f>
        <v/>
      </c>
      <c r="CQ78" s="412">
        <f>CQ77*$D$31</f>
        <v/>
      </c>
      <c r="CR78" s="412">
        <f>CR77*$D$31</f>
        <v/>
      </c>
      <c r="CS78" s="412">
        <f>CS77*$D$31</f>
        <v/>
      </c>
      <c r="CT78" s="412">
        <f>CT77*$D$31</f>
        <v/>
      </c>
      <c r="CU78" s="412">
        <f>CU77*$D$31</f>
        <v/>
      </c>
      <c r="CV78" s="412">
        <f>CV77*$D$31</f>
        <v/>
      </c>
      <c r="CW78" s="412">
        <f>CW77*$D$31</f>
        <v/>
      </c>
      <c r="CX78" s="412">
        <f>CX77*$D$31</f>
        <v/>
      </c>
      <c r="CY78" s="412">
        <f>CY77*$D$31</f>
        <v/>
      </c>
      <c r="CZ78" s="412">
        <f>CZ77*$D$31</f>
        <v/>
      </c>
      <c r="DA78" s="412">
        <f>DA77*$D$31</f>
        <v/>
      </c>
      <c r="DB78" s="412">
        <f>DB77*$D$31</f>
        <v/>
      </c>
      <c r="DC78" s="412">
        <f>DC77*$D$31</f>
        <v/>
      </c>
      <c r="DD78" s="412">
        <f>DD77*$D$31</f>
        <v/>
      </c>
      <c r="DE78" s="412">
        <f>DE77*$D$31</f>
        <v/>
      </c>
      <c r="DF78" s="412">
        <f>DF77*$D$31</f>
        <v/>
      </c>
      <c r="DG78" s="412">
        <f>DG77*$D$31</f>
        <v/>
      </c>
      <c r="DH78" s="412">
        <f>DH77*$D$31</f>
        <v/>
      </c>
      <c r="DI78" s="412">
        <f>DI77*$D$31</f>
        <v/>
      </c>
      <c r="DJ78" s="412">
        <f>DJ77*$D$31</f>
        <v/>
      </c>
      <c r="DK78" s="412">
        <f>DK77*$D$31</f>
        <v/>
      </c>
      <c r="DL78" s="412">
        <f>DL77*$D$31</f>
        <v/>
      </c>
      <c r="DM78" s="412">
        <f>DM77*$D$31</f>
        <v/>
      </c>
      <c r="DN78" s="412">
        <f>DN77*$D$31</f>
        <v/>
      </c>
      <c r="DO78" s="412">
        <f>DO77*$D$31</f>
        <v/>
      </c>
      <c r="DP78" s="412">
        <f>DP77*$D$31</f>
        <v/>
      </c>
      <c r="DQ78" s="412">
        <f>DQ77*$D$31</f>
        <v/>
      </c>
      <c r="DR78" s="412">
        <f>DR77*$D$31</f>
        <v/>
      </c>
      <c r="DS78" s="412">
        <f>DS77*$D$31</f>
        <v/>
      </c>
      <c r="DT78" s="412">
        <f>DT77*$D$31</f>
        <v/>
      </c>
      <c r="DU78" s="412">
        <f>DU77*$D$31</f>
        <v/>
      </c>
      <c r="DV78" s="412">
        <f>DV77*$D$31</f>
        <v/>
      </c>
      <c r="DW78" s="322" t="inlineStr">
        <is>
          <t>x</t>
        </is>
      </c>
    </row>
    <row r="79" hidden="1" outlineLevel="1">
      <c r="C79" s="452">
        <f>I37</f>
        <v/>
      </c>
      <c r="D79" s="453">
        <f>SUM(F79:DV79)</f>
        <v/>
      </c>
      <c r="F79" s="412">
        <f>F77*$D$32</f>
        <v/>
      </c>
      <c r="G79" s="412">
        <f>G77*$D$32</f>
        <v/>
      </c>
      <c r="H79" s="412">
        <f>H77*$D$32</f>
        <v/>
      </c>
      <c r="I79" s="412">
        <f>I77*$D$32</f>
        <v/>
      </c>
      <c r="J79" s="412">
        <f>J77*$D$32</f>
        <v/>
      </c>
      <c r="K79" s="412">
        <f>K77*$D$32</f>
        <v/>
      </c>
      <c r="L79" s="412">
        <f>L77*$D$32</f>
        <v/>
      </c>
      <c r="M79" s="412">
        <f>M77*$D$32</f>
        <v/>
      </c>
      <c r="N79" s="412">
        <f>N77*$D$32</f>
        <v/>
      </c>
      <c r="O79" s="412">
        <f>O77*$D$32</f>
        <v/>
      </c>
      <c r="P79" s="412">
        <f>P77*$D$32</f>
        <v/>
      </c>
      <c r="Q79" s="412">
        <f>Q77*$D$32</f>
        <v/>
      </c>
      <c r="R79" s="412">
        <f>R77*$D$32</f>
        <v/>
      </c>
      <c r="S79" s="412">
        <f>S77*$D$32</f>
        <v/>
      </c>
      <c r="T79" s="412">
        <f>T77*$D$32</f>
        <v/>
      </c>
      <c r="U79" s="412">
        <f>U77*$D$32</f>
        <v/>
      </c>
      <c r="V79" s="412">
        <f>V77*$D$32</f>
        <v/>
      </c>
      <c r="W79" s="412">
        <f>W77*$D$32</f>
        <v/>
      </c>
      <c r="X79" s="412">
        <f>X77*$D$32</f>
        <v/>
      </c>
      <c r="Y79" s="412">
        <f>Y77*$D$32</f>
        <v/>
      </c>
      <c r="Z79" s="412">
        <f>Z77*$D$32</f>
        <v/>
      </c>
      <c r="AA79" s="412">
        <f>AA77*$D$32</f>
        <v/>
      </c>
      <c r="AB79" s="412">
        <f>AB77*$D$32</f>
        <v/>
      </c>
      <c r="AC79" s="412">
        <f>AC77*$D$32</f>
        <v/>
      </c>
      <c r="AD79" s="412">
        <f>AD77*$D$32</f>
        <v/>
      </c>
      <c r="AE79" s="412">
        <f>AE77*$D$32</f>
        <v/>
      </c>
      <c r="AF79" s="412">
        <f>AF77*$D$32</f>
        <v/>
      </c>
      <c r="AG79" s="412">
        <f>AG77*$D$32</f>
        <v/>
      </c>
      <c r="AH79" s="412">
        <f>AH77*$D$32</f>
        <v/>
      </c>
      <c r="AI79" s="412">
        <f>AI77*$D$32</f>
        <v/>
      </c>
      <c r="AJ79" s="412">
        <f>AJ77*$D$32</f>
        <v/>
      </c>
      <c r="AK79" s="412">
        <f>AK77*$D$32</f>
        <v/>
      </c>
      <c r="AL79" s="412">
        <f>AL77*$D$32</f>
        <v/>
      </c>
      <c r="AM79" s="412">
        <f>AM77*$D$32</f>
        <v/>
      </c>
      <c r="AN79" s="412">
        <f>AN77*$D$32</f>
        <v/>
      </c>
      <c r="AO79" s="412">
        <f>AO77*$D$32</f>
        <v/>
      </c>
      <c r="AP79" s="412">
        <f>AP77*$D$32</f>
        <v/>
      </c>
      <c r="AQ79" s="412">
        <f>AQ77*$D$32</f>
        <v/>
      </c>
      <c r="AR79" s="412">
        <f>AR77*$D$32</f>
        <v/>
      </c>
      <c r="AS79" s="412">
        <f>AS77*$D$32</f>
        <v/>
      </c>
      <c r="AT79" s="412">
        <f>AT77*$D$32</f>
        <v/>
      </c>
      <c r="AU79" s="412">
        <f>AU77*$D$32</f>
        <v/>
      </c>
      <c r="AV79" s="412">
        <f>AV77*$D$32</f>
        <v/>
      </c>
      <c r="AW79" s="412">
        <f>AW77*$D$32</f>
        <v/>
      </c>
      <c r="AX79" s="412">
        <f>AX77*$D$32</f>
        <v/>
      </c>
      <c r="AY79" s="412">
        <f>AY77*$D$32</f>
        <v/>
      </c>
      <c r="AZ79" s="412">
        <f>AZ77*$D$32</f>
        <v/>
      </c>
      <c r="BA79" s="412">
        <f>BA77*$D$32</f>
        <v/>
      </c>
      <c r="BB79" s="412">
        <f>BB77*$D$32</f>
        <v/>
      </c>
      <c r="BC79" s="412">
        <f>BC77*$D$32</f>
        <v/>
      </c>
      <c r="BD79" s="412">
        <f>BD77*$D$32</f>
        <v/>
      </c>
      <c r="BE79" s="412">
        <f>BE77*$D$32</f>
        <v/>
      </c>
      <c r="BF79" s="412">
        <f>BF77*$D$32</f>
        <v/>
      </c>
      <c r="BG79" s="412">
        <f>BG77*$D$32</f>
        <v/>
      </c>
      <c r="BH79" s="412">
        <f>BH77*$D$32</f>
        <v/>
      </c>
      <c r="BI79" s="412">
        <f>BI77*$D$32</f>
        <v/>
      </c>
      <c r="BJ79" s="412">
        <f>BJ77*$D$32</f>
        <v/>
      </c>
      <c r="BK79" s="412">
        <f>BK77*$D$32</f>
        <v/>
      </c>
      <c r="BL79" s="412">
        <f>BL77*$D$32</f>
        <v/>
      </c>
      <c r="BM79" s="412">
        <f>BM77*$D$32</f>
        <v/>
      </c>
      <c r="BN79" s="412">
        <f>BN77*$D$32</f>
        <v/>
      </c>
      <c r="BO79" s="412">
        <f>BO77*$D$32</f>
        <v/>
      </c>
      <c r="BP79" s="412">
        <f>BP77*$D$32</f>
        <v/>
      </c>
      <c r="BQ79" s="412">
        <f>BQ77*$D$32</f>
        <v/>
      </c>
      <c r="BR79" s="412">
        <f>BR77*$D$32</f>
        <v/>
      </c>
      <c r="BS79" s="412">
        <f>BS77*$D$32</f>
        <v/>
      </c>
      <c r="BT79" s="412">
        <f>BT77*$D$32</f>
        <v/>
      </c>
      <c r="BU79" s="412">
        <f>BU77*$D$32</f>
        <v/>
      </c>
      <c r="BV79" s="412">
        <f>BV77*$D$32</f>
        <v/>
      </c>
      <c r="BW79" s="412">
        <f>BW77*$D$32</f>
        <v/>
      </c>
      <c r="BX79" s="412">
        <f>BX77*$D$32</f>
        <v/>
      </c>
      <c r="BY79" s="412">
        <f>BY77*$D$32</f>
        <v/>
      </c>
      <c r="BZ79" s="412">
        <f>BZ77*$D$32</f>
        <v/>
      </c>
      <c r="CA79" s="412">
        <f>CA77*$D$32</f>
        <v/>
      </c>
      <c r="CB79" s="412">
        <f>CB77*$D$32</f>
        <v/>
      </c>
      <c r="CC79" s="412">
        <f>CC77*$D$32</f>
        <v/>
      </c>
      <c r="CD79" s="412">
        <f>CD77*$D$32</f>
        <v/>
      </c>
      <c r="CE79" s="412">
        <f>CE77*$D$32</f>
        <v/>
      </c>
      <c r="CF79" s="412">
        <f>CF77*$D$32</f>
        <v/>
      </c>
      <c r="CG79" s="412">
        <f>CG77*$D$32</f>
        <v/>
      </c>
      <c r="CH79" s="412">
        <f>CH77*$D$32</f>
        <v/>
      </c>
      <c r="CI79" s="412">
        <f>CI77*$D$32</f>
        <v/>
      </c>
      <c r="CJ79" s="412">
        <f>CJ77*$D$32</f>
        <v/>
      </c>
      <c r="CK79" s="412">
        <f>CK77*$D$32</f>
        <v/>
      </c>
      <c r="CL79" s="412">
        <f>CL77*$D$32</f>
        <v/>
      </c>
      <c r="CM79" s="412">
        <f>CM77*$D$32</f>
        <v/>
      </c>
      <c r="CN79" s="412">
        <f>CN77*$D$32</f>
        <v/>
      </c>
      <c r="CO79" s="412">
        <f>CO77*$D$32</f>
        <v/>
      </c>
      <c r="CP79" s="412">
        <f>CP77*$D$32</f>
        <v/>
      </c>
      <c r="CQ79" s="412">
        <f>CQ77*$D$32</f>
        <v/>
      </c>
      <c r="CR79" s="412">
        <f>CR77*$D$32</f>
        <v/>
      </c>
      <c r="CS79" s="412">
        <f>CS77*$D$32</f>
        <v/>
      </c>
      <c r="CT79" s="412">
        <f>CT77*$D$32</f>
        <v/>
      </c>
      <c r="CU79" s="412">
        <f>CU77*$D$32</f>
        <v/>
      </c>
      <c r="CV79" s="412">
        <f>CV77*$D$32</f>
        <v/>
      </c>
      <c r="CW79" s="412">
        <f>CW77*$D$32</f>
        <v/>
      </c>
      <c r="CX79" s="412">
        <f>CX77*$D$32</f>
        <v/>
      </c>
      <c r="CY79" s="412">
        <f>CY77*$D$32</f>
        <v/>
      </c>
      <c r="CZ79" s="412">
        <f>CZ77*$D$32</f>
        <v/>
      </c>
      <c r="DA79" s="412">
        <f>DA77*$D$32</f>
        <v/>
      </c>
      <c r="DB79" s="412">
        <f>DB77*$D$32</f>
        <v/>
      </c>
      <c r="DC79" s="412">
        <f>DC77*$D$32</f>
        <v/>
      </c>
      <c r="DD79" s="412">
        <f>DD77*$D$32</f>
        <v/>
      </c>
      <c r="DE79" s="412">
        <f>DE77*$D$32</f>
        <v/>
      </c>
      <c r="DF79" s="412">
        <f>DF77*$D$32</f>
        <v/>
      </c>
      <c r="DG79" s="412">
        <f>DG77*$D$32</f>
        <v/>
      </c>
      <c r="DH79" s="412">
        <f>DH77*$D$32</f>
        <v/>
      </c>
      <c r="DI79" s="412">
        <f>DI77*$D$32</f>
        <v/>
      </c>
      <c r="DJ79" s="412">
        <f>DJ77*$D$32</f>
        <v/>
      </c>
      <c r="DK79" s="412">
        <f>DK77*$D$32</f>
        <v/>
      </c>
      <c r="DL79" s="412">
        <f>DL77*$D$32</f>
        <v/>
      </c>
      <c r="DM79" s="412">
        <f>DM77*$D$32</f>
        <v/>
      </c>
      <c r="DN79" s="412">
        <f>DN77*$D$32</f>
        <v/>
      </c>
      <c r="DO79" s="412">
        <f>DO77*$D$32</f>
        <v/>
      </c>
      <c r="DP79" s="412">
        <f>DP77*$D$32</f>
        <v/>
      </c>
      <c r="DQ79" s="412">
        <f>DQ77*$D$32</f>
        <v/>
      </c>
      <c r="DR79" s="412">
        <f>DR77*$D$32</f>
        <v/>
      </c>
      <c r="DS79" s="412">
        <f>DS77*$D$32</f>
        <v/>
      </c>
      <c r="DT79" s="412">
        <f>DT77*$D$32</f>
        <v/>
      </c>
      <c r="DU79" s="412">
        <f>DU77*$D$32</f>
        <v/>
      </c>
      <c r="DV79" s="412">
        <f>DV77*$D$32</f>
        <v/>
      </c>
      <c r="DW79" s="322" t="inlineStr">
        <is>
          <t>x</t>
        </is>
      </c>
    </row>
    <row r="80" hidden="1" outlineLevel="1">
      <c r="C80" s="360" t="n"/>
      <c r="D80" s="454" t="n"/>
      <c r="F80" s="360" t="n"/>
      <c r="G80" s="360" t="n"/>
      <c r="H80" s="360" t="n"/>
      <c r="I80" s="360" t="n"/>
      <c r="J80" s="360" t="n"/>
      <c r="K80" s="360" t="n"/>
      <c r="L80" s="360" t="n"/>
      <c r="M80" s="360" t="n"/>
      <c r="N80" s="360" t="n"/>
      <c r="O80" s="360" t="n"/>
      <c r="P80" s="360" t="n"/>
      <c r="Q80" s="360" t="n"/>
      <c r="R80" s="360" t="n"/>
      <c r="S80" s="360" t="n"/>
      <c r="T80" s="360" t="n"/>
      <c r="U80" s="360" t="n"/>
      <c r="V80" s="360" t="n"/>
      <c r="W80" s="360" t="n"/>
      <c r="X80" s="360" t="n"/>
      <c r="Y80" s="360" t="n"/>
      <c r="Z80" s="360" t="n"/>
      <c r="AA80" s="360" t="n"/>
      <c r="AB80" s="360" t="n"/>
      <c r="AC80" s="360" t="n"/>
      <c r="AD80" s="360" t="n"/>
      <c r="AE80" s="360" t="n"/>
      <c r="AF80" s="360" t="n"/>
      <c r="AG80" s="360" t="n"/>
      <c r="AH80" s="360" t="n"/>
      <c r="AI80" s="360" t="n"/>
      <c r="AJ80" s="360" t="n"/>
      <c r="AK80" s="360" t="n"/>
      <c r="AL80" s="360" t="n"/>
      <c r="AM80" s="360" t="n"/>
      <c r="AN80" s="360" t="n"/>
      <c r="AO80" s="360" t="n"/>
      <c r="AP80" s="360" t="n"/>
      <c r="AQ80" s="360" t="n"/>
      <c r="AR80" s="360" t="n"/>
      <c r="AS80" s="360" t="n"/>
      <c r="AT80" s="360" t="n"/>
      <c r="AU80" s="360" t="n"/>
      <c r="AV80" s="360" t="n"/>
      <c r="AW80" s="360" t="n"/>
      <c r="AX80" s="360" t="n"/>
      <c r="AY80" s="360" t="n"/>
      <c r="AZ80" s="360" t="n"/>
      <c r="BA80" s="360" t="n"/>
      <c r="BB80" s="360" t="n"/>
      <c r="BC80" s="360" t="n"/>
      <c r="BD80" s="360" t="n"/>
      <c r="BE80" s="360" t="n"/>
      <c r="BF80" s="360" t="n"/>
      <c r="BG80" s="360" t="n"/>
      <c r="BH80" s="360" t="n"/>
      <c r="BI80" s="360" t="n"/>
      <c r="BJ80" s="360" t="n"/>
      <c r="BK80" s="360" t="n"/>
      <c r="BL80" s="360" t="n"/>
      <c r="BM80" s="360" t="n"/>
      <c r="BN80" s="360" t="n"/>
      <c r="BO80" s="360" t="n"/>
      <c r="BP80" s="360" t="n"/>
      <c r="BQ80" s="360" t="n"/>
      <c r="BR80" s="360" t="n"/>
      <c r="BS80" s="360" t="n"/>
      <c r="BT80" s="360" t="n"/>
      <c r="BU80" s="360" t="n"/>
      <c r="BV80" s="360" t="n"/>
      <c r="BW80" s="360" t="n"/>
      <c r="BX80" s="360" t="n"/>
      <c r="BY80" s="360" t="n"/>
      <c r="BZ80" s="360" t="n"/>
      <c r="CA80" s="360" t="n"/>
      <c r="CB80" s="360" t="n"/>
      <c r="CC80" s="360" t="n"/>
      <c r="CD80" s="360" t="n"/>
      <c r="CE80" s="360" t="n"/>
      <c r="CF80" s="360" t="n"/>
      <c r="CG80" s="360" t="n"/>
      <c r="CH80" s="360" t="n"/>
      <c r="CI80" s="360" t="n"/>
      <c r="CJ80" s="360" t="n"/>
      <c r="CK80" s="360" t="n"/>
      <c r="CL80" s="360" t="n"/>
      <c r="CM80" s="360" t="n"/>
      <c r="CN80" s="360" t="n"/>
      <c r="CO80" s="360" t="n"/>
      <c r="CP80" s="360" t="n"/>
      <c r="CQ80" s="360" t="n"/>
      <c r="CR80" s="360" t="n"/>
      <c r="CS80" s="360" t="n"/>
      <c r="CT80" s="360" t="n"/>
      <c r="CU80" s="360" t="n"/>
      <c r="CV80" s="360" t="n"/>
      <c r="CW80" s="360" t="n"/>
      <c r="CX80" s="360" t="n"/>
      <c r="CY80" s="360" t="n"/>
      <c r="CZ80" s="360" t="n"/>
      <c r="DA80" s="360" t="n"/>
      <c r="DB80" s="360" t="n"/>
      <c r="DC80" s="360" t="n"/>
      <c r="DD80" s="360" t="n"/>
      <c r="DE80" s="360" t="n"/>
      <c r="DF80" s="360" t="n"/>
      <c r="DG80" s="360" t="n"/>
      <c r="DH80" s="360" t="n"/>
      <c r="DI80" s="360" t="n"/>
      <c r="DJ80" s="360" t="n"/>
      <c r="DK80" s="360" t="n"/>
      <c r="DL80" s="360" t="n"/>
      <c r="DM80" s="360" t="n"/>
      <c r="DN80" s="360" t="n"/>
      <c r="DO80" s="360" t="n"/>
      <c r="DP80" s="360" t="n"/>
      <c r="DQ80" s="360" t="n"/>
      <c r="DR80" s="360" t="n"/>
      <c r="DS80" s="360" t="n"/>
      <c r="DT80" s="360" t="n"/>
      <c r="DU80" s="360" t="n"/>
      <c r="DV80" s="360" t="n"/>
      <c r="DW80" s="322" t="inlineStr">
        <is>
          <t>x</t>
        </is>
      </c>
    </row>
    <row r="81" hidden="1" outlineLevel="1">
      <c r="C81" s="455" t="inlineStr">
        <is>
          <t>Positive Cash Flow</t>
        </is>
      </c>
      <c r="D81" s="674">
        <f>SUM(F81:DV81)</f>
        <v/>
      </c>
      <c r="F81" s="675">
        <f>IF($C$27=1,IF(F20&gt;0,F20,0),IF(F13&gt;0,F13,0))</f>
        <v/>
      </c>
      <c r="G81" s="675">
        <f>IF($C$27=1,IF(G20&gt;0,G20,0),IF(G13&gt;0,G13,0))</f>
        <v/>
      </c>
      <c r="H81" s="675">
        <f>IF($C$27=1,IF(H20&gt;0,H20,0),IF(H13&gt;0,H13,0))</f>
        <v/>
      </c>
      <c r="I81" s="675">
        <f>IF($C$27=1,IF(I20&gt;0,I20,0),IF(I13&gt;0,I13,0))</f>
        <v/>
      </c>
      <c r="J81" s="675">
        <f>IF($C$27=1,IF(J20&gt;0,J20,0),IF(J13&gt;0,J13,0))</f>
        <v/>
      </c>
      <c r="K81" s="675">
        <f>IF($C$27=1,IF(K20&gt;0,K20,0),IF(K13&gt;0,K13,0))</f>
        <v/>
      </c>
      <c r="L81" s="675">
        <f>IF($C$27=1,IF(L20&gt;0,L20,0),IF(L13&gt;0,L13,0))</f>
        <v/>
      </c>
      <c r="M81" s="675">
        <f>IF($C$27=1,IF(M20&gt;0,M20,0),IF(M13&gt;0,M13,0))</f>
        <v/>
      </c>
      <c r="N81" s="675">
        <f>IF($C$27=1,IF(N20&gt;0,N20,0),IF(N13&gt;0,N13,0))</f>
        <v/>
      </c>
      <c r="O81" s="675">
        <f>IF($C$27=1,IF(O20&gt;0,O20,0),IF(O13&gt;0,O13,0))</f>
        <v/>
      </c>
      <c r="P81" s="675">
        <f>IF($C$27=1,IF(P20&gt;0,P20,0),IF(P13&gt;0,P13,0))</f>
        <v/>
      </c>
      <c r="Q81" s="675">
        <f>IF($C$27=1,IF(Q20&gt;0,Q20,0),IF(Q13&gt;0,Q13,0))</f>
        <v/>
      </c>
      <c r="R81" s="675">
        <f>IF($C$27=1,IF(R20&gt;0,R20,0),IF(R13&gt;0,R13,0))</f>
        <v/>
      </c>
      <c r="S81" s="675">
        <f>IF($C$27=1,IF(S20&gt;0,S20,0),IF(S13&gt;0,S13,0))</f>
        <v/>
      </c>
      <c r="T81" s="675">
        <f>IF($C$27=1,IF(T20&gt;0,T20,0),IF(T13&gt;0,T13,0))</f>
        <v/>
      </c>
      <c r="U81" s="675">
        <f>IF($C$27=1,IF(U20&gt;0,U20,0),IF(U13&gt;0,U13,0))</f>
        <v/>
      </c>
      <c r="V81" s="675">
        <f>IF($C$27=1,IF(V20&gt;0,V20,0),IF(V13&gt;0,V13,0))</f>
        <v/>
      </c>
      <c r="W81" s="675">
        <f>IF($C$27=1,IF(W20&gt;0,W20,0),IF(W13&gt;0,W13,0))</f>
        <v/>
      </c>
      <c r="X81" s="675">
        <f>IF($C$27=1,IF(X20&gt;0,X20,0),IF(X13&gt;0,X13,0))</f>
        <v/>
      </c>
      <c r="Y81" s="675">
        <f>IF($C$27=1,IF(Y20&gt;0,Y20,0),IF(Y13&gt;0,Y13,0))</f>
        <v/>
      </c>
      <c r="Z81" s="675">
        <f>IF($C$27=1,IF(Z20&gt;0,Z20,0),IF(Z13&gt;0,Z13,0))</f>
        <v/>
      </c>
      <c r="AA81" s="675">
        <f>IF($C$27=1,IF(AA20&gt;0,AA20,0),IF(AA13&gt;0,AA13,0))</f>
        <v/>
      </c>
      <c r="AB81" s="675">
        <f>IF($C$27=1,IF(AB20&gt;0,AB20,0),IF(AB13&gt;0,AB13,0))</f>
        <v/>
      </c>
      <c r="AC81" s="675">
        <f>IF($C$27=1,IF(AC20&gt;0,AC20,0),IF(AC13&gt;0,AC13,0))</f>
        <v/>
      </c>
      <c r="AD81" s="675">
        <f>IF($C$27=1,IF(AD20&gt;0,AD20,0),IF(AD13&gt;0,AD13,0))</f>
        <v/>
      </c>
      <c r="AE81" s="675">
        <f>IF($C$27=1,IF(AE20&gt;0,AE20,0),IF(AE13&gt;0,AE13,0))</f>
        <v/>
      </c>
      <c r="AF81" s="675">
        <f>IF($C$27=1,IF(AF20&gt;0,AF20,0),IF(AF13&gt;0,AF13,0))</f>
        <v/>
      </c>
      <c r="AG81" s="675">
        <f>IF($C$27=1,IF(AG20&gt;0,AG20,0),IF(AG13&gt;0,AG13,0))</f>
        <v/>
      </c>
      <c r="AH81" s="675">
        <f>IF($C$27=1,IF(AH20&gt;0,AH20,0),IF(AH13&gt;0,AH13,0))</f>
        <v/>
      </c>
      <c r="AI81" s="675">
        <f>IF($C$27=1,IF(AI20&gt;0,AI20,0),IF(AI13&gt;0,AI13,0))</f>
        <v/>
      </c>
      <c r="AJ81" s="675">
        <f>IF($C$27=1,IF(AJ20&gt;0,AJ20,0),IF(AJ13&gt;0,AJ13,0))</f>
        <v/>
      </c>
      <c r="AK81" s="675">
        <f>IF($C$27=1,IF(AK20&gt;0,AK20,0),IF(AK13&gt;0,AK13,0))</f>
        <v/>
      </c>
      <c r="AL81" s="675">
        <f>IF($C$27=1,IF(AL20&gt;0,AL20,0),IF(AL13&gt;0,AL13,0))</f>
        <v/>
      </c>
      <c r="AM81" s="675">
        <f>IF($C$27=1,IF(AM20&gt;0,AM20,0),IF(AM13&gt;0,AM13,0))</f>
        <v/>
      </c>
      <c r="AN81" s="675">
        <f>IF($C$27=1,IF(AN20&gt;0,AN20,0),IF(AN13&gt;0,AN13,0))</f>
        <v/>
      </c>
      <c r="AO81" s="675">
        <f>IF($C$27=1,IF(AO20&gt;0,AO20,0),IF(AO13&gt;0,AO13,0))</f>
        <v/>
      </c>
      <c r="AP81" s="675">
        <f>IF($C$27=1,IF(AP20&gt;0,AP20,0),IF(AP13&gt;0,AP13,0))</f>
        <v/>
      </c>
      <c r="AQ81" s="675">
        <f>IF($C$27=1,IF(AQ20&gt;0,AQ20,0),IF(AQ13&gt;0,AQ13,0))</f>
        <v/>
      </c>
      <c r="AR81" s="675">
        <f>IF($C$27=1,IF(AR20&gt;0,AR20,0),IF(AR13&gt;0,AR13,0))</f>
        <v/>
      </c>
      <c r="AS81" s="675">
        <f>IF($C$27=1,IF(AS20&gt;0,AS20,0),IF(AS13&gt;0,AS13,0))</f>
        <v/>
      </c>
      <c r="AT81" s="675">
        <f>IF($C$27=1,IF(AT20&gt;0,AT20,0),IF(AT13&gt;0,AT13,0))</f>
        <v/>
      </c>
      <c r="AU81" s="675">
        <f>IF($C$27=1,IF(AU20&gt;0,AU20,0),IF(AU13&gt;0,AU13,0))</f>
        <v/>
      </c>
      <c r="AV81" s="675">
        <f>IF($C$27=1,IF(AV20&gt;0,AV20,0),IF(AV13&gt;0,AV13,0))</f>
        <v/>
      </c>
      <c r="AW81" s="675">
        <f>IF($C$27=1,IF(AW20&gt;0,AW20,0),IF(AW13&gt;0,AW13,0))</f>
        <v/>
      </c>
      <c r="AX81" s="675">
        <f>IF($C$27=1,IF(AX20&gt;0,AX20,0),IF(AX13&gt;0,AX13,0))</f>
        <v/>
      </c>
      <c r="AY81" s="675">
        <f>IF($C$27=1,IF(AY20&gt;0,AY20,0),IF(AY13&gt;0,AY13,0))</f>
        <v/>
      </c>
      <c r="AZ81" s="675">
        <f>IF($C$27=1,IF(AZ20&gt;0,AZ20,0),IF(AZ13&gt;0,AZ13,0))</f>
        <v/>
      </c>
      <c r="BA81" s="675">
        <f>IF($C$27=1,IF(BA20&gt;0,BA20,0),IF(BA13&gt;0,BA13,0))</f>
        <v/>
      </c>
      <c r="BB81" s="675">
        <f>IF($C$27=1,IF(BB20&gt;0,BB20,0),IF(BB13&gt;0,BB13,0))</f>
        <v/>
      </c>
      <c r="BC81" s="675">
        <f>IF($C$27=1,IF(BC20&gt;0,BC20,0),IF(BC13&gt;0,BC13,0))</f>
        <v/>
      </c>
      <c r="BD81" s="675">
        <f>IF($C$27=1,IF(BD20&gt;0,BD20,0),IF(BD13&gt;0,BD13,0))</f>
        <v/>
      </c>
      <c r="BE81" s="675">
        <f>IF($C$27=1,IF(BE20&gt;0,BE20,0),IF(BE13&gt;0,BE13,0))</f>
        <v/>
      </c>
      <c r="BF81" s="675">
        <f>IF($C$27=1,IF(BF20&gt;0,BF20,0),IF(BF13&gt;0,BF13,0))</f>
        <v/>
      </c>
      <c r="BG81" s="675">
        <f>IF($C$27=1,IF(BG20&gt;0,BG20,0),IF(BG13&gt;0,BG13,0))</f>
        <v/>
      </c>
      <c r="BH81" s="675">
        <f>IF($C$27=1,IF(BH20&gt;0,BH20,0),IF(BH13&gt;0,BH13,0))</f>
        <v/>
      </c>
      <c r="BI81" s="675">
        <f>IF($C$27=1,IF(BI20&gt;0,BI20,0),IF(BI13&gt;0,BI13,0))</f>
        <v/>
      </c>
      <c r="BJ81" s="675">
        <f>IF($C$27=1,IF(BJ20&gt;0,BJ20,0),IF(BJ13&gt;0,BJ13,0))</f>
        <v/>
      </c>
      <c r="BK81" s="675">
        <f>IF($C$27=1,IF(BK20&gt;0,BK20,0),IF(BK13&gt;0,BK13,0))</f>
        <v/>
      </c>
      <c r="BL81" s="675">
        <f>IF($C$27=1,IF(BL20&gt;0,BL20,0),IF(BL13&gt;0,BL13,0))</f>
        <v/>
      </c>
      <c r="BM81" s="675">
        <f>IF($C$27=1,IF(BM20&gt;0,BM20,0),IF(BM13&gt;0,BM13,0))</f>
        <v/>
      </c>
      <c r="BN81" s="675">
        <f>IF($C$27=1,IF(BN20&gt;0,BN20,0),IF(BN13&gt;0,BN13,0))</f>
        <v/>
      </c>
      <c r="BO81" s="675">
        <f>IF($C$27=1,IF(BO20&gt;0,BO20,0),IF(BO13&gt;0,BO13,0))</f>
        <v/>
      </c>
      <c r="BP81" s="675">
        <f>IF($C$27=1,IF(BP20&gt;0,BP20,0),IF(BP13&gt;0,BP13,0))</f>
        <v/>
      </c>
      <c r="BQ81" s="675">
        <f>IF($C$27=1,IF(BQ20&gt;0,BQ20,0),IF(BQ13&gt;0,BQ13,0))</f>
        <v/>
      </c>
      <c r="BR81" s="675">
        <f>IF($C$27=1,IF(BR20&gt;0,BR20,0),IF(BR13&gt;0,BR13,0))</f>
        <v/>
      </c>
      <c r="BS81" s="675">
        <f>IF($C$27=1,IF(BS20&gt;0,BS20,0),IF(BS13&gt;0,BS13,0))</f>
        <v/>
      </c>
      <c r="BT81" s="675">
        <f>IF($C$27=1,IF(BT20&gt;0,BT20,0),IF(BT13&gt;0,BT13,0))</f>
        <v/>
      </c>
      <c r="BU81" s="675">
        <f>IF($C$27=1,IF(BU20&gt;0,BU20,0),IF(BU13&gt;0,BU13,0))</f>
        <v/>
      </c>
      <c r="BV81" s="675">
        <f>IF($C$27=1,IF(BV20&gt;0,BV20,0),IF(BV13&gt;0,BV13,0))</f>
        <v/>
      </c>
      <c r="BW81" s="675">
        <f>IF($C$27=1,IF(BW20&gt;0,BW20,0),IF(BW13&gt;0,BW13,0))</f>
        <v/>
      </c>
      <c r="BX81" s="675">
        <f>IF($C$27=1,IF(BX20&gt;0,BX20,0),IF(BX13&gt;0,BX13,0))</f>
        <v/>
      </c>
      <c r="BY81" s="675">
        <f>IF($C$27=1,IF(BY20&gt;0,BY20,0),IF(BY13&gt;0,BY13,0))</f>
        <v/>
      </c>
      <c r="BZ81" s="675">
        <f>IF($C$27=1,IF(BZ20&gt;0,BZ20,0),IF(BZ13&gt;0,BZ13,0))</f>
        <v/>
      </c>
      <c r="CA81" s="675">
        <f>IF($C$27=1,IF(CA20&gt;0,CA20,0),IF(CA13&gt;0,CA13,0))</f>
        <v/>
      </c>
      <c r="CB81" s="675">
        <f>IF($C$27=1,IF(CB20&gt;0,CB20,0),IF(CB13&gt;0,CB13,0))</f>
        <v/>
      </c>
      <c r="CC81" s="675">
        <f>IF($C$27=1,IF(CC20&gt;0,CC20,0),IF(CC13&gt;0,CC13,0))</f>
        <v/>
      </c>
      <c r="CD81" s="675">
        <f>IF($C$27=1,IF(CD20&gt;0,CD20,0),IF(CD13&gt;0,CD13,0))</f>
        <v/>
      </c>
      <c r="CE81" s="675">
        <f>IF($C$27=1,IF(CE20&gt;0,CE20,0),IF(CE13&gt;0,CE13,0))</f>
        <v/>
      </c>
      <c r="CF81" s="675">
        <f>IF($C$27=1,IF(CF20&gt;0,CF20,0),IF(CF13&gt;0,CF13,0))</f>
        <v/>
      </c>
      <c r="CG81" s="675">
        <f>IF($C$27=1,IF(CG20&gt;0,CG20,0),IF(CG13&gt;0,CG13,0))</f>
        <v/>
      </c>
      <c r="CH81" s="675">
        <f>IF($C$27=1,IF(CH20&gt;0,CH20,0),IF(CH13&gt;0,CH13,0))</f>
        <v/>
      </c>
      <c r="CI81" s="675">
        <f>IF($C$27=1,IF(CI20&gt;0,CI20,0),IF(CI13&gt;0,CI13,0))</f>
        <v/>
      </c>
      <c r="CJ81" s="675">
        <f>IF($C$27=1,IF(CJ20&gt;0,CJ20,0),IF(CJ13&gt;0,CJ13,0))</f>
        <v/>
      </c>
      <c r="CK81" s="675">
        <f>IF($C$27=1,IF(CK20&gt;0,CK20,0),IF(CK13&gt;0,CK13,0))</f>
        <v/>
      </c>
      <c r="CL81" s="675">
        <f>IF($C$27=1,IF(CL20&gt;0,CL20,0),IF(CL13&gt;0,CL13,0))</f>
        <v/>
      </c>
      <c r="CM81" s="675">
        <f>IF($C$27=1,IF(CM20&gt;0,CM20,0),IF(CM13&gt;0,CM13,0))</f>
        <v/>
      </c>
      <c r="CN81" s="675">
        <f>IF($C$27=1,IF(CN20&gt;0,CN20,0),IF(CN13&gt;0,CN13,0))</f>
        <v/>
      </c>
      <c r="CO81" s="675">
        <f>IF($C$27=1,IF(CO20&gt;0,CO20,0),IF(CO13&gt;0,CO13,0))</f>
        <v/>
      </c>
      <c r="CP81" s="675">
        <f>IF($C$27=1,IF(CP20&gt;0,CP20,0),IF(CP13&gt;0,CP13,0))</f>
        <v/>
      </c>
      <c r="CQ81" s="675">
        <f>IF($C$27=1,IF(CQ20&gt;0,CQ20,0),IF(CQ13&gt;0,CQ13,0))</f>
        <v/>
      </c>
      <c r="CR81" s="675">
        <f>IF($C$27=1,IF(CR20&gt;0,CR20,0),IF(CR13&gt;0,CR13,0))</f>
        <v/>
      </c>
      <c r="CS81" s="675">
        <f>IF($C$27=1,IF(CS20&gt;0,CS20,0),IF(CS13&gt;0,CS13,0))</f>
        <v/>
      </c>
      <c r="CT81" s="675">
        <f>IF($C$27=1,IF(CT20&gt;0,CT20,0),IF(CT13&gt;0,CT13,0))</f>
        <v/>
      </c>
      <c r="CU81" s="675">
        <f>IF($C$27=1,IF(CU20&gt;0,CU20,0),IF(CU13&gt;0,CU13,0))</f>
        <v/>
      </c>
      <c r="CV81" s="675">
        <f>IF($C$27=1,IF(CV20&gt;0,CV20,0),IF(CV13&gt;0,CV13,0))</f>
        <v/>
      </c>
      <c r="CW81" s="675">
        <f>IF($C$27=1,IF(CW20&gt;0,CW20,0),IF(CW13&gt;0,CW13,0))</f>
        <v/>
      </c>
      <c r="CX81" s="675">
        <f>IF($C$27=1,IF(CX20&gt;0,CX20,0),IF(CX13&gt;0,CX13,0))</f>
        <v/>
      </c>
      <c r="CY81" s="675">
        <f>IF($C$27=1,IF(CY20&gt;0,CY20,0),IF(CY13&gt;0,CY13,0))</f>
        <v/>
      </c>
      <c r="CZ81" s="675">
        <f>IF($C$27=1,IF(CZ20&gt;0,CZ20,0),IF(CZ13&gt;0,CZ13,0))</f>
        <v/>
      </c>
      <c r="DA81" s="675">
        <f>IF($C$27=1,IF(DA20&gt;0,DA20,0),IF(DA13&gt;0,DA13,0))</f>
        <v/>
      </c>
      <c r="DB81" s="675">
        <f>IF($C$27=1,IF(DB20&gt;0,DB20,0),IF(DB13&gt;0,DB13,0))</f>
        <v/>
      </c>
      <c r="DC81" s="675">
        <f>IF($C$27=1,IF(DC20&gt;0,DC20,0),IF(DC13&gt;0,DC13,0))</f>
        <v/>
      </c>
      <c r="DD81" s="675">
        <f>IF($C$27=1,IF(DD20&gt;0,DD20,0),IF(DD13&gt;0,DD13,0))</f>
        <v/>
      </c>
      <c r="DE81" s="675">
        <f>IF($C$27=1,IF(DE20&gt;0,DE20,0),IF(DE13&gt;0,DE13,0))</f>
        <v/>
      </c>
      <c r="DF81" s="675">
        <f>IF($C$27=1,IF(DF20&gt;0,DF20,0),IF(DF13&gt;0,DF13,0))</f>
        <v/>
      </c>
      <c r="DG81" s="675">
        <f>IF($C$27=1,IF(DG20&gt;0,DG20,0),IF(DG13&gt;0,DG13,0))</f>
        <v/>
      </c>
      <c r="DH81" s="675">
        <f>IF($C$27=1,IF(DH20&gt;0,DH20,0),IF(DH13&gt;0,DH13,0))</f>
        <v/>
      </c>
      <c r="DI81" s="675">
        <f>IF($C$27=1,IF(DI20&gt;0,DI20,0),IF(DI13&gt;0,DI13,0))</f>
        <v/>
      </c>
      <c r="DJ81" s="675">
        <f>IF($C$27=1,IF(DJ20&gt;0,DJ20,0),IF(DJ13&gt;0,DJ13,0))</f>
        <v/>
      </c>
      <c r="DK81" s="675">
        <f>IF($C$27=1,IF(DK20&gt;0,DK20,0),IF(DK13&gt;0,DK13,0))</f>
        <v/>
      </c>
      <c r="DL81" s="675">
        <f>IF($C$27=1,IF(DL20&gt;0,DL20,0),IF(DL13&gt;0,DL13,0))</f>
        <v/>
      </c>
      <c r="DM81" s="675">
        <f>IF($C$27=1,IF(DM20&gt;0,DM20,0),IF(DM13&gt;0,DM13,0))</f>
        <v/>
      </c>
      <c r="DN81" s="675">
        <f>IF($C$27=1,IF(DN20&gt;0,DN20,0),IF(DN13&gt;0,DN13,0))</f>
        <v/>
      </c>
      <c r="DO81" s="675">
        <f>IF($C$27=1,IF(DO20&gt;0,DO20,0),IF(DO13&gt;0,DO13,0))</f>
        <v/>
      </c>
      <c r="DP81" s="675">
        <f>IF($C$27=1,IF(DP20&gt;0,DP20,0),IF(DP13&gt;0,DP13,0))</f>
        <v/>
      </c>
      <c r="DQ81" s="675">
        <f>IF($C$27=1,IF(DQ20&gt;0,DQ20,0),IF(DQ13&gt;0,DQ13,0))</f>
        <v/>
      </c>
      <c r="DR81" s="675">
        <f>IF($C$27=1,IF(DR20&gt;0,DR20,0),IF(DR13&gt;0,DR13,0))</f>
        <v/>
      </c>
      <c r="DS81" s="675">
        <f>IF($C$27=1,IF(DS20&gt;0,DS20,0),IF(DS13&gt;0,DS13,0))</f>
        <v/>
      </c>
      <c r="DT81" s="675">
        <f>IF($C$27=1,IF(DT20&gt;0,DT20,0),IF(DT13&gt;0,DT13,0))</f>
        <v/>
      </c>
      <c r="DU81" s="675">
        <f>IF($C$27=1,IF(DU20&gt;0,DU20,0),IF(DU13&gt;0,DU13,0))</f>
        <v/>
      </c>
      <c r="DV81" s="675">
        <f>IF($C$27=1,IF(DV20&gt;0,DV20,0),IF(DV13&gt;0,DV13,0))</f>
        <v/>
      </c>
      <c r="DW81" s="322" t="inlineStr">
        <is>
          <t>x</t>
        </is>
      </c>
    </row>
    <row r="82" hidden="1" outlineLevel="1">
      <c r="C82" s="360" t="n"/>
      <c r="D82" s="360" t="n"/>
      <c r="E82" s="360" t="n"/>
      <c r="F82" s="360" t="n"/>
      <c r="G82" s="360" t="n"/>
      <c r="H82" s="360" t="n"/>
      <c r="I82" s="360" t="n"/>
      <c r="J82" s="360" t="n"/>
      <c r="K82" s="360" t="n"/>
      <c r="L82" s="360" t="n"/>
      <c r="M82" s="360" t="n"/>
      <c r="N82" s="360" t="n"/>
      <c r="O82" s="360" t="n"/>
      <c r="P82" s="360" t="n"/>
      <c r="Q82" s="360" t="n"/>
      <c r="R82" s="360" t="n"/>
      <c r="S82" s="360" t="n"/>
      <c r="T82" s="360" t="n"/>
      <c r="U82" s="360" t="n"/>
      <c r="V82" s="360" t="n"/>
      <c r="W82" s="360" t="n"/>
      <c r="X82" s="360" t="n"/>
      <c r="Y82" s="360" t="n"/>
      <c r="Z82" s="360" t="n"/>
      <c r="AA82" s="360" t="n"/>
      <c r="AB82" s="360" t="n"/>
      <c r="AC82" s="360" t="n"/>
      <c r="AD82" s="360" t="n"/>
      <c r="AE82" s="360" t="n"/>
      <c r="AF82" s="360" t="n"/>
      <c r="AG82" s="360" t="n"/>
      <c r="AH82" s="360" t="n"/>
      <c r="AI82" s="360" t="n"/>
      <c r="AJ82" s="360" t="n"/>
      <c r="AK82" s="360" t="n"/>
      <c r="AL82" s="360" t="n"/>
      <c r="AM82" s="360" t="n"/>
      <c r="AN82" s="360" t="n"/>
      <c r="AO82" s="360" t="n"/>
      <c r="AP82" s="360" t="n"/>
      <c r="AQ82" s="360" t="n"/>
      <c r="AR82" s="360" t="n"/>
      <c r="AS82" s="360" t="n"/>
      <c r="AT82" s="360" t="n"/>
      <c r="AU82" s="360" t="n"/>
      <c r="AV82" s="360" t="n"/>
      <c r="AW82" s="360" t="n"/>
      <c r="AX82" s="360" t="n"/>
      <c r="AY82" s="360" t="n"/>
      <c r="AZ82" s="360" t="n"/>
      <c r="BA82" s="360" t="n"/>
      <c r="BB82" s="360" t="n"/>
      <c r="BC82" s="360" t="n"/>
      <c r="BD82" s="360" t="n"/>
      <c r="BE82" s="360" t="n"/>
      <c r="BF82" s="360" t="n"/>
      <c r="BG82" s="360" t="n"/>
      <c r="BH82" s="360" t="n"/>
      <c r="BI82" s="360" t="n"/>
      <c r="BJ82" s="360" t="n"/>
      <c r="BK82" s="360" t="n"/>
      <c r="BL82" s="360" t="n"/>
      <c r="BM82" s="360" t="n"/>
      <c r="BN82" s="360" t="n"/>
      <c r="BO82" s="360" t="n"/>
      <c r="BP82" s="360" t="n"/>
      <c r="BQ82" s="360" t="n"/>
      <c r="BR82" s="360" t="n"/>
      <c r="BS82" s="360" t="n"/>
      <c r="BT82" s="360" t="n"/>
      <c r="BU82" s="360" t="n"/>
      <c r="BV82" s="360" t="n"/>
      <c r="BW82" s="360" t="n"/>
      <c r="BX82" s="360" t="n"/>
      <c r="BY82" s="360" t="n"/>
      <c r="BZ82" s="360" t="n"/>
      <c r="CA82" s="360" t="n"/>
      <c r="CB82" s="360" t="n"/>
      <c r="CC82" s="360" t="n"/>
      <c r="CD82" s="360" t="n"/>
      <c r="CE82" s="360" t="n"/>
      <c r="CF82" s="360" t="n"/>
      <c r="CG82" s="360" t="n"/>
      <c r="CH82" s="360" t="n"/>
      <c r="CI82" s="360" t="n"/>
      <c r="CJ82" s="360" t="n"/>
      <c r="CK82" s="360" t="n"/>
      <c r="CL82" s="360" t="n"/>
      <c r="CM82" s="360" t="n"/>
      <c r="CN82" s="360" t="n"/>
      <c r="CO82" s="360" t="n"/>
      <c r="CP82" s="360" t="n"/>
      <c r="CQ82" s="360" t="n"/>
      <c r="CR82" s="360" t="n"/>
      <c r="CS82" s="360" t="n"/>
      <c r="CT82" s="360" t="n"/>
      <c r="CU82" s="360" t="n"/>
      <c r="CV82" s="360" t="n"/>
      <c r="CW82" s="360" t="n"/>
      <c r="CX82" s="360" t="n"/>
      <c r="CY82" s="360" t="n"/>
      <c r="CZ82" s="360" t="n"/>
      <c r="DA82" s="360" t="n"/>
      <c r="DB82" s="360" t="n"/>
      <c r="DC82" s="360" t="n"/>
      <c r="DD82" s="360" t="n"/>
      <c r="DE82" s="360" t="n"/>
      <c r="DF82" s="360" t="n"/>
      <c r="DG82" s="360" t="n"/>
      <c r="DH82" s="360" t="n"/>
      <c r="DI82" s="360" t="n"/>
      <c r="DJ82" s="360" t="n"/>
      <c r="DK82" s="360" t="n"/>
      <c r="DL82" s="360" t="n"/>
      <c r="DM82" s="360" t="n"/>
      <c r="DN82" s="360" t="n"/>
      <c r="DO82" s="360" t="n"/>
      <c r="DP82" s="360" t="n"/>
      <c r="DQ82" s="360" t="n"/>
      <c r="DR82" s="360" t="n"/>
      <c r="DS82" s="360" t="n"/>
      <c r="DT82" s="360" t="n"/>
      <c r="DU82" s="360" t="n"/>
      <c r="DV82" s="360" t="n"/>
      <c r="DW82" s="322" t="inlineStr">
        <is>
          <t>x</t>
        </is>
      </c>
    </row>
    <row r="83" hidden="1" outlineLevel="1">
      <c r="C83" s="382" t="inlineStr">
        <is>
          <t>Tier 1</t>
        </is>
      </c>
      <c r="D83" s="382" t="n"/>
      <c r="E83" s="395" t="n"/>
      <c r="F83" s="458" t="n"/>
      <c r="G83" s="458" t="n"/>
      <c r="H83" s="458" t="n"/>
      <c r="I83" s="458" t="n"/>
      <c r="J83" s="458" t="n"/>
      <c r="K83" s="458" t="n"/>
      <c r="L83" s="458" t="n"/>
      <c r="M83" s="458" t="n"/>
      <c r="N83" s="458" t="n"/>
      <c r="O83" s="458" t="n"/>
      <c r="P83" s="458" t="n"/>
      <c r="Q83" s="458" t="n"/>
      <c r="R83" s="458" t="n"/>
      <c r="S83" s="458" t="n"/>
      <c r="T83" s="458" t="n"/>
      <c r="U83" s="458" t="n"/>
      <c r="V83" s="458" t="n"/>
      <c r="W83" s="458" t="n"/>
      <c r="X83" s="458" t="n"/>
      <c r="Y83" s="458" t="n"/>
      <c r="Z83" s="458" t="n"/>
      <c r="AA83" s="458" t="n"/>
      <c r="AB83" s="458" t="n"/>
      <c r="AC83" s="458" t="n"/>
      <c r="AD83" s="458" t="n"/>
      <c r="AE83" s="458" t="n"/>
      <c r="AF83" s="458" t="n"/>
      <c r="AG83" s="458" t="n"/>
      <c r="AH83" s="458" t="n"/>
      <c r="AI83" s="458" t="n"/>
      <c r="AJ83" s="458" t="n"/>
      <c r="AK83" s="458" t="n"/>
      <c r="AL83" s="458" t="n"/>
      <c r="AM83" s="458" t="n"/>
      <c r="AN83" s="458" t="n"/>
      <c r="AO83" s="458" t="n"/>
      <c r="AP83" s="458" t="n"/>
      <c r="AQ83" s="458" t="n"/>
      <c r="AR83" s="458" t="n"/>
      <c r="AS83" s="458" t="n"/>
      <c r="AT83" s="458" t="n"/>
      <c r="AU83" s="458" t="n"/>
      <c r="AV83" s="458" t="n"/>
      <c r="AW83" s="458" t="n"/>
      <c r="AX83" s="458" t="n"/>
      <c r="AY83" s="458" t="n"/>
      <c r="AZ83" s="458" t="n"/>
      <c r="BA83" s="458" t="n"/>
      <c r="BB83" s="458" t="n"/>
      <c r="BC83" s="458" t="n"/>
      <c r="BD83" s="458" t="n"/>
      <c r="BE83" s="458" t="n"/>
      <c r="BF83" s="458" t="n"/>
      <c r="BG83" s="458" t="n"/>
      <c r="BH83" s="458" t="n"/>
      <c r="BI83" s="458" t="n"/>
      <c r="BJ83" s="458" t="n"/>
      <c r="BK83" s="458" t="n"/>
      <c r="BL83" s="458" t="n"/>
      <c r="BM83" s="458" t="n"/>
      <c r="BN83" s="458" t="n"/>
      <c r="BO83" s="458" t="n"/>
      <c r="BP83" s="458" t="n"/>
      <c r="BQ83" s="458" t="n"/>
      <c r="BR83" s="458" t="n"/>
      <c r="BS83" s="458" t="n"/>
      <c r="BT83" s="458" t="n"/>
      <c r="BU83" s="458" t="n"/>
      <c r="BV83" s="458" t="n"/>
      <c r="BW83" s="458" t="n"/>
      <c r="BX83" s="458" t="n"/>
      <c r="BY83" s="458" t="n"/>
      <c r="BZ83" s="458" t="n"/>
      <c r="CA83" s="458" t="n"/>
      <c r="CB83" s="458" t="n"/>
      <c r="CC83" s="458" t="n"/>
      <c r="CD83" s="458" t="n"/>
      <c r="CE83" s="458" t="n"/>
      <c r="CF83" s="458" t="n"/>
      <c r="CG83" s="458" t="n"/>
      <c r="CH83" s="458" t="n"/>
      <c r="CI83" s="458" t="n"/>
      <c r="CJ83" s="458" t="n"/>
      <c r="CK83" s="458" t="n"/>
      <c r="CL83" s="458" t="n"/>
      <c r="CM83" s="458" t="n"/>
      <c r="CN83" s="458" t="n"/>
      <c r="CO83" s="458" t="n"/>
      <c r="CP83" s="458" t="n"/>
      <c r="CQ83" s="458" t="n"/>
      <c r="CR83" s="458" t="n"/>
      <c r="CS83" s="458" t="n"/>
      <c r="CT83" s="458" t="n"/>
      <c r="CU83" s="458" t="n"/>
      <c r="CV83" s="458" t="n"/>
      <c r="CW83" s="458" t="n"/>
      <c r="CX83" s="458" t="n"/>
      <c r="CY83" s="458" t="n"/>
      <c r="CZ83" s="458" t="n"/>
      <c r="DA83" s="458" t="n"/>
      <c r="DB83" s="458" t="n"/>
      <c r="DC83" s="458" t="n"/>
      <c r="DD83" s="458" t="n"/>
      <c r="DE83" s="458" t="n"/>
      <c r="DF83" s="458" t="n"/>
      <c r="DG83" s="458" t="n"/>
      <c r="DH83" s="458" t="n"/>
      <c r="DI83" s="458" t="n"/>
      <c r="DJ83" s="458" t="n"/>
      <c r="DK83" s="458" t="n"/>
      <c r="DL83" s="458" t="n"/>
      <c r="DM83" s="458" t="n"/>
      <c r="DN83" s="458" t="n"/>
      <c r="DO83" s="458" t="n"/>
      <c r="DP83" s="458" t="n"/>
      <c r="DQ83" s="458" t="n"/>
      <c r="DR83" s="458" t="n"/>
      <c r="DS83" s="458" t="n"/>
      <c r="DT83" s="458" t="n"/>
      <c r="DU83" s="458" t="n"/>
      <c r="DV83" s="458" t="n"/>
      <c r="DW83" s="322" t="inlineStr">
        <is>
          <t>x</t>
        </is>
      </c>
    </row>
    <row r="84" hidden="1" outlineLevel="1">
      <c r="C84" s="360" t="n"/>
      <c r="D84" s="360" t="n"/>
      <c r="E84" s="360" t="n"/>
      <c r="F84" s="360" t="n"/>
      <c r="G84" s="360" t="n"/>
      <c r="H84" s="360" t="n"/>
      <c r="I84" s="360" t="n"/>
      <c r="J84" s="360" t="n"/>
      <c r="K84" s="360" t="n"/>
      <c r="L84" s="360" t="n"/>
      <c r="M84" s="360" t="n"/>
      <c r="N84" s="360" t="n"/>
      <c r="O84" s="360" t="n"/>
      <c r="P84" s="360" t="n"/>
      <c r="Q84" s="360" t="n"/>
      <c r="R84" s="360" t="n"/>
      <c r="S84" s="360" t="n"/>
      <c r="T84" s="360" t="n"/>
      <c r="U84" s="360" t="n"/>
      <c r="V84" s="360" t="n"/>
      <c r="W84" s="360" t="n"/>
      <c r="X84" s="360" t="n"/>
      <c r="Y84" s="360" t="n"/>
      <c r="Z84" s="360" t="n"/>
      <c r="AA84" s="360" t="n"/>
      <c r="AB84" s="360" t="n"/>
      <c r="AC84" s="360" t="n"/>
      <c r="AD84" s="360" t="n"/>
      <c r="AE84" s="360" t="n"/>
      <c r="AF84" s="360" t="n"/>
      <c r="AG84" s="360" t="n"/>
      <c r="AH84" s="360" t="n"/>
      <c r="AI84" s="360" t="n"/>
      <c r="AJ84" s="360" t="n"/>
      <c r="AK84" s="360" t="n"/>
      <c r="AL84" s="360" t="n"/>
      <c r="AM84" s="360" t="n"/>
      <c r="AN84" s="360" t="n"/>
      <c r="AO84" s="360" t="n"/>
      <c r="AP84" s="360" t="n"/>
      <c r="AQ84" s="360" t="n"/>
      <c r="AR84" s="360" t="n"/>
      <c r="AS84" s="360" t="n"/>
      <c r="AT84" s="360" t="n"/>
      <c r="AU84" s="360" t="n"/>
      <c r="AV84" s="360" t="n"/>
      <c r="AW84" s="360" t="n"/>
      <c r="AX84" s="360" t="n"/>
      <c r="AY84" s="360" t="n"/>
      <c r="AZ84" s="360" t="n"/>
      <c r="BA84" s="360" t="n"/>
      <c r="BB84" s="360" t="n"/>
      <c r="BC84" s="360" t="n"/>
      <c r="BD84" s="360" t="n"/>
      <c r="BE84" s="360" t="n"/>
      <c r="BF84" s="360" t="n"/>
      <c r="BG84" s="360" t="n"/>
      <c r="BH84" s="360" t="n"/>
      <c r="BI84" s="360" t="n"/>
      <c r="BJ84" s="360" t="n"/>
      <c r="BK84" s="360" t="n"/>
      <c r="BL84" s="360" t="n"/>
      <c r="BM84" s="360" t="n"/>
      <c r="BN84" s="360" t="n"/>
      <c r="BO84" s="360" t="n"/>
      <c r="BP84" s="360" t="n"/>
      <c r="BQ84" s="360" t="n"/>
      <c r="BR84" s="360" t="n"/>
      <c r="BS84" s="360" t="n"/>
      <c r="BT84" s="360" t="n"/>
      <c r="BU84" s="360" t="n"/>
      <c r="BV84" s="360" t="n"/>
      <c r="BW84" s="360" t="n"/>
      <c r="BX84" s="360" t="n"/>
      <c r="BY84" s="360" t="n"/>
      <c r="BZ84" s="360" t="n"/>
      <c r="CA84" s="360" t="n"/>
      <c r="CB84" s="360" t="n"/>
      <c r="CC84" s="360" t="n"/>
      <c r="CD84" s="360" t="n"/>
      <c r="CE84" s="360" t="n"/>
      <c r="CF84" s="360" t="n"/>
      <c r="CG84" s="360" t="n"/>
      <c r="CH84" s="360" t="n"/>
      <c r="CI84" s="360" t="n"/>
      <c r="CJ84" s="360" t="n"/>
      <c r="CK84" s="360" t="n"/>
      <c r="CL84" s="360" t="n"/>
      <c r="CM84" s="360" t="n"/>
      <c r="CN84" s="360" t="n"/>
      <c r="CO84" s="360" t="n"/>
      <c r="CP84" s="360" t="n"/>
      <c r="CQ84" s="360" t="n"/>
      <c r="CR84" s="360" t="n"/>
      <c r="CS84" s="360" t="n"/>
      <c r="CT84" s="360" t="n"/>
      <c r="CU84" s="360" t="n"/>
      <c r="CV84" s="360" t="n"/>
      <c r="CW84" s="360" t="n"/>
      <c r="CX84" s="360" t="n"/>
      <c r="CY84" s="360" t="n"/>
      <c r="CZ84" s="360" t="n"/>
      <c r="DA84" s="360" t="n"/>
      <c r="DB84" s="360" t="n"/>
      <c r="DC84" s="360" t="n"/>
      <c r="DD84" s="360" t="n"/>
      <c r="DE84" s="360" t="n"/>
      <c r="DF84" s="360" t="n"/>
      <c r="DG84" s="360" t="n"/>
      <c r="DH84" s="360" t="n"/>
      <c r="DI84" s="360" t="n"/>
      <c r="DJ84" s="360" t="n"/>
      <c r="DK84" s="360" t="n"/>
      <c r="DL84" s="360" t="n"/>
      <c r="DM84" s="360" t="n"/>
      <c r="DN84" s="360" t="n"/>
      <c r="DO84" s="360" t="n"/>
      <c r="DP84" s="360" t="n"/>
      <c r="DQ84" s="360" t="n"/>
      <c r="DR84" s="360" t="n"/>
      <c r="DS84" s="360" t="n"/>
      <c r="DT84" s="360" t="n"/>
      <c r="DU84" s="360" t="n"/>
      <c r="DV84" s="360" t="n"/>
      <c r="DW84" s="322" t="inlineStr">
        <is>
          <t>x</t>
        </is>
      </c>
    </row>
    <row r="85" hidden="1" outlineLevel="1">
      <c r="C85" s="382" t="inlineStr">
        <is>
          <t>Tier I IRR Hurdle</t>
        </is>
      </c>
      <c r="D85" s="382" t="n"/>
      <c r="E85" s="676" t="n"/>
      <c r="F85" s="460" t="inlineStr">
        <is>
          <t>Compound?</t>
        </is>
      </c>
      <c r="G85" s="677">
        <f>IF($K$38=12,1,IF(INT(G86)=G86,1,0))</f>
        <v/>
      </c>
      <c r="H85" s="677">
        <f>IF($K$38=12,1,IF(INT(H86)=H86,1,0))</f>
        <v/>
      </c>
      <c r="I85" s="677">
        <f>IF($K$38=12,1,IF(INT(I86)=I86,1,0))</f>
        <v/>
      </c>
      <c r="J85" s="677">
        <f>IF($K$38=12,1,IF(INT(J86)=J86,1,0))</f>
        <v/>
      </c>
      <c r="K85" s="677">
        <f>IF($K$38=12,1,IF(INT(K86)=K86,1,0))</f>
        <v/>
      </c>
      <c r="L85" s="677">
        <f>IF($K$38=12,1,IF(INT(L86)=L86,1,0))</f>
        <v/>
      </c>
      <c r="M85" s="677">
        <f>IF($K$38=12,1,IF(INT(M86)=M86,1,0))</f>
        <v/>
      </c>
      <c r="N85" s="677">
        <f>IF($K$38=12,1,IF(INT(N86)=N86,1,0))</f>
        <v/>
      </c>
      <c r="O85" s="677">
        <f>IF($K$38=12,1,IF(INT(O86)=O86,1,0))</f>
        <v/>
      </c>
      <c r="P85" s="677">
        <f>IF($K$38=12,1,IF(INT(P86)=P86,1,0))</f>
        <v/>
      </c>
      <c r="Q85" s="677">
        <f>IF($K$38=12,1,IF(INT(Q86)=Q86,1,0))</f>
        <v/>
      </c>
      <c r="R85" s="677">
        <f>IF($K$38=12,1,IF(INT(R86)=R86,1,0))</f>
        <v/>
      </c>
      <c r="S85" s="677">
        <f>IF($K$38=12,1,IF(INT(S86)=S86,1,0))</f>
        <v/>
      </c>
      <c r="T85" s="677">
        <f>IF($K$38=12,1,IF(INT(T86)=T86,1,0))</f>
        <v/>
      </c>
      <c r="U85" s="677">
        <f>IF($K$38=12,1,IF(INT(U86)=U86,1,0))</f>
        <v/>
      </c>
      <c r="V85" s="677">
        <f>IF($K$38=12,1,IF(INT(V86)=V86,1,0))</f>
        <v/>
      </c>
      <c r="W85" s="677">
        <f>IF($K$38=12,1,IF(INT(W86)=W86,1,0))</f>
        <v/>
      </c>
      <c r="X85" s="677">
        <f>IF($K$38=12,1,IF(INT(X86)=X86,1,0))</f>
        <v/>
      </c>
      <c r="Y85" s="677">
        <f>IF($K$38=12,1,IF(INT(Y86)=Y86,1,0))</f>
        <v/>
      </c>
      <c r="Z85" s="677">
        <f>IF($K$38=12,1,IF(INT(Z86)=Z86,1,0))</f>
        <v/>
      </c>
      <c r="AA85" s="677">
        <f>IF($K$38=12,1,IF(INT(AA86)=AA86,1,0))</f>
        <v/>
      </c>
      <c r="AB85" s="677">
        <f>IF($K$38=12,1,IF(INT(AB86)=AB86,1,0))</f>
        <v/>
      </c>
      <c r="AC85" s="677">
        <f>IF($K$38=12,1,IF(INT(AC86)=AC86,1,0))</f>
        <v/>
      </c>
      <c r="AD85" s="677">
        <f>IF($K$38=12,1,IF(INT(AD86)=AD86,1,0))</f>
        <v/>
      </c>
      <c r="AE85" s="677">
        <f>IF($K$38=12,1,IF(INT(AE86)=AE86,1,0))</f>
        <v/>
      </c>
      <c r="AF85" s="677">
        <f>IF($K$38=12,1,IF(INT(AF86)=AF86,1,0))</f>
        <v/>
      </c>
      <c r="AG85" s="677">
        <f>IF($K$38=12,1,IF(INT(AG86)=AG86,1,0))</f>
        <v/>
      </c>
      <c r="AH85" s="677">
        <f>IF($K$38=12,1,IF(INT(AH86)=AH86,1,0))</f>
        <v/>
      </c>
      <c r="AI85" s="677">
        <f>IF($K$38=12,1,IF(INT(AI86)=AI86,1,0))</f>
        <v/>
      </c>
      <c r="AJ85" s="677">
        <f>IF($K$38=12,1,IF(INT(AJ86)=AJ86,1,0))</f>
        <v/>
      </c>
      <c r="AK85" s="677">
        <f>IF($K$38=12,1,IF(INT(AK86)=AK86,1,0))</f>
        <v/>
      </c>
      <c r="AL85" s="677">
        <f>IF($K$38=12,1,IF(INT(AL86)=AL86,1,0))</f>
        <v/>
      </c>
      <c r="AM85" s="677">
        <f>IF($K$38=12,1,IF(INT(AM86)=AM86,1,0))</f>
        <v/>
      </c>
      <c r="AN85" s="677">
        <f>IF($K$38=12,1,IF(INT(AN86)=AN86,1,0))</f>
        <v/>
      </c>
      <c r="AO85" s="677">
        <f>IF($K$38=12,1,IF(INT(AO86)=AO86,1,0))</f>
        <v/>
      </c>
      <c r="AP85" s="677">
        <f>IF($K$38=12,1,IF(INT(AP86)=AP86,1,0))</f>
        <v/>
      </c>
      <c r="AQ85" s="677">
        <f>IF($K$38=12,1,IF(INT(AQ86)=AQ86,1,0))</f>
        <v/>
      </c>
      <c r="AR85" s="677">
        <f>IF($K$38=12,1,IF(INT(AR86)=AR86,1,0))</f>
        <v/>
      </c>
      <c r="AS85" s="677">
        <f>IF($K$38=12,1,IF(INT(AS86)=AS86,1,0))</f>
        <v/>
      </c>
      <c r="AT85" s="677">
        <f>IF($K$38=12,1,IF(INT(AT86)=AT86,1,0))</f>
        <v/>
      </c>
      <c r="AU85" s="677">
        <f>IF($K$38=12,1,IF(INT(AU86)=AU86,1,0))</f>
        <v/>
      </c>
      <c r="AV85" s="677">
        <f>IF($K$38=12,1,IF(INT(AV86)=AV86,1,0))</f>
        <v/>
      </c>
      <c r="AW85" s="677">
        <f>IF($K$38=12,1,IF(INT(AW86)=AW86,1,0))</f>
        <v/>
      </c>
      <c r="AX85" s="677">
        <f>IF($K$38=12,1,IF(INT(AX86)=AX86,1,0))</f>
        <v/>
      </c>
      <c r="AY85" s="677">
        <f>IF($K$38=12,1,IF(INT(AY86)=AY86,1,0))</f>
        <v/>
      </c>
      <c r="AZ85" s="677">
        <f>IF($K$38=12,1,IF(INT(AZ86)=AZ86,1,0))</f>
        <v/>
      </c>
      <c r="BA85" s="677">
        <f>IF($K$38=12,1,IF(INT(BA86)=BA86,1,0))</f>
        <v/>
      </c>
      <c r="BB85" s="677">
        <f>IF($K$38=12,1,IF(INT(BB86)=BB86,1,0))</f>
        <v/>
      </c>
      <c r="BC85" s="677">
        <f>IF($K$38=12,1,IF(INT(BC86)=BC86,1,0))</f>
        <v/>
      </c>
      <c r="BD85" s="677">
        <f>IF($K$38=12,1,IF(INT(BD86)=BD86,1,0))</f>
        <v/>
      </c>
      <c r="BE85" s="677">
        <f>IF($K$38=12,1,IF(INT(BE86)=BE86,1,0))</f>
        <v/>
      </c>
      <c r="BF85" s="677">
        <f>IF($K$38=12,1,IF(INT(BF86)=BF86,1,0))</f>
        <v/>
      </c>
      <c r="BG85" s="677">
        <f>IF($K$38=12,1,IF(INT(BG86)=BG86,1,0))</f>
        <v/>
      </c>
      <c r="BH85" s="677">
        <f>IF($K$38=12,1,IF(INT(BH86)=BH86,1,0))</f>
        <v/>
      </c>
      <c r="BI85" s="677">
        <f>IF($K$38=12,1,IF(INT(BI86)=BI86,1,0))</f>
        <v/>
      </c>
      <c r="BJ85" s="677">
        <f>IF($K$38=12,1,IF(INT(BJ86)=BJ86,1,0))</f>
        <v/>
      </c>
      <c r="BK85" s="677">
        <f>IF($K$38=12,1,IF(INT(BK86)=BK86,1,0))</f>
        <v/>
      </c>
      <c r="BL85" s="677">
        <f>IF($K$38=12,1,IF(INT(BL86)=BL86,1,0))</f>
        <v/>
      </c>
      <c r="BM85" s="677">
        <f>IF($K$38=12,1,IF(INT(BM86)=BM86,1,0))</f>
        <v/>
      </c>
      <c r="BN85" s="677">
        <f>IF($K$38=12,1,IF(INT(BN86)=BN86,1,0))</f>
        <v/>
      </c>
      <c r="BO85" s="677">
        <f>IF($K$38=12,1,IF(INT(BO86)=BO86,1,0))</f>
        <v/>
      </c>
      <c r="BP85" s="677">
        <f>IF($K$38=12,1,IF(INT(BP86)=BP86,1,0))</f>
        <v/>
      </c>
      <c r="BQ85" s="677">
        <f>IF($K$38=12,1,IF(INT(BQ86)=BQ86,1,0))</f>
        <v/>
      </c>
      <c r="BR85" s="677">
        <f>IF($K$38=12,1,IF(INT(BR86)=BR86,1,0))</f>
        <v/>
      </c>
      <c r="BS85" s="677">
        <f>IF($K$38=12,1,IF(INT(BS86)=BS86,1,0))</f>
        <v/>
      </c>
      <c r="BT85" s="677">
        <f>IF($K$38=12,1,IF(INT(BT86)=BT86,1,0))</f>
        <v/>
      </c>
      <c r="BU85" s="677">
        <f>IF($K$38=12,1,IF(INT(BU86)=BU86,1,0))</f>
        <v/>
      </c>
      <c r="BV85" s="677">
        <f>IF($K$38=12,1,IF(INT(BV86)=BV86,1,0))</f>
        <v/>
      </c>
      <c r="BW85" s="677">
        <f>IF($K$38=12,1,IF(INT(BW86)=BW86,1,0))</f>
        <v/>
      </c>
      <c r="BX85" s="677">
        <f>IF($K$38=12,1,IF(INT(BX86)=BX86,1,0))</f>
        <v/>
      </c>
      <c r="BY85" s="677">
        <f>IF($K$38=12,1,IF(INT(BY86)=BY86,1,0))</f>
        <v/>
      </c>
      <c r="BZ85" s="677">
        <f>IF($K$38=12,1,IF(INT(BZ86)=BZ86,1,0))</f>
        <v/>
      </c>
      <c r="CA85" s="677">
        <f>IF($K$38=12,1,IF(INT(CA86)=CA86,1,0))</f>
        <v/>
      </c>
      <c r="CB85" s="677">
        <f>IF($K$38=12,1,IF(INT(CB86)=CB86,1,0))</f>
        <v/>
      </c>
      <c r="CC85" s="677">
        <f>IF($K$38=12,1,IF(INT(CC86)=CC86,1,0))</f>
        <v/>
      </c>
      <c r="CD85" s="677">
        <f>IF($K$38=12,1,IF(INT(CD86)=CD86,1,0))</f>
        <v/>
      </c>
      <c r="CE85" s="677">
        <f>IF($K$38=12,1,IF(INT(CE86)=CE86,1,0))</f>
        <v/>
      </c>
      <c r="CF85" s="677">
        <f>IF($K$38=12,1,IF(INT(CF86)=CF86,1,0))</f>
        <v/>
      </c>
      <c r="CG85" s="677">
        <f>IF($K$38=12,1,IF(INT(CG86)=CG86,1,0))</f>
        <v/>
      </c>
      <c r="CH85" s="677">
        <f>IF($K$38=12,1,IF(INT(CH86)=CH86,1,0))</f>
        <v/>
      </c>
      <c r="CI85" s="677">
        <f>IF($K$38=12,1,IF(INT(CI86)=CI86,1,0))</f>
        <v/>
      </c>
      <c r="CJ85" s="677">
        <f>IF($K$38=12,1,IF(INT(CJ86)=CJ86,1,0))</f>
        <v/>
      </c>
      <c r="CK85" s="677">
        <f>IF($K$38=12,1,IF(INT(CK86)=CK86,1,0))</f>
        <v/>
      </c>
      <c r="CL85" s="677">
        <f>IF($K$38=12,1,IF(INT(CL86)=CL86,1,0))</f>
        <v/>
      </c>
      <c r="CM85" s="677">
        <f>IF($K$38=12,1,IF(INT(CM86)=CM86,1,0))</f>
        <v/>
      </c>
      <c r="CN85" s="677">
        <f>IF($K$38=12,1,IF(INT(CN86)=CN86,1,0))</f>
        <v/>
      </c>
      <c r="CO85" s="677">
        <f>IF($K$38=12,1,IF(INT(CO86)=CO86,1,0))</f>
        <v/>
      </c>
      <c r="CP85" s="677">
        <f>IF($K$38=12,1,IF(INT(CP86)=CP86,1,0))</f>
        <v/>
      </c>
      <c r="CQ85" s="677">
        <f>IF($K$38=12,1,IF(INT(CQ86)=CQ86,1,0))</f>
        <v/>
      </c>
      <c r="CR85" s="677">
        <f>IF($K$38=12,1,IF(INT(CR86)=CR86,1,0))</f>
        <v/>
      </c>
      <c r="CS85" s="677">
        <f>IF($K$38=12,1,IF(INT(CS86)=CS86,1,0))</f>
        <v/>
      </c>
      <c r="CT85" s="677">
        <f>IF($K$38=12,1,IF(INT(CT86)=CT86,1,0))</f>
        <v/>
      </c>
      <c r="CU85" s="677">
        <f>IF($K$38=12,1,IF(INT(CU86)=CU86,1,0))</f>
        <v/>
      </c>
      <c r="CV85" s="677">
        <f>IF($K$38=12,1,IF(INT(CV86)=CV86,1,0))</f>
        <v/>
      </c>
      <c r="CW85" s="677">
        <f>IF($K$38=12,1,IF(INT(CW86)=CW86,1,0))</f>
        <v/>
      </c>
      <c r="CX85" s="677">
        <f>IF($K$38=12,1,IF(INT(CX86)=CX86,1,0))</f>
        <v/>
      </c>
      <c r="CY85" s="677">
        <f>IF($K$38=12,1,IF(INT(CY86)=CY86,1,0))</f>
        <v/>
      </c>
      <c r="CZ85" s="677">
        <f>IF($K$38=12,1,IF(INT(CZ86)=CZ86,1,0))</f>
        <v/>
      </c>
      <c r="DA85" s="677">
        <f>IF($K$38=12,1,IF(INT(DA86)=DA86,1,0))</f>
        <v/>
      </c>
      <c r="DB85" s="677">
        <f>IF($K$38=12,1,IF(INT(DB86)=DB86,1,0))</f>
        <v/>
      </c>
      <c r="DC85" s="677">
        <f>IF($K$38=12,1,IF(INT(DC86)=DC86,1,0))</f>
        <v/>
      </c>
      <c r="DD85" s="677">
        <f>IF($K$38=12,1,IF(INT(DD86)=DD86,1,0))</f>
        <v/>
      </c>
      <c r="DE85" s="677">
        <f>IF($K$38=12,1,IF(INT(DE86)=DE86,1,0))</f>
        <v/>
      </c>
      <c r="DF85" s="677">
        <f>IF($K$38=12,1,IF(INT(DF86)=DF86,1,0))</f>
        <v/>
      </c>
      <c r="DG85" s="677">
        <f>IF($K$38=12,1,IF(INT(DG86)=DG86,1,0))</f>
        <v/>
      </c>
      <c r="DH85" s="677">
        <f>IF($K$38=12,1,IF(INT(DH86)=DH86,1,0))</f>
        <v/>
      </c>
      <c r="DI85" s="677">
        <f>IF($K$38=12,1,IF(INT(DI86)=DI86,1,0))</f>
        <v/>
      </c>
      <c r="DJ85" s="677">
        <f>IF($K$38=12,1,IF(INT(DJ86)=DJ86,1,0))</f>
        <v/>
      </c>
      <c r="DK85" s="677">
        <f>IF($K$38=12,1,IF(INT(DK86)=DK86,1,0))</f>
        <v/>
      </c>
      <c r="DL85" s="677">
        <f>IF($K$38=12,1,IF(INT(DL86)=DL86,1,0))</f>
        <v/>
      </c>
      <c r="DM85" s="677">
        <f>IF($K$38=12,1,IF(INT(DM86)=DM86,1,0))</f>
        <v/>
      </c>
      <c r="DN85" s="677">
        <f>IF($K$38=12,1,IF(INT(DN86)=DN86,1,0))</f>
        <v/>
      </c>
      <c r="DO85" s="677">
        <f>IF($K$38=12,1,IF(INT(DO86)=DO86,1,0))</f>
        <v/>
      </c>
      <c r="DP85" s="677">
        <f>IF($K$38=12,1,IF(INT(DP86)=DP86,1,0))</f>
        <v/>
      </c>
      <c r="DQ85" s="677">
        <f>IF($K$38=12,1,IF(INT(DQ86)=DQ86,1,0))</f>
        <v/>
      </c>
      <c r="DR85" s="677">
        <f>IF($K$38=12,1,IF(INT(DR86)=DR86,1,0))</f>
        <v/>
      </c>
      <c r="DS85" s="677">
        <f>IF($K$38=12,1,IF(INT(DS86)=DS86,1,0))</f>
        <v/>
      </c>
      <c r="DT85" s="677">
        <f>IF($K$38=12,1,IF(INT(DT86)=DT86,1,0))</f>
        <v/>
      </c>
      <c r="DU85" s="677">
        <f>IF($K$38=12,1,IF(INT(DU86)=DU86,1,0))</f>
        <v/>
      </c>
      <c r="DV85" s="677">
        <f>IF($K$38=12,1,IF(INT(DV86)=DV86,1,0))</f>
        <v/>
      </c>
      <c r="DW85" s="322" t="inlineStr">
        <is>
          <t>x</t>
        </is>
      </c>
    </row>
    <row r="86" hidden="1" outlineLevel="1">
      <c r="C86" s="462">
        <f>H37</f>
        <v/>
      </c>
      <c r="D86" s="365" t="n"/>
      <c r="E86" s="463" t="n"/>
      <c r="F86" s="463" t="n"/>
      <c r="G86" s="678">
        <f>1/3</f>
        <v/>
      </c>
      <c r="H86" s="678">
        <f>G86+1/3</f>
        <v/>
      </c>
      <c r="I86" s="678">
        <f>H86+1/3</f>
        <v/>
      </c>
      <c r="J86" s="678">
        <f>I86+1/3</f>
        <v/>
      </c>
      <c r="K86" s="678">
        <f>J86+1/3</f>
        <v/>
      </c>
      <c r="L86" s="678">
        <f>K86+1/3</f>
        <v/>
      </c>
      <c r="M86" s="678">
        <f>L86+1/3</f>
        <v/>
      </c>
      <c r="N86" s="678">
        <f>M86+1/3</f>
        <v/>
      </c>
      <c r="O86" s="678">
        <f>N86+1/3</f>
        <v/>
      </c>
      <c r="P86" s="678">
        <f>O86+1/3</f>
        <v/>
      </c>
      <c r="Q86" s="678">
        <f>P86+1/3</f>
        <v/>
      </c>
      <c r="R86" s="678">
        <f>Q86+1/3</f>
        <v/>
      </c>
      <c r="S86" s="678">
        <f>R86+1/3</f>
        <v/>
      </c>
      <c r="T86" s="678">
        <f>S86+1/3</f>
        <v/>
      </c>
      <c r="U86" s="678">
        <f>T86+1/3</f>
        <v/>
      </c>
      <c r="V86" s="678">
        <f>U86+1/3</f>
        <v/>
      </c>
      <c r="W86" s="678">
        <f>V86+1/3</f>
        <v/>
      </c>
      <c r="X86" s="678">
        <f>W86+1/3</f>
        <v/>
      </c>
      <c r="Y86" s="678">
        <f>X86+1/3</f>
        <v/>
      </c>
      <c r="Z86" s="678">
        <f>Y86+1/3</f>
        <v/>
      </c>
      <c r="AA86" s="678">
        <f>Z86+1/3</f>
        <v/>
      </c>
      <c r="AB86" s="678">
        <f>AA86+1/3</f>
        <v/>
      </c>
      <c r="AC86" s="678">
        <f>AB86+1/3</f>
        <v/>
      </c>
      <c r="AD86" s="678">
        <f>AC86+1/3</f>
        <v/>
      </c>
      <c r="AE86" s="678">
        <f>AD86+1/3</f>
        <v/>
      </c>
      <c r="AF86" s="678">
        <f>AE86+1/3</f>
        <v/>
      </c>
      <c r="AG86" s="678">
        <f>AF86+1/3</f>
        <v/>
      </c>
      <c r="AH86" s="678">
        <f>AG86+1/3</f>
        <v/>
      </c>
      <c r="AI86" s="678">
        <f>AH86+1/3</f>
        <v/>
      </c>
      <c r="AJ86" s="678">
        <f>AI86+1/3</f>
        <v/>
      </c>
      <c r="AK86" s="678">
        <f>AJ86+1/3</f>
        <v/>
      </c>
      <c r="AL86" s="678">
        <f>AK86+1/3</f>
        <v/>
      </c>
      <c r="AM86" s="678">
        <f>AL86+1/3</f>
        <v/>
      </c>
      <c r="AN86" s="678">
        <f>AM86+1/3</f>
        <v/>
      </c>
      <c r="AO86" s="678">
        <f>AN86+1/3</f>
        <v/>
      </c>
      <c r="AP86" s="678">
        <f>AO86+1/3</f>
        <v/>
      </c>
      <c r="AQ86" s="678">
        <f>AP86+1/3</f>
        <v/>
      </c>
      <c r="AR86" s="678">
        <f>AQ86+1/3</f>
        <v/>
      </c>
      <c r="AS86" s="678">
        <f>AR86+1/3</f>
        <v/>
      </c>
      <c r="AT86" s="678">
        <f>AS86+1/3</f>
        <v/>
      </c>
      <c r="AU86" s="678">
        <f>AT86+1/3</f>
        <v/>
      </c>
      <c r="AV86" s="678">
        <f>AU86+1/3</f>
        <v/>
      </c>
      <c r="AW86" s="678">
        <f>AV86+1/3</f>
        <v/>
      </c>
      <c r="AX86" s="678">
        <f>AW86+1/3</f>
        <v/>
      </c>
      <c r="AY86" s="678">
        <f>AX86+1/3</f>
        <v/>
      </c>
      <c r="AZ86" s="678">
        <f>AY86+1/3</f>
        <v/>
      </c>
      <c r="BA86" s="678">
        <f>AZ86+1/3</f>
        <v/>
      </c>
      <c r="BB86" s="678">
        <f>BA86+1/3</f>
        <v/>
      </c>
      <c r="BC86" s="678">
        <f>BB86+1/3</f>
        <v/>
      </c>
      <c r="BD86" s="678">
        <f>BC86+1/3</f>
        <v/>
      </c>
      <c r="BE86" s="678">
        <f>BD86+1/3</f>
        <v/>
      </c>
      <c r="BF86" s="678">
        <f>BE86+1/3</f>
        <v/>
      </c>
      <c r="BG86" s="678">
        <f>BF86+1/3</f>
        <v/>
      </c>
      <c r="BH86" s="678">
        <f>BG86+1/3</f>
        <v/>
      </c>
      <c r="BI86" s="678">
        <f>BH86+1/3</f>
        <v/>
      </c>
      <c r="BJ86" s="678">
        <f>BI86+1/3</f>
        <v/>
      </c>
      <c r="BK86" s="678">
        <f>BJ86+1/3</f>
        <v/>
      </c>
      <c r="BL86" s="678">
        <f>BK86+1/3</f>
        <v/>
      </c>
      <c r="BM86" s="678">
        <f>BL86+1/3</f>
        <v/>
      </c>
      <c r="BN86" s="678">
        <f>BM86+1/3</f>
        <v/>
      </c>
      <c r="BO86" s="678">
        <f>BN86+1/3</f>
        <v/>
      </c>
      <c r="BP86" s="678">
        <f>BO86+1/3</f>
        <v/>
      </c>
      <c r="BQ86" s="678">
        <f>BP86+1/3</f>
        <v/>
      </c>
      <c r="BR86" s="678">
        <f>BQ86+1/3</f>
        <v/>
      </c>
      <c r="BS86" s="678">
        <f>BR86+1/3</f>
        <v/>
      </c>
      <c r="BT86" s="678">
        <f>BS86+1/3</f>
        <v/>
      </c>
      <c r="BU86" s="678">
        <f>BT86+1/3</f>
        <v/>
      </c>
      <c r="BV86" s="678">
        <f>BU86+1/3</f>
        <v/>
      </c>
      <c r="BW86" s="678">
        <f>BV86+1/3</f>
        <v/>
      </c>
      <c r="BX86" s="678">
        <f>BW86+1/3</f>
        <v/>
      </c>
      <c r="BY86" s="678">
        <f>BX86+1/3</f>
        <v/>
      </c>
      <c r="BZ86" s="678">
        <f>BY86+1/3</f>
        <v/>
      </c>
      <c r="CA86" s="678">
        <f>BZ86+1/3</f>
        <v/>
      </c>
      <c r="CB86" s="678">
        <f>CA86+1/3</f>
        <v/>
      </c>
      <c r="CC86" s="678">
        <f>CB86+1/3</f>
        <v/>
      </c>
      <c r="CD86" s="678">
        <f>CC86+1/3</f>
        <v/>
      </c>
      <c r="CE86" s="678">
        <f>CD86+1/3</f>
        <v/>
      </c>
      <c r="CF86" s="678">
        <f>CE86+1/3</f>
        <v/>
      </c>
      <c r="CG86" s="678">
        <f>CF86+1/3</f>
        <v/>
      </c>
      <c r="CH86" s="678">
        <f>CG86+1/3</f>
        <v/>
      </c>
      <c r="CI86" s="678">
        <f>CH86+1/3</f>
        <v/>
      </c>
      <c r="CJ86" s="678">
        <f>CI86+1/3</f>
        <v/>
      </c>
      <c r="CK86" s="678">
        <f>CJ86+1/3</f>
        <v/>
      </c>
      <c r="CL86" s="678">
        <f>CK86+1/3</f>
        <v/>
      </c>
      <c r="CM86" s="678">
        <f>CL86+1/3</f>
        <v/>
      </c>
      <c r="CN86" s="678">
        <f>CM86+1/3</f>
        <v/>
      </c>
      <c r="CO86" s="678">
        <f>CN86+1/3</f>
        <v/>
      </c>
      <c r="CP86" s="678">
        <f>CO86+1/3</f>
        <v/>
      </c>
      <c r="CQ86" s="678">
        <f>CP86+1/3</f>
        <v/>
      </c>
      <c r="CR86" s="678">
        <f>CQ86+1/3</f>
        <v/>
      </c>
      <c r="CS86" s="678">
        <f>CR86+1/3</f>
        <v/>
      </c>
      <c r="CT86" s="678">
        <f>CS86+1/3</f>
        <v/>
      </c>
      <c r="CU86" s="678">
        <f>CT86+1/3</f>
        <v/>
      </c>
      <c r="CV86" s="678">
        <f>CU86+1/3</f>
        <v/>
      </c>
      <c r="CW86" s="678">
        <f>CV86+1/3</f>
        <v/>
      </c>
      <c r="CX86" s="678">
        <f>CW86+1/3</f>
        <v/>
      </c>
      <c r="CY86" s="678">
        <f>CX86+1/3</f>
        <v/>
      </c>
      <c r="CZ86" s="678">
        <f>CY86+1/3</f>
        <v/>
      </c>
      <c r="DA86" s="678">
        <f>CZ86+1/3</f>
        <v/>
      </c>
      <c r="DB86" s="678">
        <f>DA86+1/3</f>
        <v/>
      </c>
      <c r="DC86" s="678">
        <f>DB86+1/3</f>
        <v/>
      </c>
      <c r="DD86" s="678">
        <f>DC86+1/3</f>
        <v/>
      </c>
      <c r="DE86" s="678">
        <f>DD86+1/3</f>
        <v/>
      </c>
      <c r="DF86" s="678">
        <f>DE86+1/3</f>
        <v/>
      </c>
      <c r="DG86" s="678">
        <f>DF86+1/3</f>
        <v/>
      </c>
      <c r="DH86" s="678">
        <f>DG86+1/3</f>
        <v/>
      </c>
      <c r="DI86" s="678">
        <f>DH86+1/3</f>
        <v/>
      </c>
      <c r="DJ86" s="678">
        <f>DI86+1/3</f>
        <v/>
      </c>
      <c r="DK86" s="678">
        <f>DJ86+1/3</f>
        <v/>
      </c>
      <c r="DL86" s="678">
        <f>DK86+1/3</f>
        <v/>
      </c>
      <c r="DM86" s="678">
        <f>DL86+1/3</f>
        <v/>
      </c>
      <c r="DN86" s="678">
        <f>DM86+1/3</f>
        <v/>
      </c>
      <c r="DO86" s="678">
        <f>DN86+1/3</f>
        <v/>
      </c>
      <c r="DP86" s="678">
        <f>DO86+1/3</f>
        <v/>
      </c>
      <c r="DQ86" s="678">
        <f>DP86+1/3</f>
        <v/>
      </c>
      <c r="DR86" s="678">
        <f>DQ86+1/3</f>
        <v/>
      </c>
      <c r="DS86" s="678">
        <f>DR86+1/3</f>
        <v/>
      </c>
      <c r="DT86" s="678">
        <f>DS86+1/3</f>
        <v/>
      </c>
      <c r="DU86" s="678">
        <f>DT86+1/3</f>
        <v/>
      </c>
      <c r="DV86" s="678">
        <f>DU86+1/3</f>
        <v/>
      </c>
      <c r="DW86" s="322" t="inlineStr">
        <is>
          <t>x</t>
        </is>
      </c>
    </row>
    <row r="87" hidden="1" outlineLevel="1">
      <c r="C87" s="374" t="inlineStr">
        <is>
          <t>Beginning Balance</t>
        </is>
      </c>
      <c r="D87" s="374" t="n"/>
      <c r="E87" s="463" t="n"/>
      <c r="F87" s="679" t="n">
        <v>0</v>
      </c>
      <c r="G87" s="655">
        <f>F91</f>
        <v/>
      </c>
      <c r="H87" s="680">
        <f>G91</f>
        <v/>
      </c>
      <c r="I87" s="680">
        <f>H91</f>
        <v/>
      </c>
      <c r="J87" s="680">
        <f>I91</f>
        <v/>
      </c>
      <c r="K87" s="680">
        <f>J91</f>
        <v/>
      </c>
      <c r="L87" s="680">
        <f>K91</f>
        <v/>
      </c>
      <c r="M87" s="680">
        <f>L91</f>
        <v/>
      </c>
      <c r="N87" s="680">
        <f>M91</f>
        <v/>
      </c>
      <c r="O87" s="680">
        <f>N91</f>
        <v/>
      </c>
      <c r="P87" s="680">
        <f>O91</f>
        <v/>
      </c>
      <c r="Q87" s="680">
        <f>P91</f>
        <v/>
      </c>
      <c r="R87" s="680">
        <f>Q91</f>
        <v/>
      </c>
      <c r="S87" s="680">
        <f>R91</f>
        <v/>
      </c>
      <c r="T87" s="680">
        <f>S91</f>
        <v/>
      </c>
      <c r="U87" s="680">
        <f>T91</f>
        <v/>
      </c>
      <c r="V87" s="680">
        <f>U91</f>
        <v/>
      </c>
      <c r="W87" s="680">
        <f>V91</f>
        <v/>
      </c>
      <c r="X87" s="680">
        <f>W91</f>
        <v/>
      </c>
      <c r="Y87" s="680">
        <f>X91</f>
        <v/>
      </c>
      <c r="Z87" s="680">
        <f>Y91</f>
        <v/>
      </c>
      <c r="AA87" s="680">
        <f>Z91</f>
        <v/>
      </c>
      <c r="AB87" s="680">
        <f>AA91</f>
        <v/>
      </c>
      <c r="AC87" s="680">
        <f>AB91</f>
        <v/>
      </c>
      <c r="AD87" s="680">
        <f>AC91</f>
        <v/>
      </c>
      <c r="AE87" s="680">
        <f>AD91</f>
        <v/>
      </c>
      <c r="AF87" s="680">
        <f>AE91</f>
        <v/>
      </c>
      <c r="AG87" s="680">
        <f>AF91</f>
        <v/>
      </c>
      <c r="AH87" s="680">
        <f>AG91</f>
        <v/>
      </c>
      <c r="AI87" s="680">
        <f>AH91</f>
        <v/>
      </c>
      <c r="AJ87" s="680">
        <f>AI91</f>
        <v/>
      </c>
      <c r="AK87" s="680">
        <f>AJ91</f>
        <v/>
      </c>
      <c r="AL87" s="680">
        <f>AK91</f>
        <v/>
      </c>
      <c r="AM87" s="680">
        <f>AL91</f>
        <v/>
      </c>
      <c r="AN87" s="680">
        <f>AM91</f>
        <v/>
      </c>
      <c r="AO87" s="680">
        <f>AN91</f>
        <v/>
      </c>
      <c r="AP87" s="680">
        <f>AO91</f>
        <v/>
      </c>
      <c r="AQ87" s="680">
        <f>AP91</f>
        <v/>
      </c>
      <c r="AR87" s="680">
        <f>AQ91</f>
        <v/>
      </c>
      <c r="AS87" s="680">
        <f>AR91</f>
        <v/>
      </c>
      <c r="AT87" s="680">
        <f>AS91</f>
        <v/>
      </c>
      <c r="AU87" s="680">
        <f>AT91</f>
        <v/>
      </c>
      <c r="AV87" s="680">
        <f>AU91</f>
        <v/>
      </c>
      <c r="AW87" s="680">
        <f>AV91</f>
        <v/>
      </c>
      <c r="AX87" s="680">
        <f>AW91</f>
        <v/>
      </c>
      <c r="AY87" s="680">
        <f>AX91</f>
        <v/>
      </c>
      <c r="AZ87" s="680">
        <f>AY91</f>
        <v/>
      </c>
      <c r="BA87" s="680">
        <f>AZ91</f>
        <v/>
      </c>
      <c r="BB87" s="680">
        <f>BA91</f>
        <v/>
      </c>
      <c r="BC87" s="680">
        <f>BB91</f>
        <v/>
      </c>
      <c r="BD87" s="680">
        <f>BC91</f>
        <v/>
      </c>
      <c r="BE87" s="680">
        <f>BD91</f>
        <v/>
      </c>
      <c r="BF87" s="680">
        <f>BE91</f>
        <v/>
      </c>
      <c r="BG87" s="680">
        <f>BF91</f>
        <v/>
      </c>
      <c r="BH87" s="680">
        <f>BG91</f>
        <v/>
      </c>
      <c r="BI87" s="680">
        <f>BH91</f>
        <v/>
      </c>
      <c r="BJ87" s="680">
        <f>BI91</f>
        <v/>
      </c>
      <c r="BK87" s="680">
        <f>BJ91</f>
        <v/>
      </c>
      <c r="BL87" s="680">
        <f>BK91</f>
        <v/>
      </c>
      <c r="BM87" s="680">
        <f>BL91</f>
        <v/>
      </c>
      <c r="BN87" s="680">
        <f>BM91</f>
        <v/>
      </c>
      <c r="BO87" s="680">
        <f>BN91</f>
        <v/>
      </c>
      <c r="BP87" s="680">
        <f>BO91</f>
        <v/>
      </c>
      <c r="BQ87" s="680">
        <f>BP91</f>
        <v/>
      </c>
      <c r="BR87" s="680">
        <f>BQ91</f>
        <v/>
      </c>
      <c r="BS87" s="680">
        <f>BR91</f>
        <v/>
      </c>
      <c r="BT87" s="680">
        <f>BS91</f>
        <v/>
      </c>
      <c r="BU87" s="680">
        <f>BT91</f>
        <v/>
      </c>
      <c r="BV87" s="680">
        <f>BU91</f>
        <v/>
      </c>
      <c r="BW87" s="680">
        <f>BV91</f>
        <v/>
      </c>
      <c r="BX87" s="680">
        <f>BW91</f>
        <v/>
      </c>
      <c r="BY87" s="680">
        <f>BX91</f>
        <v/>
      </c>
      <c r="BZ87" s="680">
        <f>BY91</f>
        <v/>
      </c>
      <c r="CA87" s="680">
        <f>BZ91</f>
        <v/>
      </c>
      <c r="CB87" s="680">
        <f>CA91</f>
        <v/>
      </c>
      <c r="CC87" s="680">
        <f>CB91</f>
        <v/>
      </c>
      <c r="CD87" s="680">
        <f>CC91</f>
        <v/>
      </c>
      <c r="CE87" s="680">
        <f>CD91</f>
        <v/>
      </c>
      <c r="CF87" s="680">
        <f>CE91</f>
        <v/>
      </c>
      <c r="CG87" s="680">
        <f>CF91</f>
        <v/>
      </c>
      <c r="CH87" s="680">
        <f>CG91</f>
        <v/>
      </c>
      <c r="CI87" s="680">
        <f>CH91</f>
        <v/>
      </c>
      <c r="CJ87" s="680">
        <f>CI91</f>
        <v/>
      </c>
      <c r="CK87" s="680">
        <f>CJ91</f>
        <v/>
      </c>
      <c r="CL87" s="680">
        <f>CK91</f>
        <v/>
      </c>
      <c r="CM87" s="680">
        <f>CL91</f>
        <v/>
      </c>
      <c r="CN87" s="680">
        <f>CM91</f>
        <v/>
      </c>
      <c r="CO87" s="680">
        <f>CN91</f>
        <v/>
      </c>
      <c r="CP87" s="680">
        <f>CO91</f>
        <v/>
      </c>
      <c r="CQ87" s="680">
        <f>CP91</f>
        <v/>
      </c>
      <c r="CR87" s="680">
        <f>CQ91</f>
        <v/>
      </c>
      <c r="CS87" s="680">
        <f>CR91</f>
        <v/>
      </c>
      <c r="CT87" s="680">
        <f>CS91</f>
        <v/>
      </c>
      <c r="CU87" s="680">
        <f>CT91</f>
        <v/>
      </c>
      <c r="CV87" s="680">
        <f>CU91</f>
        <v/>
      </c>
      <c r="CW87" s="680">
        <f>CV91</f>
        <v/>
      </c>
      <c r="CX87" s="680">
        <f>CW91</f>
        <v/>
      </c>
      <c r="CY87" s="680">
        <f>CX91</f>
        <v/>
      </c>
      <c r="CZ87" s="680">
        <f>CY91</f>
        <v/>
      </c>
      <c r="DA87" s="680">
        <f>CZ91</f>
        <v/>
      </c>
      <c r="DB87" s="680">
        <f>DA91</f>
        <v/>
      </c>
      <c r="DC87" s="680">
        <f>DB91</f>
        <v/>
      </c>
      <c r="DD87" s="680">
        <f>DC91</f>
        <v/>
      </c>
      <c r="DE87" s="680">
        <f>DD91</f>
        <v/>
      </c>
      <c r="DF87" s="680">
        <f>DE91</f>
        <v/>
      </c>
      <c r="DG87" s="680">
        <f>DF91</f>
        <v/>
      </c>
      <c r="DH87" s="680">
        <f>DG91</f>
        <v/>
      </c>
      <c r="DI87" s="680">
        <f>DH91</f>
        <v/>
      </c>
      <c r="DJ87" s="680">
        <f>DI91</f>
        <v/>
      </c>
      <c r="DK87" s="680">
        <f>DJ91</f>
        <v/>
      </c>
      <c r="DL87" s="680">
        <f>DK91</f>
        <v/>
      </c>
      <c r="DM87" s="680">
        <f>DL91</f>
        <v/>
      </c>
      <c r="DN87" s="680">
        <f>DM91</f>
        <v/>
      </c>
      <c r="DO87" s="680">
        <f>DN91</f>
        <v/>
      </c>
      <c r="DP87" s="680">
        <f>DO91</f>
        <v/>
      </c>
      <c r="DQ87" s="680">
        <f>DP91</f>
        <v/>
      </c>
      <c r="DR87" s="680">
        <f>DQ91</f>
        <v/>
      </c>
      <c r="DS87" s="680">
        <f>DR91</f>
        <v/>
      </c>
      <c r="DT87" s="680">
        <f>DS91</f>
        <v/>
      </c>
      <c r="DU87" s="680">
        <f>DT91</f>
        <v/>
      </c>
      <c r="DV87" s="680">
        <f>DU91</f>
        <v/>
      </c>
      <c r="DW87" s="322" t="inlineStr">
        <is>
          <t>x</t>
        </is>
      </c>
    </row>
    <row r="88" hidden="1" outlineLevel="1">
      <c r="C88" s="374" t="inlineStr">
        <is>
          <t>Injections</t>
        </is>
      </c>
      <c r="D88" s="374" t="n"/>
      <c r="E88" s="681">
        <f>SUM(F88:DV88)</f>
        <v/>
      </c>
      <c r="F88" s="468">
        <f>-F78</f>
        <v/>
      </c>
      <c r="G88" s="468">
        <f>-G78</f>
        <v/>
      </c>
      <c r="H88" s="468">
        <f>-H78</f>
        <v/>
      </c>
      <c r="I88" s="468">
        <f>-I78</f>
        <v/>
      </c>
      <c r="J88" s="468">
        <f>-J78</f>
        <v/>
      </c>
      <c r="K88" s="468">
        <f>-K78</f>
        <v/>
      </c>
      <c r="L88" s="468">
        <f>-L78</f>
        <v/>
      </c>
      <c r="M88" s="468">
        <f>-M78</f>
        <v/>
      </c>
      <c r="N88" s="468">
        <f>-N78</f>
        <v/>
      </c>
      <c r="O88" s="468">
        <f>-O78</f>
        <v/>
      </c>
      <c r="P88" s="468">
        <f>-P78</f>
        <v/>
      </c>
      <c r="Q88" s="468">
        <f>-Q78</f>
        <v/>
      </c>
      <c r="R88" s="468">
        <f>-R78</f>
        <v/>
      </c>
      <c r="S88" s="468">
        <f>-S78</f>
        <v/>
      </c>
      <c r="T88" s="468">
        <f>-T78</f>
        <v/>
      </c>
      <c r="U88" s="468">
        <f>-U78</f>
        <v/>
      </c>
      <c r="V88" s="468">
        <f>-V78</f>
        <v/>
      </c>
      <c r="W88" s="468">
        <f>-W78</f>
        <v/>
      </c>
      <c r="X88" s="468">
        <f>-X78</f>
        <v/>
      </c>
      <c r="Y88" s="468">
        <f>-Y78</f>
        <v/>
      </c>
      <c r="Z88" s="468">
        <f>-Z78</f>
        <v/>
      </c>
      <c r="AA88" s="468">
        <f>-AA78</f>
        <v/>
      </c>
      <c r="AB88" s="468">
        <f>-AB78</f>
        <v/>
      </c>
      <c r="AC88" s="468">
        <f>-AC78</f>
        <v/>
      </c>
      <c r="AD88" s="468">
        <f>-AD78</f>
        <v/>
      </c>
      <c r="AE88" s="468">
        <f>-AE78</f>
        <v/>
      </c>
      <c r="AF88" s="468">
        <f>-AF78</f>
        <v/>
      </c>
      <c r="AG88" s="468">
        <f>-AG78</f>
        <v/>
      </c>
      <c r="AH88" s="468">
        <f>-AH78</f>
        <v/>
      </c>
      <c r="AI88" s="468">
        <f>-AI78</f>
        <v/>
      </c>
      <c r="AJ88" s="468">
        <f>-AJ78</f>
        <v/>
      </c>
      <c r="AK88" s="468">
        <f>-AK78</f>
        <v/>
      </c>
      <c r="AL88" s="468">
        <f>-AL78</f>
        <v/>
      </c>
      <c r="AM88" s="468">
        <f>-AM78</f>
        <v/>
      </c>
      <c r="AN88" s="468">
        <f>-AN78</f>
        <v/>
      </c>
      <c r="AO88" s="468">
        <f>-AO78</f>
        <v/>
      </c>
      <c r="AP88" s="468">
        <f>-AP78</f>
        <v/>
      </c>
      <c r="AQ88" s="468">
        <f>-AQ78</f>
        <v/>
      </c>
      <c r="AR88" s="468">
        <f>-AR78</f>
        <v/>
      </c>
      <c r="AS88" s="468">
        <f>-AS78</f>
        <v/>
      </c>
      <c r="AT88" s="468">
        <f>-AT78</f>
        <v/>
      </c>
      <c r="AU88" s="468">
        <f>-AU78</f>
        <v/>
      </c>
      <c r="AV88" s="468">
        <f>-AV78</f>
        <v/>
      </c>
      <c r="AW88" s="468">
        <f>-AW78</f>
        <v/>
      </c>
      <c r="AX88" s="468">
        <f>-AX78</f>
        <v/>
      </c>
      <c r="AY88" s="468">
        <f>-AY78</f>
        <v/>
      </c>
      <c r="AZ88" s="468">
        <f>-AZ78</f>
        <v/>
      </c>
      <c r="BA88" s="468">
        <f>-BA78</f>
        <v/>
      </c>
      <c r="BB88" s="468">
        <f>-BB78</f>
        <v/>
      </c>
      <c r="BC88" s="468">
        <f>-BC78</f>
        <v/>
      </c>
      <c r="BD88" s="468">
        <f>-BD78</f>
        <v/>
      </c>
      <c r="BE88" s="468">
        <f>-BE78</f>
        <v/>
      </c>
      <c r="BF88" s="468">
        <f>-BF78</f>
        <v/>
      </c>
      <c r="BG88" s="468">
        <f>-BG78</f>
        <v/>
      </c>
      <c r="BH88" s="468">
        <f>-BH78</f>
        <v/>
      </c>
      <c r="BI88" s="468">
        <f>-BI78</f>
        <v/>
      </c>
      <c r="BJ88" s="468">
        <f>-BJ78</f>
        <v/>
      </c>
      <c r="BK88" s="468">
        <f>-BK78</f>
        <v/>
      </c>
      <c r="BL88" s="468">
        <f>-BL78</f>
        <v/>
      </c>
      <c r="BM88" s="468">
        <f>-BM78</f>
        <v/>
      </c>
      <c r="BN88" s="468">
        <f>-BN78</f>
        <v/>
      </c>
      <c r="BO88" s="468">
        <f>-BO78</f>
        <v/>
      </c>
      <c r="BP88" s="468">
        <f>-BP78</f>
        <v/>
      </c>
      <c r="BQ88" s="468">
        <f>-BQ78</f>
        <v/>
      </c>
      <c r="BR88" s="468">
        <f>-BR78</f>
        <v/>
      </c>
      <c r="BS88" s="468">
        <f>-BS78</f>
        <v/>
      </c>
      <c r="BT88" s="468">
        <f>-BT78</f>
        <v/>
      </c>
      <c r="BU88" s="468">
        <f>-BU78</f>
        <v/>
      </c>
      <c r="BV88" s="468">
        <f>-BV78</f>
        <v/>
      </c>
      <c r="BW88" s="468">
        <f>-BW78</f>
        <v/>
      </c>
      <c r="BX88" s="468">
        <f>-BX78</f>
        <v/>
      </c>
      <c r="BY88" s="468">
        <f>-BY78</f>
        <v/>
      </c>
      <c r="BZ88" s="468">
        <f>-BZ78</f>
        <v/>
      </c>
      <c r="CA88" s="468">
        <f>-CA78</f>
        <v/>
      </c>
      <c r="CB88" s="468">
        <f>-CB78</f>
        <v/>
      </c>
      <c r="CC88" s="468">
        <f>-CC78</f>
        <v/>
      </c>
      <c r="CD88" s="468">
        <f>-CD78</f>
        <v/>
      </c>
      <c r="CE88" s="468">
        <f>-CE78</f>
        <v/>
      </c>
      <c r="CF88" s="468">
        <f>-CF78</f>
        <v/>
      </c>
      <c r="CG88" s="468">
        <f>-CG78</f>
        <v/>
      </c>
      <c r="CH88" s="468">
        <f>-CH78</f>
        <v/>
      </c>
      <c r="CI88" s="468">
        <f>-CI78</f>
        <v/>
      </c>
      <c r="CJ88" s="468">
        <f>-CJ78</f>
        <v/>
      </c>
      <c r="CK88" s="468">
        <f>-CK78</f>
        <v/>
      </c>
      <c r="CL88" s="468">
        <f>-CL78</f>
        <v/>
      </c>
      <c r="CM88" s="468">
        <f>-CM78</f>
        <v/>
      </c>
      <c r="CN88" s="468">
        <f>-CN78</f>
        <v/>
      </c>
      <c r="CO88" s="468">
        <f>-CO78</f>
        <v/>
      </c>
      <c r="CP88" s="468">
        <f>-CP78</f>
        <v/>
      </c>
      <c r="CQ88" s="468">
        <f>-CQ78</f>
        <v/>
      </c>
      <c r="CR88" s="468">
        <f>-CR78</f>
        <v/>
      </c>
      <c r="CS88" s="468">
        <f>-CS78</f>
        <v/>
      </c>
      <c r="CT88" s="468">
        <f>-CT78</f>
        <v/>
      </c>
      <c r="CU88" s="468">
        <f>-CU78</f>
        <v/>
      </c>
      <c r="CV88" s="468">
        <f>-CV78</f>
        <v/>
      </c>
      <c r="CW88" s="468">
        <f>-CW78</f>
        <v/>
      </c>
      <c r="CX88" s="468">
        <f>-CX78</f>
        <v/>
      </c>
      <c r="CY88" s="468">
        <f>-CY78</f>
        <v/>
      </c>
      <c r="CZ88" s="468">
        <f>-CZ78</f>
        <v/>
      </c>
      <c r="DA88" s="468">
        <f>-DA78</f>
        <v/>
      </c>
      <c r="DB88" s="468">
        <f>-DB78</f>
        <v/>
      </c>
      <c r="DC88" s="468">
        <f>-DC78</f>
        <v/>
      </c>
      <c r="DD88" s="468">
        <f>-DD78</f>
        <v/>
      </c>
      <c r="DE88" s="468">
        <f>-DE78</f>
        <v/>
      </c>
      <c r="DF88" s="468">
        <f>-DF78</f>
        <v/>
      </c>
      <c r="DG88" s="468">
        <f>-DG78</f>
        <v/>
      </c>
      <c r="DH88" s="468">
        <f>-DH78</f>
        <v/>
      </c>
      <c r="DI88" s="468">
        <f>-DI78</f>
        <v/>
      </c>
      <c r="DJ88" s="468">
        <f>-DJ78</f>
        <v/>
      </c>
      <c r="DK88" s="468">
        <f>-DK78</f>
        <v/>
      </c>
      <c r="DL88" s="468">
        <f>-DL78</f>
        <v/>
      </c>
      <c r="DM88" s="468">
        <f>-DM78</f>
        <v/>
      </c>
      <c r="DN88" s="468">
        <f>-DN78</f>
        <v/>
      </c>
      <c r="DO88" s="468">
        <f>-DO78</f>
        <v/>
      </c>
      <c r="DP88" s="468">
        <f>-DP78</f>
        <v/>
      </c>
      <c r="DQ88" s="468">
        <f>-DQ78</f>
        <v/>
      </c>
      <c r="DR88" s="468">
        <f>-DR78</f>
        <v/>
      </c>
      <c r="DS88" s="468">
        <f>-DS78</f>
        <v/>
      </c>
      <c r="DT88" s="468">
        <f>-DT78</f>
        <v/>
      </c>
      <c r="DU88" s="468">
        <f>-DU78</f>
        <v/>
      </c>
      <c r="DV88" s="468">
        <f>-DV78</f>
        <v/>
      </c>
      <c r="DW88" s="322" t="inlineStr">
        <is>
          <t>x</t>
        </is>
      </c>
    </row>
    <row r="89" hidden="1" outlineLevel="1">
      <c r="C89" s="374" t="inlineStr">
        <is>
          <t>Investor Accruals</t>
        </is>
      </c>
      <c r="D89" s="374" t="n"/>
      <c r="E89" s="463">
        <f>SUM(F89:DV89)</f>
        <v/>
      </c>
      <c r="F89" s="468" t="n">
        <v>0</v>
      </c>
      <c r="G89" s="468">
        <f>G87*(((1+$D$38)^(1/$K$38)-1)*G85)</f>
        <v/>
      </c>
      <c r="H89" s="468">
        <f>H87*(((1+$D$38)^(1/$K$38)-1)*H85)</f>
        <v/>
      </c>
      <c r="I89" s="468">
        <f>I87*(((1+$D$38)^(1/$K$38)-1)*I85)</f>
        <v/>
      </c>
      <c r="J89" s="468">
        <f>J87*(((1+$D$38)^(1/$K$38)-1)*J85)</f>
        <v/>
      </c>
      <c r="K89" s="468">
        <f>K87*(((1+$D$38)^(1/$K$38)-1)*K85)</f>
        <v/>
      </c>
      <c r="L89" s="468">
        <f>L87*(((1+$D$38)^(1/$K$38)-1)*L85)</f>
        <v/>
      </c>
      <c r="M89" s="468">
        <f>M87*(((1+$D$38)^(1/$K$38)-1)*M85)</f>
        <v/>
      </c>
      <c r="N89" s="468">
        <f>N87*(((1+$D$38)^(1/$K$38)-1)*N85)</f>
        <v/>
      </c>
      <c r="O89" s="468">
        <f>O87*(((1+$D$38)^(1/$K$38)-1)*O85)</f>
        <v/>
      </c>
      <c r="P89" s="468">
        <f>P87*(((1+$D$38)^(1/$K$38)-1)*P85)</f>
        <v/>
      </c>
      <c r="Q89" s="468">
        <f>Q87*(((1+$D$38)^(1/$K$38)-1)*Q85)</f>
        <v/>
      </c>
      <c r="R89" s="468">
        <f>R87*(((1+$D$38)^(1/$K$38)-1)*R85)</f>
        <v/>
      </c>
      <c r="S89" s="468">
        <f>S87*(((1+$D$38)^(1/$K$38)-1)*S85)</f>
        <v/>
      </c>
      <c r="T89" s="468">
        <f>T87*(((1+$D$38)^(1/$K$38)-1)*T85)</f>
        <v/>
      </c>
      <c r="U89" s="468">
        <f>U87*(((1+$D$38)^(1/$K$38)-1)*U85)</f>
        <v/>
      </c>
      <c r="V89" s="468">
        <f>V87*(((1+$D$38)^(1/$K$38)-1)*V85)</f>
        <v/>
      </c>
      <c r="W89" s="468">
        <f>W87*(((1+$D$38)^(1/$K$38)-1)*W85)</f>
        <v/>
      </c>
      <c r="X89" s="468">
        <f>X87*(((1+$D$38)^(1/$K$38)-1)*X85)</f>
        <v/>
      </c>
      <c r="Y89" s="468">
        <f>Y87*(((1+$D$38)^(1/$K$38)-1)*Y85)</f>
        <v/>
      </c>
      <c r="Z89" s="468">
        <f>Z87*(((1+$D$38)^(1/$K$38)-1)*Z85)</f>
        <v/>
      </c>
      <c r="AA89" s="468">
        <f>AA87*(((1+$D$38)^(1/$K$38)-1)*AA85)</f>
        <v/>
      </c>
      <c r="AB89" s="468">
        <f>AB87*(((1+$D$38)^(1/$K$38)-1)*AB85)</f>
        <v/>
      </c>
      <c r="AC89" s="468">
        <f>AC87*(((1+$D$38)^(1/$K$38)-1)*AC85)</f>
        <v/>
      </c>
      <c r="AD89" s="468">
        <f>AD87*(((1+$D$38)^(1/$K$38)-1)*AD85)</f>
        <v/>
      </c>
      <c r="AE89" s="468">
        <f>AE87*(((1+$D$38)^(1/$K$38)-1)*AE85)</f>
        <v/>
      </c>
      <c r="AF89" s="468">
        <f>AF87*(((1+$D$38)^(1/$K$38)-1)*AF85)</f>
        <v/>
      </c>
      <c r="AG89" s="468">
        <f>AG87*(((1+$D$38)^(1/$K$38)-1)*AG85)</f>
        <v/>
      </c>
      <c r="AH89" s="468">
        <f>AH87*(((1+$D$38)^(1/$K$38)-1)*AH85)</f>
        <v/>
      </c>
      <c r="AI89" s="468">
        <f>AI87*(((1+$D$38)^(1/$K$38)-1)*AI85)</f>
        <v/>
      </c>
      <c r="AJ89" s="468">
        <f>AJ87*(((1+$D$38)^(1/$K$38)-1)*AJ85)</f>
        <v/>
      </c>
      <c r="AK89" s="468">
        <f>AK87*(((1+$D$38)^(1/$K$38)-1)*AK85)</f>
        <v/>
      </c>
      <c r="AL89" s="468">
        <f>AL87*(((1+$D$38)^(1/$K$38)-1)*AL85)</f>
        <v/>
      </c>
      <c r="AM89" s="468">
        <f>AM87*(((1+$D$38)^(1/$K$38)-1)*AM85)</f>
        <v/>
      </c>
      <c r="AN89" s="468">
        <f>AN87*(((1+$D$38)^(1/$K$38)-1)*AN85)</f>
        <v/>
      </c>
      <c r="AO89" s="468">
        <f>AO87*(((1+$D$38)^(1/$K$38)-1)*AO85)</f>
        <v/>
      </c>
      <c r="AP89" s="468">
        <f>AP87*(((1+$D$38)^(1/$K$38)-1)*AP85)</f>
        <v/>
      </c>
      <c r="AQ89" s="468">
        <f>AQ87*(((1+$D$38)^(1/$K$38)-1)*AQ85)</f>
        <v/>
      </c>
      <c r="AR89" s="468">
        <f>AR87*(((1+$D$38)^(1/$K$38)-1)*AR85)</f>
        <v/>
      </c>
      <c r="AS89" s="468">
        <f>AS87*(((1+$D$38)^(1/$K$38)-1)*AS85)</f>
        <v/>
      </c>
      <c r="AT89" s="468">
        <f>AT87*(((1+$D$38)^(1/$K$38)-1)*AT85)</f>
        <v/>
      </c>
      <c r="AU89" s="468">
        <f>AU87*(((1+$D$38)^(1/$K$38)-1)*AU85)</f>
        <v/>
      </c>
      <c r="AV89" s="468">
        <f>AV87*(((1+$D$38)^(1/$K$38)-1)*AV85)</f>
        <v/>
      </c>
      <c r="AW89" s="468">
        <f>AW87*(((1+$D$38)^(1/$K$38)-1)*AW85)</f>
        <v/>
      </c>
      <c r="AX89" s="468">
        <f>AX87*(((1+$D$38)^(1/$K$38)-1)*AX85)</f>
        <v/>
      </c>
      <c r="AY89" s="468">
        <f>AY87*(((1+$D$38)^(1/$K$38)-1)*AY85)</f>
        <v/>
      </c>
      <c r="AZ89" s="468">
        <f>AZ87*(((1+$D$38)^(1/$K$38)-1)*AZ85)</f>
        <v/>
      </c>
      <c r="BA89" s="468">
        <f>BA87*(((1+$D$38)^(1/$K$38)-1)*BA85)</f>
        <v/>
      </c>
      <c r="BB89" s="468">
        <f>BB87*(((1+$D$38)^(1/$K$38)-1)*BB85)</f>
        <v/>
      </c>
      <c r="BC89" s="468">
        <f>BC87*(((1+$D$38)^(1/$K$38)-1)*BC85)</f>
        <v/>
      </c>
      <c r="BD89" s="468">
        <f>BD87*(((1+$D$38)^(1/$K$38)-1)*BD85)</f>
        <v/>
      </c>
      <c r="BE89" s="468">
        <f>BE87*(((1+$D$38)^(1/$K$38)-1)*BE85)</f>
        <v/>
      </c>
      <c r="BF89" s="468">
        <f>BF87*(((1+$D$38)^(1/$K$38)-1)*BF85)</f>
        <v/>
      </c>
      <c r="BG89" s="468">
        <f>BG87*(((1+$D$38)^(1/$K$38)-1)*BG85)</f>
        <v/>
      </c>
      <c r="BH89" s="468">
        <f>BH87*(((1+$D$38)^(1/$K$38)-1)*BH85)</f>
        <v/>
      </c>
      <c r="BI89" s="468">
        <f>BI87*(((1+$D$38)^(1/$K$38)-1)*BI85)</f>
        <v/>
      </c>
      <c r="BJ89" s="468">
        <f>BJ87*(((1+$D$38)^(1/$K$38)-1)*BJ85)</f>
        <v/>
      </c>
      <c r="BK89" s="468">
        <f>BK87*(((1+$D$38)^(1/$K$38)-1)*BK85)</f>
        <v/>
      </c>
      <c r="BL89" s="468">
        <f>BL87*(((1+$D$38)^(1/$K$38)-1)*BL85)</f>
        <v/>
      </c>
      <c r="BM89" s="468">
        <f>BM87*(((1+$D$38)^(1/$K$38)-1)*BM85)</f>
        <v/>
      </c>
      <c r="BN89" s="468">
        <f>BN87*(((1+$D$38)^(1/$K$38)-1)*BN85)</f>
        <v/>
      </c>
      <c r="BO89" s="468">
        <f>BO87*(((1+$D$38)^(1/$K$38)-1)*BO85)</f>
        <v/>
      </c>
      <c r="BP89" s="468">
        <f>BP87*(((1+$D$38)^(1/$K$38)-1)*BP85)</f>
        <v/>
      </c>
      <c r="BQ89" s="468">
        <f>BQ87*(((1+$D$38)^(1/$K$38)-1)*BQ85)</f>
        <v/>
      </c>
      <c r="BR89" s="468">
        <f>BR87*(((1+$D$38)^(1/$K$38)-1)*BR85)</f>
        <v/>
      </c>
      <c r="BS89" s="468">
        <f>BS87*(((1+$D$38)^(1/$K$38)-1)*BS85)</f>
        <v/>
      </c>
      <c r="BT89" s="468">
        <f>BT87*(((1+$D$38)^(1/$K$38)-1)*BT85)</f>
        <v/>
      </c>
      <c r="BU89" s="468">
        <f>BU87*(((1+$D$38)^(1/$K$38)-1)*BU85)</f>
        <v/>
      </c>
      <c r="BV89" s="468">
        <f>BV87*(((1+$D$38)^(1/$K$38)-1)*BV85)</f>
        <v/>
      </c>
      <c r="BW89" s="468">
        <f>BW87*(((1+$D$38)^(1/$K$38)-1)*BW85)</f>
        <v/>
      </c>
      <c r="BX89" s="468">
        <f>BX87*(((1+$D$38)^(1/$K$38)-1)*BX85)</f>
        <v/>
      </c>
      <c r="BY89" s="468">
        <f>BY87*(((1+$D$38)^(1/$K$38)-1)*BY85)</f>
        <v/>
      </c>
      <c r="BZ89" s="468">
        <f>BZ87*(((1+$D$38)^(1/$K$38)-1)*BZ85)</f>
        <v/>
      </c>
      <c r="CA89" s="468">
        <f>CA87*(((1+$D$38)^(1/$K$38)-1)*CA85)</f>
        <v/>
      </c>
      <c r="CB89" s="468">
        <f>CB87*(((1+$D$38)^(1/$K$38)-1)*CB85)</f>
        <v/>
      </c>
      <c r="CC89" s="468">
        <f>CC87*(((1+$D$38)^(1/$K$38)-1)*CC85)</f>
        <v/>
      </c>
      <c r="CD89" s="468">
        <f>CD87*(((1+$D$38)^(1/$K$38)-1)*CD85)</f>
        <v/>
      </c>
      <c r="CE89" s="468">
        <f>CE87*(((1+$D$38)^(1/$K$38)-1)*CE85)</f>
        <v/>
      </c>
      <c r="CF89" s="468">
        <f>CF87*(((1+$D$38)^(1/$K$38)-1)*CF85)</f>
        <v/>
      </c>
      <c r="CG89" s="468">
        <f>CG87*(((1+$D$38)^(1/$K$38)-1)*CG85)</f>
        <v/>
      </c>
      <c r="CH89" s="468">
        <f>CH87*(((1+$D$38)^(1/$K$38)-1)*CH85)</f>
        <v/>
      </c>
      <c r="CI89" s="468">
        <f>CI87*(((1+$D$38)^(1/$K$38)-1)*CI85)</f>
        <v/>
      </c>
      <c r="CJ89" s="468">
        <f>CJ87*(((1+$D$38)^(1/$K$38)-1)*CJ85)</f>
        <v/>
      </c>
      <c r="CK89" s="468">
        <f>CK87*(((1+$D$38)^(1/$K$38)-1)*CK85)</f>
        <v/>
      </c>
      <c r="CL89" s="468">
        <f>CL87*(((1+$D$38)^(1/$K$38)-1)*CL85)</f>
        <v/>
      </c>
      <c r="CM89" s="468">
        <f>CM87*(((1+$D$38)^(1/$K$38)-1)*CM85)</f>
        <v/>
      </c>
      <c r="CN89" s="468">
        <f>CN87*(((1+$D$38)^(1/$K$38)-1)*CN85)</f>
        <v/>
      </c>
      <c r="CO89" s="468">
        <f>CO87*(((1+$D$38)^(1/$K$38)-1)*CO85)</f>
        <v/>
      </c>
      <c r="CP89" s="468">
        <f>CP87*(((1+$D$38)^(1/$K$38)-1)*CP85)</f>
        <v/>
      </c>
      <c r="CQ89" s="468">
        <f>CQ87*(((1+$D$38)^(1/$K$38)-1)*CQ85)</f>
        <v/>
      </c>
      <c r="CR89" s="468">
        <f>CR87*(((1+$D$38)^(1/$K$38)-1)*CR85)</f>
        <v/>
      </c>
      <c r="CS89" s="468">
        <f>CS87*(((1+$D$38)^(1/$K$38)-1)*CS85)</f>
        <v/>
      </c>
      <c r="CT89" s="468">
        <f>CT87*(((1+$D$38)^(1/$K$38)-1)*CT85)</f>
        <v/>
      </c>
      <c r="CU89" s="468">
        <f>CU87*(((1+$D$38)^(1/$K$38)-1)*CU85)</f>
        <v/>
      </c>
      <c r="CV89" s="468">
        <f>CV87*(((1+$D$38)^(1/$K$38)-1)*CV85)</f>
        <v/>
      </c>
      <c r="CW89" s="468">
        <f>CW87*(((1+$D$38)^(1/$K$38)-1)*CW85)</f>
        <v/>
      </c>
      <c r="CX89" s="468">
        <f>CX87*(((1+$D$38)^(1/$K$38)-1)*CX85)</f>
        <v/>
      </c>
      <c r="CY89" s="468">
        <f>CY87*(((1+$D$38)^(1/$K$38)-1)*CY85)</f>
        <v/>
      </c>
      <c r="CZ89" s="468">
        <f>CZ87*(((1+$D$38)^(1/$K$38)-1)*CZ85)</f>
        <v/>
      </c>
      <c r="DA89" s="468">
        <f>DA87*(((1+$D$38)^(1/$K$38)-1)*DA85)</f>
        <v/>
      </c>
      <c r="DB89" s="468">
        <f>DB87*(((1+$D$38)^(1/$K$38)-1)*DB85)</f>
        <v/>
      </c>
      <c r="DC89" s="468">
        <f>DC87*(((1+$D$38)^(1/$K$38)-1)*DC85)</f>
        <v/>
      </c>
      <c r="DD89" s="468">
        <f>DD87*(((1+$D$38)^(1/$K$38)-1)*DD85)</f>
        <v/>
      </c>
      <c r="DE89" s="468">
        <f>DE87*(((1+$D$38)^(1/$K$38)-1)*DE85)</f>
        <v/>
      </c>
      <c r="DF89" s="468">
        <f>DF87*(((1+$D$38)^(1/$K$38)-1)*DF85)</f>
        <v/>
      </c>
      <c r="DG89" s="468">
        <f>DG87*(((1+$D$38)^(1/$K$38)-1)*DG85)</f>
        <v/>
      </c>
      <c r="DH89" s="468">
        <f>DH87*(((1+$D$38)^(1/$K$38)-1)*DH85)</f>
        <v/>
      </c>
      <c r="DI89" s="468">
        <f>DI87*(((1+$D$38)^(1/$K$38)-1)*DI85)</f>
        <v/>
      </c>
      <c r="DJ89" s="468">
        <f>DJ87*(((1+$D$38)^(1/$K$38)-1)*DJ85)</f>
        <v/>
      </c>
      <c r="DK89" s="468">
        <f>DK87*(((1+$D$38)^(1/$K$38)-1)*DK85)</f>
        <v/>
      </c>
      <c r="DL89" s="468">
        <f>DL87*(((1+$D$38)^(1/$K$38)-1)*DL85)</f>
        <v/>
      </c>
      <c r="DM89" s="468">
        <f>DM87*(((1+$D$38)^(1/$K$38)-1)*DM85)</f>
        <v/>
      </c>
      <c r="DN89" s="468">
        <f>DN87*(((1+$D$38)^(1/$K$38)-1)*DN85)</f>
        <v/>
      </c>
      <c r="DO89" s="468">
        <f>DO87*(((1+$D$38)^(1/$K$38)-1)*DO85)</f>
        <v/>
      </c>
      <c r="DP89" s="468">
        <f>DP87*(((1+$D$38)^(1/$K$38)-1)*DP85)</f>
        <v/>
      </c>
      <c r="DQ89" s="468">
        <f>DQ87*(((1+$D$38)^(1/$K$38)-1)*DQ85)</f>
        <v/>
      </c>
      <c r="DR89" s="468">
        <f>DR87*(((1+$D$38)^(1/$K$38)-1)*DR85)</f>
        <v/>
      </c>
      <c r="DS89" s="468">
        <f>DS87*(((1+$D$38)^(1/$K$38)-1)*DS85)</f>
        <v/>
      </c>
      <c r="DT89" s="468">
        <f>DT87*(((1+$D$38)^(1/$K$38)-1)*DT85)</f>
        <v/>
      </c>
      <c r="DU89" s="468">
        <f>DU87*(((1+$D$38)^(1/$K$38)-1)*DU85)</f>
        <v/>
      </c>
      <c r="DV89" s="468">
        <f>DV87*(((1+$D$38)^(1/$K$38)-1)*DV85)</f>
        <v/>
      </c>
      <c r="DW89" s="322" t="inlineStr">
        <is>
          <t>x</t>
        </is>
      </c>
    </row>
    <row r="90" hidden="1" outlineLevel="1">
      <c r="C90" s="682">
        <f>TEXT(D38,"0.00%")&amp;" Accrual Distribution"</f>
        <v/>
      </c>
      <c r="D90" s="682" t="n"/>
      <c r="E90" s="463">
        <f>SUM(F90:DV90)</f>
        <v/>
      </c>
      <c r="F90" s="468" t="n">
        <v>0</v>
      </c>
      <c r="G90" s="468">
        <f>-MIN(G81*$D$126,SUM(G87:G89))</f>
        <v/>
      </c>
      <c r="H90" s="468">
        <f>-MIN(H81*$D$126,SUM(H87:H89))</f>
        <v/>
      </c>
      <c r="I90" s="468">
        <f>-MIN(I81*$D$126,SUM(I87:I89))</f>
        <v/>
      </c>
      <c r="J90" s="468">
        <f>-MIN(J81*$D$126,SUM(J87:J89))</f>
        <v/>
      </c>
      <c r="K90" s="468">
        <f>-MIN(K81*$D$126,SUM(K87:K89))</f>
        <v/>
      </c>
      <c r="L90" s="468">
        <f>-MIN(L81*$D$126,SUM(L87:L89))</f>
        <v/>
      </c>
      <c r="M90" s="468">
        <f>-MIN(M81*$D$126,SUM(M87:M89))</f>
        <v/>
      </c>
      <c r="N90" s="468">
        <f>-MIN(N81*$D$126,SUM(N87:N89))</f>
        <v/>
      </c>
      <c r="O90" s="468">
        <f>-MIN(O81*$D$126,SUM(O87:O89))</f>
        <v/>
      </c>
      <c r="P90" s="468">
        <f>-MIN(P81*$D$126,SUM(P87:P89))</f>
        <v/>
      </c>
      <c r="Q90" s="468">
        <f>-MIN(Q81*$D$126,SUM(Q87:Q89))</f>
        <v/>
      </c>
      <c r="R90" s="468">
        <f>-MIN(R81*$D$126,SUM(R87:R89))</f>
        <v/>
      </c>
      <c r="S90" s="468">
        <f>-MIN(S81*$D$126,SUM(S87:S89))</f>
        <v/>
      </c>
      <c r="T90" s="468">
        <f>-MIN(T81*$D$126,SUM(T87:T89))</f>
        <v/>
      </c>
      <c r="U90" s="468">
        <f>-MIN(U81*$D$126,SUM(U87:U89))</f>
        <v/>
      </c>
      <c r="V90" s="468">
        <f>-MIN(V81*$D$126,SUM(V87:V89))</f>
        <v/>
      </c>
      <c r="W90" s="468">
        <f>-MIN(W81*$D$126,SUM(W87:W89))</f>
        <v/>
      </c>
      <c r="X90" s="468">
        <f>-MIN(X81*$D$126,SUM(X87:X89))</f>
        <v/>
      </c>
      <c r="Y90" s="468">
        <f>-MIN(Y81*$D$126,SUM(Y87:Y89))</f>
        <v/>
      </c>
      <c r="Z90" s="468">
        <f>-MIN(Z81*$D$126,SUM(Z87:Z89))</f>
        <v/>
      </c>
      <c r="AA90" s="468">
        <f>-MIN(AA81*$D$126,SUM(AA87:AA89))</f>
        <v/>
      </c>
      <c r="AB90" s="468">
        <f>-MIN(AB81*$D$126,SUM(AB87:AB89))</f>
        <v/>
      </c>
      <c r="AC90" s="468">
        <f>-MIN(AC81*$D$126,SUM(AC87:AC89))</f>
        <v/>
      </c>
      <c r="AD90" s="468">
        <f>-MIN(AD81*$D$126,SUM(AD87:AD89))</f>
        <v/>
      </c>
      <c r="AE90" s="468">
        <f>-MIN(AE81*$D$126,SUM(AE87:AE89))</f>
        <v/>
      </c>
      <c r="AF90" s="468">
        <f>-MIN(AF81*$D$126,SUM(AF87:AF89))</f>
        <v/>
      </c>
      <c r="AG90" s="468">
        <f>-MIN(AG81*$D$126,SUM(AG87:AG89))</f>
        <v/>
      </c>
      <c r="AH90" s="468">
        <f>-MIN(AH81*$D$126,SUM(AH87:AH89))</f>
        <v/>
      </c>
      <c r="AI90" s="468">
        <f>-MIN(AI81*$D$126,SUM(AI87:AI89))</f>
        <v/>
      </c>
      <c r="AJ90" s="468">
        <f>-MIN(AJ81*$D$126,SUM(AJ87:AJ89))</f>
        <v/>
      </c>
      <c r="AK90" s="468">
        <f>-MIN(AK81*$D$126,SUM(AK87:AK89))</f>
        <v/>
      </c>
      <c r="AL90" s="468">
        <f>-MIN(AL81*$D$126,SUM(AL87:AL89))</f>
        <v/>
      </c>
      <c r="AM90" s="468">
        <f>-MIN(AM81*$D$126,SUM(AM87:AM89))</f>
        <v/>
      </c>
      <c r="AN90" s="468">
        <f>-MIN(AN81*$D$126,SUM(AN87:AN89))</f>
        <v/>
      </c>
      <c r="AO90" s="468">
        <f>-MIN(AO81*$D$126,SUM(AO87:AO89))</f>
        <v/>
      </c>
      <c r="AP90" s="468">
        <f>-MIN(AP81*$D$126,SUM(AP87:AP89))</f>
        <v/>
      </c>
      <c r="AQ90" s="468">
        <f>-MIN(AQ81*$D$126,SUM(AQ87:AQ89))</f>
        <v/>
      </c>
      <c r="AR90" s="468">
        <f>-MIN(AR81*$D$126,SUM(AR87:AR89))</f>
        <v/>
      </c>
      <c r="AS90" s="468">
        <f>-MIN(AS81*$D$126,SUM(AS87:AS89))</f>
        <v/>
      </c>
      <c r="AT90" s="468">
        <f>-MIN(AT81*$D$126,SUM(AT87:AT89))</f>
        <v/>
      </c>
      <c r="AU90" s="468">
        <f>-MIN(AU81*$D$126,SUM(AU87:AU89))</f>
        <v/>
      </c>
      <c r="AV90" s="468">
        <f>-MIN(AV81*$D$126,SUM(AV87:AV89))</f>
        <v/>
      </c>
      <c r="AW90" s="468">
        <f>-MIN(AW81*$D$126,SUM(AW87:AW89))</f>
        <v/>
      </c>
      <c r="AX90" s="468">
        <f>-MIN(AX81*$D$126,SUM(AX87:AX89))</f>
        <v/>
      </c>
      <c r="AY90" s="468">
        <f>-MIN(AY81*$D$126,SUM(AY87:AY89))</f>
        <v/>
      </c>
      <c r="AZ90" s="468">
        <f>-MIN(AZ81*$D$126,SUM(AZ87:AZ89))</f>
        <v/>
      </c>
      <c r="BA90" s="468">
        <f>-MIN(BA81*$D$126,SUM(BA87:BA89))</f>
        <v/>
      </c>
      <c r="BB90" s="468">
        <f>-MIN(BB81*$D$126,SUM(BB87:BB89))</f>
        <v/>
      </c>
      <c r="BC90" s="468">
        <f>-MIN(BC81*$D$126,SUM(BC87:BC89))</f>
        <v/>
      </c>
      <c r="BD90" s="468">
        <f>-MIN(BD81*$D$126,SUM(BD87:BD89))</f>
        <v/>
      </c>
      <c r="BE90" s="468">
        <f>-MIN(BE81*$D$126,SUM(BE87:BE89))</f>
        <v/>
      </c>
      <c r="BF90" s="468">
        <f>-MIN(BF81*$D$126,SUM(BF87:BF89))</f>
        <v/>
      </c>
      <c r="BG90" s="468">
        <f>-MIN(BG81*$D$126,SUM(BG87:BG89))</f>
        <v/>
      </c>
      <c r="BH90" s="468">
        <f>-MIN(BH81*$D$126,SUM(BH87:BH89))</f>
        <v/>
      </c>
      <c r="BI90" s="468">
        <f>-MIN(BI81*$D$126,SUM(BI87:BI89))</f>
        <v/>
      </c>
      <c r="BJ90" s="468">
        <f>-MIN(BJ81*$D$126,SUM(BJ87:BJ89))</f>
        <v/>
      </c>
      <c r="BK90" s="468">
        <f>-MIN(BK81*$D$126,SUM(BK87:BK89))</f>
        <v/>
      </c>
      <c r="BL90" s="468">
        <f>-MIN(BL81*$D$126,SUM(BL87:BL89))</f>
        <v/>
      </c>
      <c r="BM90" s="468">
        <f>-MIN(BM81*$D$126,SUM(BM87:BM89))</f>
        <v/>
      </c>
      <c r="BN90" s="468">
        <f>-MIN(BN81*$D$126,SUM(BN87:BN89))</f>
        <v/>
      </c>
      <c r="BO90" s="468">
        <f>-MIN(BO81*$D$126,SUM(BO87:BO89))</f>
        <v/>
      </c>
      <c r="BP90" s="468">
        <f>-MIN(BP81*$D$126,SUM(BP87:BP89))</f>
        <v/>
      </c>
      <c r="BQ90" s="468">
        <f>-MIN(BQ81*$D$126,SUM(BQ87:BQ89))</f>
        <v/>
      </c>
      <c r="BR90" s="468">
        <f>-MIN(BR81*$D$126,SUM(BR87:BR89))</f>
        <v/>
      </c>
      <c r="BS90" s="468">
        <f>-MIN(BS81*$D$126,SUM(BS87:BS89))</f>
        <v/>
      </c>
      <c r="BT90" s="468">
        <f>-MIN(BT81*$D$126,SUM(BT87:BT89))</f>
        <v/>
      </c>
      <c r="BU90" s="468">
        <f>-MIN(BU81*$D$126,SUM(BU87:BU89))</f>
        <v/>
      </c>
      <c r="BV90" s="468">
        <f>-MIN(BV81*$D$126,SUM(BV87:BV89))</f>
        <v/>
      </c>
      <c r="BW90" s="468">
        <f>-MIN(BW81*$D$126,SUM(BW87:BW89))</f>
        <v/>
      </c>
      <c r="BX90" s="468">
        <f>-MIN(BX81*$D$126,SUM(BX87:BX89))</f>
        <v/>
      </c>
      <c r="BY90" s="468">
        <f>-MIN(BY81*$D$126,SUM(BY87:BY89))</f>
        <v/>
      </c>
      <c r="BZ90" s="468">
        <f>-MIN(BZ81*$D$126,SUM(BZ87:BZ89))</f>
        <v/>
      </c>
      <c r="CA90" s="468">
        <f>-MIN(CA81*$D$126,SUM(CA87:CA89))</f>
        <v/>
      </c>
      <c r="CB90" s="468">
        <f>-MIN(CB81*$D$126,SUM(CB87:CB89))</f>
        <v/>
      </c>
      <c r="CC90" s="468">
        <f>-MIN(CC81*$D$126,SUM(CC87:CC89))</f>
        <v/>
      </c>
      <c r="CD90" s="468">
        <f>-MIN(CD81*$D$126,SUM(CD87:CD89))</f>
        <v/>
      </c>
      <c r="CE90" s="468">
        <f>-MIN(CE81*$D$126,SUM(CE87:CE89))</f>
        <v/>
      </c>
      <c r="CF90" s="468">
        <f>-MIN(CF81*$D$126,SUM(CF87:CF89))</f>
        <v/>
      </c>
      <c r="CG90" s="468">
        <f>-MIN(CG81*$D$126,SUM(CG87:CG89))</f>
        <v/>
      </c>
      <c r="CH90" s="468">
        <f>-MIN(CH81*$D$126,SUM(CH87:CH89))</f>
        <v/>
      </c>
      <c r="CI90" s="468">
        <f>-MIN(CI81*$D$126,SUM(CI87:CI89))</f>
        <v/>
      </c>
      <c r="CJ90" s="468">
        <f>-MIN(CJ81*$D$126,SUM(CJ87:CJ89))</f>
        <v/>
      </c>
      <c r="CK90" s="468">
        <f>-MIN(CK81*$D$126,SUM(CK87:CK89))</f>
        <v/>
      </c>
      <c r="CL90" s="468">
        <f>-MIN(CL81*$D$126,SUM(CL87:CL89))</f>
        <v/>
      </c>
      <c r="CM90" s="468">
        <f>-MIN(CM81*$D$126,SUM(CM87:CM89))</f>
        <v/>
      </c>
      <c r="CN90" s="468">
        <f>-MIN(CN81*$D$126,SUM(CN87:CN89))</f>
        <v/>
      </c>
      <c r="CO90" s="468">
        <f>-MIN(CO81*$D$126,SUM(CO87:CO89))</f>
        <v/>
      </c>
      <c r="CP90" s="468">
        <f>-MIN(CP81*$D$126,SUM(CP87:CP89))</f>
        <v/>
      </c>
      <c r="CQ90" s="468">
        <f>-MIN(CQ81*$D$126,SUM(CQ87:CQ89))</f>
        <v/>
      </c>
      <c r="CR90" s="468">
        <f>-MIN(CR81*$D$126,SUM(CR87:CR89))</f>
        <v/>
      </c>
      <c r="CS90" s="468">
        <f>-MIN(CS81*$D$126,SUM(CS87:CS89))</f>
        <v/>
      </c>
      <c r="CT90" s="468">
        <f>-MIN(CT81*$D$126,SUM(CT87:CT89))</f>
        <v/>
      </c>
      <c r="CU90" s="468">
        <f>-MIN(CU81*$D$126,SUM(CU87:CU89))</f>
        <v/>
      </c>
      <c r="CV90" s="468">
        <f>-MIN(CV81*$D$126,SUM(CV87:CV89))</f>
        <v/>
      </c>
      <c r="CW90" s="468">
        <f>-MIN(CW81*$D$126,SUM(CW87:CW89))</f>
        <v/>
      </c>
      <c r="CX90" s="468">
        <f>-MIN(CX81*$D$126,SUM(CX87:CX89))</f>
        <v/>
      </c>
      <c r="CY90" s="468">
        <f>-MIN(CY81*$D$126,SUM(CY87:CY89))</f>
        <v/>
      </c>
      <c r="CZ90" s="468">
        <f>-MIN(CZ81*$D$126,SUM(CZ87:CZ89))</f>
        <v/>
      </c>
      <c r="DA90" s="468">
        <f>-MIN(DA81*$D$126,SUM(DA87:DA89))</f>
        <v/>
      </c>
      <c r="DB90" s="468">
        <f>-MIN(DB81*$D$126,SUM(DB87:DB89))</f>
        <v/>
      </c>
      <c r="DC90" s="468">
        <f>-MIN(DC81*$D$126,SUM(DC87:DC89))</f>
        <v/>
      </c>
      <c r="DD90" s="468">
        <f>-MIN(DD81*$D$126,SUM(DD87:DD89))</f>
        <v/>
      </c>
      <c r="DE90" s="468">
        <f>-MIN(DE81*$D$126,SUM(DE87:DE89))</f>
        <v/>
      </c>
      <c r="DF90" s="468">
        <f>-MIN(DF81*$D$126,SUM(DF87:DF89))</f>
        <v/>
      </c>
      <c r="DG90" s="468">
        <f>-MIN(DG81*$D$126,SUM(DG87:DG89))</f>
        <v/>
      </c>
      <c r="DH90" s="468">
        <f>-MIN(DH81*$D$126,SUM(DH87:DH89))</f>
        <v/>
      </c>
      <c r="DI90" s="468">
        <f>-MIN(DI81*$D$126,SUM(DI87:DI89))</f>
        <v/>
      </c>
      <c r="DJ90" s="468">
        <f>-MIN(DJ81*$D$126,SUM(DJ87:DJ89))</f>
        <v/>
      </c>
      <c r="DK90" s="468">
        <f>-MIN(DK81*$D$126,SUM(DK87:DK89))</f>
        <v/>
      </c>
      <c r="DL90" s="468">
        <f>-MIN(DL81*$D$126,SUM(DL87:DL89))</f>
        <v/>
      </c>
      <c r="DM90" s="468">
        <f>-MIN(DM81*$D$126,SUM(DM87:DM89))</f>
        <v/>
      </c>
      <c r="DN90" s="468">
        <f>-MIN(DN81*$D$126,SUM(DN87:DN89))</f>
        <v/>
      </c>
      <c r="DO90" s="468">
        <f>-MIN(DO81*$D$126,SUM(DO87:DO89))</f>
        <v/>
      </c>
      <c r="DP90" s="468">
        <f>-MIN(DP81*$D$126,SUM(DP87:DP89))</f>
        <v/>
      </c>
      <c r="DQ90" s="468">
        <f>-MIN(DQ81*$D$126,SUM(DQ87:DQ89))</f>
        <v/>
      </c>
      <c r="DR90" s="468">
        <f>-MIN(DR81*$D$126,SUM(DR87:DR89))</f>
        <v/>
      </c>
      <c r="DS90" s="468">
        <f>-MIN(DS81*$D$126,SUM(DS87:DS89))</f>
        <v/>
      </c>
      <c r="DT90" s="468">
        <f>-MIN(DT81*$D$126,SUM(DT87:DT89))</f>
        <v/>
      </c>
      <c r="DU90" s="468">
        <f>-MIN(DU81*$D$126,SUM(DU87:DU89))</f>
        <v/>
      </c>
      <c r="DV90" s="468">
        <f>-MIN(DV81*$D$126,SUM(DV87:DV89))</f>
        <v/>
      </c>
      <c r="DW90" s="322" t="inlineStr">
        <is>
          <t>x</t>
        </is>
      </c>
    </row>
    <row r="91" hidden="1" outlineLevel="1" ht="17.25" customHeight="1" thickBot="1">
      <c r="C91" s="365" t="inlineStr">
        <is>
          <t>Ending Balance</t>
        </is>
      </c>
      <c r="D91" s="365" t="n"/>
      <c r="E91" s="658">
        <f>SUM(E88:E90)</f>
        <v/>
      </c>
      <c r="F91" s="658">
        <f>SUM(F87:F90)</f>
        <v/>
      </c>
      <c r="G91" s="658">
        <f>SUM(G87:G90)</f>
        <v/>
      </c>
      <c r="H91" s="658">
        <f>SUM(H87:H90)</f>
        <v/>
      </c>
      <c r="I91" s="658">
        <f>SUM(I87:I90)</f>
        <v/>
      </c>
      <c r="J91" s="658">
        <f>SUM(J87:J90)</f>
        <v/>
      </c>
      <c r="K91" s="658">
        <f>SUM(K87:K90)</f>
        <v/>
      </c>
      <c r="L91" s="658">
        <f>SUM(L87:L90)</f>
        <v/>
      </c>
      <c r="M91" s="658">
        <f>SUM(M87:M90)</f>
        <v/>
      </c>
      <c r="N91" s="658">
        <f>SUM(N87:N90)</f>
        <v/>
      </c>
      <c r="O91" s="658">
        <f>SUM(O87:O90)</f>
        <v/>
      </c>
      <c r="P91" s="658">
        <f>SUM(P87:P90)</f>
        <v/>
      </c>
      <c r="Q91" s="658">
        <f>SUM(Q87:Q90)</f>
        <v/>
      </c>
      <c r="R91" s="658">
        <f>SUM(R87:R90)</f>
        <v/>
      </c>
      <c r="S91" s="658">
        <f>SUM(S87:S90)</f>
        <v/>
      </c>
      <c r="T91" s="658">
        <f>SUM(T87:T90)</f>
        <v/>
      </c>
      <c r="U91" s="658">
        <f>SUM(U87:U90)</f>
        <v/>
      </c>
      <c r="V91" s="658">
        <f>SUM(V87:V90)</f>
        <v/>
      </c>
      <c r="W91" s="658">
        <f>SUM(W87:W90)</f>
        <v/>
      </c>
      <c r="X91" s="658">
        <f>SUM(X87:X90)</f>
        <v/>
      </c>
      <c r="Y91" s="658">
        <f>SUM(Y87:Y90)</f>
        <v/>
      </c>
      <c r="Z91" s="658">
        <f>SUM(Z87:Z90)</f>
        <v/>
      </c>
      <c r="AA91" s="658">
        <f>SUM(AA87:AA90)</f>
        <v/>
      </c>
      <c r="AB91" s="658">
        <f>SUM(AB87:AB90)</f>
        <v/>
      </c>
      <c r="AC91" s="658">
        <f>SUM(AC87:AC90)</f>
        <v/>
      </c>
      <c r="AD91" s="658">
        <f>SUM(AD87:AD90)</f>
        <v/>
      </c>
      <c r="AE91" s="658">
        <f>SUM(AE87:AE90)</f>
        <v/>
      </c>
      <c r="AF91" s="658">
        <f>SUM(AF87:AF90)</f>
        <v/>
      </c>
      <c r="AG91" s="658">
        <f>SUM(AG87:AG90)</f>
        <v/>
      </c>
      <c r="AH91" s="658">
        <f>SUM(AH87:AH90)</f>
        <v/>
      </c>
      <c r="AI91" s="658">
        <f>SUM(AI87:AI90)</f>
        <v/>
      </c>
      <c r="AJ91" s="658">
        <f>SUM(AJ87:AJ90)</f>
        <v/>
      </c>
      <c r="AK91" s="658">
        <f>SUM(AK87:AK90)</f>
        <v/>
      </c>
      <c r="AL91" s="658">
        <f>SUM(AL87:AL90)</f>
        <v/>
      </c>
      <c r="AM91" s="658">
        <f>SUM(AM87:AM90)</f>
        <v/>
      </c>
      <c r="AN91" s="658">
        <f>SUM(AN87:AN90)</f>
        <v/>
      </c>
      <c r="AO91" s="658">
        <f>SUM(AO87:AO90)</f>
        <v/>
      </c>
      <c r="AP91" s="658">
        <f>SUM(AP87:AP90)</f>
        <v/>
      </c>
      <c r="AQ91" s="658">
        <f>SUM(AQ87:AQ90)</f>
        <v/>
      </c>
      <c r="AR91" s="658">
        <f>SUM(AR87:AR90)</f>
        <v/>
      </c>
      <c r="AS91" s="658">
        <f>SUM(AS87:AS90)</f>
        <v/>
      </c>
      <c r="AT91" s="658">
        <f>SUM(AT87:AT90)</f>
        <v/>
      </c>
      <c r="AU91" s="658">
        <f>SUM(AU87:AU90)</f>
        <v/>
      </c>
      <c r="AV91" s="658">
        <f>SUM(AV87:AV90)</f>
        <v/>
      </c>
      <c r="AW91" s="658">
        <f>SUM(AW87:AW90)</f>
        <v/>
      </c>
      <c r="AX91" s="658">
        <f>SUM(AX87:AX90)</f>
        <v/>
      </c>
      <c r="AY91" s="658">
        <f>SUM(AY87:AY90)</f>
        <v/>
      </c>
      <c r="AZ91" s="658">
        <f>SUM(AZ87:AZ90)</f>
        <v/>
      </c>
      <c r="BA91" s="658">
        <f>SUM(BA87:BA90)</f>
        <v/>
      </c>
      <c r="BB91" s="658">
        <f>SUM(BB87:BB90)</f>
        <v/>
      </c>
      <c r="BC91" s="658">
        <f>SUM(BC87:BC90)</f>
        <v/>
      </c>
      <c r="BD91" s="658">
        <f>SUM(BD87:BD90)</f>
        <v/>
      </c>
      <c r="BE91" s="658">
        <f>SUM(BE87:BE90)</f>
        <v/>
      </c>
      <c r="BF91" s="658">
        <f>SUM(BF87:BF90)</f>
        <v/>
      </c>
      <c r="BG91" s="658">
        <f>SUM(BG87:BG90)</f>
        <v/>
      </c>
      <c r="BH91" s="658">
        <f>SUM(BH87:BH90)</f>
        <v/>
      </c>
      <c r="BI91" s="658">
        <f>SUM(BI87:BI90)</f>
        <v/>
      </c>
      <c r="BJ91" s="658">
        <f>SUM(BJ87:BJ90)</f>
        <v/>
      </c>
      <c r="BK91" s="658">
        <f>SUM(BK87:BK90)</f>
        <v/>
      </c>
      <c r="BL91" s="658">
        <f>SUM(BL87:BL90)</f>
        <v/>
      </c>
      <c r="BM91" s="658">
        <f>SUM(BM87:BM90)</f>
        <v/>
      </c>
      <c r="BN91" s="658">
        <f>SUM(BN87:BN90)</f>
        <v/>
      </c>
      <c r="BO91" s="658">
        <f>SUM(BO87:BO90)</f>
        <v/>
      </c>
      <c r="BP91" s="658">
        <f>SUM(BP87:BP90)</f>
        <v/>
      </c>
      <c r="BQ91" s="658">
        <f>SUM(BQ87:BQ90)</f>
        <v/>
      </c>
      <c r="BR91" s="658">
        <f>SUM(BR87:BR90)</f>
        <v/>
      </c>
      <c r="BS91" s="658">
        <f>SUM(BS87:BS90)</f>
        <v/>
      </c>
      <c r="BT91" s="658">
        <f>SUM(BT87:BT90)</f>
        <v/>
      </c>
      <c r="BU91" s="658">
        <f>SUM(BU87:BU90)</f>
        <v/>
      </c>
      <c r="BV91" s="658">
        <f>SUM(BV87:BV90)</f>
        <v/>
      </c>
      <c r="BW91" s="658">
        <f>SUM(BW87:BW90)</f>
        <v/>
      </c>
      <c r="BX91" s="658">
        <f>SUM(BX87:BX90)</f>
        <v/>
      </c>
      <c r="BY91" s="658">
        <f>SUM(BY87:BY90)</f>
        <v/>
      </c>
      <c r="BZ91" s="658">
        <f>SUM(BZ87:BZ90)</f>
        <v/>
      </c>
      <c r="CA91" s="658">
        <f>SUM(CA87:CA90)</f>
        <v/>
      </c>
      <c r="CB91" s="658">
        <f>SUM(CB87:CB90)</f>
        <v/>
      </c>
      <c r="CC91" s="658">
        <f>SUM(CC87:CC90)</f>
        <v/>
      </c>
      <c r="CD91" s="658">
        <f>SUM(CD87:CD90)</f>
        <v/>
      </c>
      <c r="CE91" s="658">
        <f>SUM(CE87:CE90)</f>
        <v/>
      </c>
      <c r="CF91" s="658">
        <f>SUM(CF87:CF90)</f>
        <v/>
      </c>
      <c r="CG91" s="658">
        <f>SUM(CG87:CG90)</f>
        <v/>
      </c>
      <c r="CH91" s="658">
        <f>SUM(CH87:CH90)</f>
        <v/>
      </c>
      <c r="CI91" s="658">
        <f>SUM(CI87:CI90)</f>
        <v/>
      </c>
      <c r="CJ91" s="658">
        <f>SUM(CJ87:CJ90)</f>
        <v/>
      </c>
      <c r="CK91" s="658">
        <f>SUM(CK87:CK90)</f>
        <v/>
      </c>
      <c r="CL91" s="658">
        <f>SUM(CL87:CL90)</f>
        <v/>
      </c>
      <c r="CM91" s="658">
        <f>SUM(CM87:CM90)</f>
        <v/>
      </c>
      <c r="CN91" s="658">
        <f>SUM(CN87:CN90)</f>
        <v/>
      </c>
      <c r="CO91" s="658">
        <f>SUM(CO87:CO90)</f>
        <v/>
      </c>
      <c r="CP91" s="658">
        <f>SUM(CP87:CP90)</f>
        <v/>
      </c>
      <c r="CQ91" s="658">
        <f>SUM(CQ87:CQ90)</f>
        <v/>
      </c>
      <c r="CR91" s="658">
        <f>SUM(CR87:CR90)</f>
        <v/>
      </c>
      <c r="CS91" s="658">
        <f>SUM(CS87:CS90)</f>
        <v/>
      </c>
      <c r="CT91" s="658">
        <f>SUM(CT87:CT90)</f>
        <v/>
      </c>
      <c r="CU91" s="658">
        <f>SUM(CU87:CU90)</f>
        <v/>
      </c>
      <c r="CV91" s="658">
        <f>SUM(CV87:CV90)</f>
        <v/>
      </c>
      <c r="CW91" s="658">
        <f>SUM(CW87:CW90)</f>
        <v/>
      </c>
      <c r="CX91" s="658">
        <f>SUM(CX87:CX90)</f>
        <v/>
      </c>
      <c r="CY91" s="658">
        <f>SUM(CY87:CY90)</f>
        <v/>
      </c>
      <c r="CZ91" s="658">
        <f>SUM(CZ87:CZ90)</f>
        <v/>
      </c>
      <c r="DA91" s="658">
        <f>SUM(DA87:DA90)</f>
        <v/>
      </c>
      <c r="DB91" s="658">
        <f>SUM(DB87:DB90)</f>
        <v/>
      </c>
      <c r="DC91" s="658">
        <f>SUM(DC87:DC90)</f>
        <v/>
      </c>
      <c r="DD91" s="658">
        <f>SUM(DD87:DD90)</f>
        <v/>
      </c>
      <c r="DE91" s="658">
        <f>SUM(DE87:DE90)</f>
        <v/>
      </c>
      <c r="DF91" s="658">
        <f>SUM(DF87:DF90)</f>
        <v/>
      </c>
      <c r="DG91" s="658">
        <f>SUM(DG87:DG90)</f>
        <v/>
      </c>
      <c r="DH91" s="658">
        <f>SUM(DH87:DH90)</f>
        <v/>
      </c>
      <c r="DI91" s="658">
        <f>SUM(DI87:DI90)</f>
        <v/>
      </c>
      <c r="DJ91" s="658">
        <f>SUM(DJ87:DJ90)</f>
        <v/>
      </c>
      <c r="DK91" s="658">
        <f>SUM(DK87:DK90)</f>
        <v/>
      </c>
      <c r="DL91" s="658">
        <f>SUM(DL87:DL90)</f>
        <v/>
      </c>
      <c r="DM91" s="658">
        <f>SUM(DM87:DM90)</f>
        <v/>
      </c>
      <c r="DN91" s="658">
        <f>SUM(DN87:DN90)</f>
        <v/>
      </c>
      <c r="DO91" s="658">
        <f>SUM(DO87:DO90)</f>
        <v/>
      </c>
      <c r="DP91" s="658">
        <f>SUM(DP87:DP90)</f>
        <v/>
      </c>
      <c r="DQ91" s="658">
        <f>SUM(DQ87:DQ90)</f>
        <v/>
      </c>
      <c r="DR91" s="658">
        <f>SUM(DR87:DR90)</f>
        <v/>
      </c>
      <c r="DS91" s="658">
        <f>SUM(DS87:DS90)</f>
        <v/>
      </c>
      <c r="DT91" s="658">
        <f>SUM(DT87:DT90)</f>
        <v/>
      </c>
      <c r="DU91" s="658">
        <f>SUM(DU87:DU90)</f>
        <v/>
      </c>
      <c r="DV91" s="658">
        <f>SUM(DV87:DV90)</f>
        <v/>
      </c>
      <c r="DW91" s="322" t="inlineStr">
        <is>
          <t>x</t>
        </is>
      </c>
    </row>
    <row r="92" hidden="1" outlineLevel="1" ht="17.25" customHeight="1" thickTop="1">
      <c r="C92" s="365" t="n"/>
      <c r="D92" s="365" t="n"/>
      <c r="E92" s="484" t="n"/>
      <c r="F92" s="374" t="n"/>
      <c r="G92" s="374" t="n"/>
      <c r="H92" s="463" t="n"/>
      <c r="I92" s="463" t="n"/>
      <c r="J92" s="463" t="n"/>
      <c r="K92" s="463" t="n"/>
      <c r="L92" s="463" t="n"/>
      <c r="M92" s="463" t="n"/>
      <c r="N92" s="463" t="n"/>
      <c r="O92" s="463" t="n"/>
      <c r="P92" s="463" t="n"/>
      <c r="Q92" s="463" t="n"/>
      <c r="R92" s="463" t="n"/>
      <c r="S92" s="463" t="n"/>
      <c r="T92" s="463" t="n"/>
      <c r="U92" s="463" t="n"/>
      <c r="V92" s="463" t="n"/>
      <c r="W92" s="463" t="n"/>
      <c r="X92" s="463" t="n"/>
      <c r="Y92" s="463" t="n"/>
      <c r="Z92" s="463" t="n"/>
      <c r="AA92" s="463" t="n"/>
      <c r="AB92" s="463" t="n"/>
      <c r="AC92" s="463" t="n"/>
      <c r="AD92" s="463" t="n"/>
      <c r="AE92" s="463" t="n"/>
      <c r="AF92" s="463" t="n"/>
      <c r="AG92" s="463" t="n"/>
      <c r="AH92" s="463" t="n"/>
      <c r="AI92" s="463" t="n"/>
      <c r="AJ92" s="463" t="n"/>
      <c r="AK92" s="463" t="n"/>
      <c r="AL92" s="463" t="n"/>
      <c r="AM92" s="463" t="n"/>
      <c r="AN92" s="463" t="n"/>
      <c r="AO92" s="463" t="n"/>
      <c r="AP92" s="463" t="n"/>
      <c r="AQ92" s="463" t="n"/>
      <c r="AR92" s="463" t="n"/>
      <c r="AS92" s="463" t="n"/>
      <c r="AT92" s="463" t="n"/>
      <c r="AU92" s="463" t="n"/>
      <c r="AV92" s="463" t="n"/>
      <c r="AW92" s="463" t="n"/>
      <c r="AX92" s="463" t="n"/>
      <c r="AY92" s="463" t="n"/>
      <c r="AZ92" s="463" t="n"/>
      <c r="BA92" s="463" t="n"/>
      <c r="BB92" s="463" t="n"/>
      <c r="BC92" s="463" t="n"/>
      <c r="BD92" s="463" t="n"/>
      <c r="BE92" s="463" t="n"/>
      <c r="BF92" s="463" t="n"/>
      <c r="BG92" s="463" t="n"/>
      <c r="BH92" s="463" t="n"/>
      <c r="BI92" s="463" t="n"/>
      <c r="BJ92" s="463" t="n"/>
      <c r="BK92" s="463" t="n"/>
      <c r="BL92" s="463" t="n"/>
      <c r="BM92" s="463" t="n"/>
      <c r="BN92" s="463" t="n"/>
      <c r="BO92" s="463" t="n"/>
      <c r="BP92" s="463" t="n"/>
      <c r="BQ92" s="463" t="n"/>
      <c r="BR92" s="463" t="n"/>
      <c r="BS92" s="463" t="n"/>
      <c r="BT92" s="463" t="n"/>
      <c r="BU92" s="463" t="n"/>
      <c r="BV92" s="463" t="n"/>
      <c r="BW92" s="463" t="n"/>
      <c r="BX92" s="463" t="n"/>
      <c r="BY92" s="463" t="n"/>
      <c r="BZ92" s="463" t="n"/>
      <c r="CA92" s="463" t="n"/>
      <c r="CB92" s="463" t="n"/>
      <c r="CC92" s="463" t="n"/>
      <c r="CD92" s="463" t="n"/>
      <c r="CE92" s="463" t="n"/>
      <c r="CF92" s="463" t="n"/>
      <c r="CG92" s="463" t="n"/>
      <c r="CH92" s="463" t="n"/>
      <c r="CI92" s="463" t="n"/>
      <c r="CJ92" s="463" t="n"/>
      <c r="CK92" s="463" t="n"/>
      <c r="CL92" s="463" t="n"/>
      <c r="CM92" s="463" t="n"/>
      <c r="CN92" s="463" t="n"/>
      <c r="CO92" s="463" t="n"/>
      <c r="CP92" s="463" t="n"/>
      <c r="CQ92" s="463" t="n"/>
      <c r="CR92" s="463" t="n"/>
      <c r="CS92" s="463" t="n"/>
      <c r="CT92" s="463" t="n"/>
      <c r="CU92" s="463" t="n"/>
      <c r="CV92" s="463" t="n"/>
      <c r="CW92" s="463" t="n"/>
      <c r="CX92" s="463" t="n"/>
      <c r="CY92" s="463" t="n"/>
      <c r="CZ92" s="463" t="n"/>
      <c r="DA92" s="463" t="n"/>
      <c r="DB92" s="463" t="n"/>
      <c r="DC92" s="463" t="n"/>
      <c r="DD92" s="463" t="n"/>
      <c r="DE92" s="463" t="n"/>
      <c r="DF92" s="463" t="n"/>
      <c r="DG92" s="463" t="n"/>
      <c r="DH92" s="463" t="n"/>
      <c r="DI92" s="463" t="n"/>
      <c r="DJ92" s="463" t="n"/>
      <c r="DK92" s="463" t="n"/>
      <c r="DL92" s="463" t="n"/>
      <c r="DM92" s="463" t="n"/>
      <c r="DN92" s="463" t="n"/>
      <c r="DO92" s="463" t="n"/>
      <c r="DP92" s="463" t="n"/>
      <c r="DQ92" s="463" t="n"/>
      <c r="DR92" s="463" t="n"/>
      <c r="DS92" s="463" t="n"/>
      <c r="DT92" s="463" t="n"/>
      <c r="DU92" s="463" t="n"/>
      <c r="DV92" s="463" t="n"/>
      <c r="DW92" s="322" t="inlineStr">
        <is>
          <t>x</t>
        </is>
      </c>
    </row>
    <row r="93" hidden="1" outlineLevel="1">
      <c r="C93" s="382" t="inlineStr">
        <is>
          <t>Tier I - Levered Multiple Hurdle</t>
        </is>
      </c>
      <c r="D93" s="395" t="n"/>
      <c r="E93" s="471" t="n"/>
      <c r="F93" s="463" t="n"/>
      <c r="G93" s="463" t="n"/>
      <c r="H93" s="463" t="n"/>
      <c r="I93" s="463" t="n"/>
      <c r="J93" s="463" t="n"/>
      <c r="K93" s="463" t="n"/>
      <c r="L93" s="463" t="n"/>
      <c r="M93" s="463" t="n"/>
      <c r="N93" s="463" t="n"/>
      <c r="O93" s="463" t="n"/>
      <c r="P93" s="463" t="n"/>
      <c r="Q93" s="463" t="n"/>
      <c r="R93" s="463" t="n"/>
      <c r="S93" s="463" t="n"/>
      <c r="T93" s="463" t="n"/>
      <c r="U93" s="463" t="n"/>
      <c r="V93" s="463" t="n"/>
      <c r="W93" s="463" t="n"/>
      <c r="X93" s="463" t="n"/>
      <c r="Y93" s="463" t="n"/>
      <c r="Z93" s="463" t="n"/>
      <c r="AA93" s="463" t="n"/>
      <c r="AB93" s="463" t="n"/>
      <c r="AC93" s="463" t="n"/>
      <c r="AD93" s="463" t="n"/>
      <c r="AE93" s="463" t="n"/>
      <c r="AF93" s="463" t="n"/>
      <c r="AG93" s="463" t="n"/>
      <c r="AH93" s="463" t="n"/>
      <c r="AI93" s="463" t="n"/>
      <c r="AJ93" s="463" t="n"/>
      <c r="AK93" s="463" t="n"/>
      <c r="AL93" s="463" t="n"/>
      <c r="AM93" s="374" t="n"/>
      <c r="AN93" s="374" t="n"/>
      <c r="AO93" s="374" t="n"/>
      <c r="AP93" s="472" t="n"/>
      <c r="AQ93" s="472" t="n"/>
      <c r="AR93" s="472" t="n"/>
      <c r="AS93" s="472" t="n"/>
      <c r="AT93" s="472" t="n"/>
      <c r="AU93" s="472" t="n"/>
      <c r="AV93" s="473" t="inlineStr">
        <is>
          <t>x</t>
        </is>
      </c>
      <c r="AW93" s="360" t="n"/>
      <c r="AX93" s="360" t="n"/>
      <c r="AY93" s="360" t="n"/>
      <c r="AZ93" s="360" t="n"/>
      <c r="BA93" s="360" t="n"/>
      <c r="BB93" s="360" t="n"/>
      <c r="BC93" s="360" t="n"/>
      <c r="BD93" s="360" t="n"/>
      <c r="BE93" s="360" t="n"/>
      <c r="BF93" s="360" t="n"/>
      <c r="BG93" s="360" t="n"/>
      <c r="BH93" s="360" t="n"/>
      <c r="BI93" s="360" t="n"/>
      <c r="BJ93" s="360" t="n"/>
      <c r="BK93" s="360" t="n"/>
      <c r="BL93" s="360" t="n"/>
      <c r="BM93" s="360" t="n"/>
      <c r="BN93" s="360" t="n"/>
      <c r="BO93" s="360" t="n"/>
      <c r="BP93" s="360" t="n"/>
      <c r="BQ93" s="360" t="n"/>
      <c r="BR93" s="360" t="n"/>
      <c r="BS93" s="360" t="n"/>
      <c r="BT93" s="360" t="n"/>
      <c r="BU93" s="360" t="n"/>
      <c r="BV93" s="360" t="n"/>
      <c r="BW93" s="360" t="n"/>
      <c r="BX93" s="360" t="n"/>
      <c r="BY93" s="360" t="n"/>
      <c r="BZ93" s="360" t="n"/>
      <c r="CA93" s="360" t="n"/>
      <c r="CB93" s="360" t="n"/>
      <c r="CC93" s="360" t="n"/>
      <c r="CD93" s="360" t="n"/>
      <c r="CE93" s="360" t="n"/>
      <c r="CF93" s="360" t="n"/>
      <c r="CG93" s="360" t="n"/>
      <c r="CH93" s="360" t="n"/>
      <c r="CI93" s="360" t="n"/>
      <c r="CJ93" s="360" t="n"/>
      <c r="CK93" s="360" t="n"/>
      <c r="CL93" s="360" t="n"/>
      <c r="CM93" s="360" t="n"/>
      <c r="CN93" s="360" t="n"/>
      <c r="CO93" s="360" t="n"/>
      <c r="CP93" s="360" t="n"/>
      <c r="CQ93" s="360" t="n"/>
      <c r="CR93" s="360" t="n"/>
      <c r="CS93" s="360" t="n"/>
      <c r="CT93" s="360" t="n"/>
      <c r="CU93" s="360" t="n"/>
      <c r="CV93" s="360" t="n"/>
      <c r="CW93" s="360" t="n"/>
      <c r="CX93" s="360" t="n"/>
      <c r="CY93" s="360" t="n"/>
      <c r="CZ93" s="360" t="n"/>
      <c r="DA93" s="360" t="n"/>
      <c r="DB93" s="360" t="n"/>
      <c r="DC93" s="360" t="n"/>
      <c r="DD93" s="360" t="n"/>
      <c r="DE93" s="360" t="n"/>
      <c r="DF93" s="360" t="n"/>
      <c r="DG93" s="360" t="n"/>
      <c r="DH93" s="360" t="n"/>
      <c r="DI93" s="360" t="n"/>
      <c r="DJ93" s="360" t="n"/>
      <c r="DK93" s="360" t="n"/>
      <c r="DL93" s="360" t="n"/>
      <c r="DM93" s="360" t="n"/>
      <c r="DN93" s="360" t="n"/>
      <c r="DO93" s="360" t="n"/>
      <c r="DP93" s="360" t="n"/>
      <c r="DQ93" s="360" t="n"/>
      <c r="DR93" s="360" t="n"/>
      <c r="DS93" s="360" t="n"/>
      <c r="DT93" s="360" t="n"/>
      <c r="DU93" s="360" t="n"/>
      <c r="DV93" s="360" t="n"/>
      <c r="DW93" s="322" t="inlineStr">
        <is>
          <t>x</t>
        </is>
      </c>
    </row>
    <row r="94" hidden="1" outlineLevel="1">
      <c r="C94" s="374" t="inlineStr">
        <is>
          <t>Injections</t>
        </is>
      </c>
      <c r="D94" s="474" t="n"/>
      <c r="E94" s="681">
        <f>SUM(F94:BN94)</f>
        <v/>
      </c>
      <c r="F94" s="680">
        <f>F88</f>
        <v/>
      </c>
      <c r="G94" s="680">
        <f>G88</f>
        <v/>
      </c>
      <c r="H94" s="680">
        <f>H88</f>
        <v/>
      </c>
      <c r="I94" s="680">
        <f>I88</f>
        <v/>
      </c>
      <c r="J94" s="680">
        <f>J88</f>
        <v/>
      </c>
      <c r="K94" s="680">
        <f>K88</f>
        <v/>
      </c>
      <c r="L94" s="680">
        <f>L88</f>
        <v/>
      </c>
      <c r="M94" s="680">
        <f>M88</f>
        <v/>
      </c>
      <c r="N94" s="680">
        <f>N88</f>
        <v/>
      </c>
      <c r="O94" s="680">
        <f>O88</f>
        <v/>
      </c>
      <c r="P94" s="680">
        <f>P88</f>
        <v/>
      </c>
      <c r="Q94" s="680">
        <f>Q88</f>
        <v/>
      </c>
      <c r="R94" s="680">
        <f>R88</f>
        <v/>
      </c>
      <c r="S94" s="680">
        <f>S88</f>
        <v/>
      </c>
      <c r="T94" s="680">
        <f>T88</f>
        <v/>
      </c>
      <c r="U94" s="680">
        <f>U88</f>
        <v/>
      </c>
      <c r="V94" s="680">
        <f>V88</f>
        <v/>
      </c>
      <c r="W94" s="680">
        <f>W88</f>
        <v/>
      </c>
      <c r="X94" s="680">
        <f>X88</f>
        <v/>
      </c>
      <c r="Y94" s="680">
        <f>Y88</f>
        <v/>
      </c>
      <c r="Z94" s="680">
        <f>Z88</f>
        <v/>
      </c>
      <c r="AA94" s="680">
        <f>AA88</f>
        <v/>
      </c>
      <c r="AB94" s="680">
        <f>AB88</f>
        <v/>
      </c>
      <c r="AC94" s="680">
        <f>AC88</f>
        <v/>
      </c>
      <c r="AD94" s="680">
        <f>AD88</f>
        <v/>
      </c>
      <c r="AE94" s="680">
        <f>AE88</f>
        <v/>
      </c>
      <c r="AF94" s="680">
        <f>AF88</f>
        <v/>
      </c>
      <c r="AG94" s="680">
        <f>AG88</f>
        <v/>
      </c>
      <c r="AH94" s="680">
        <f>AH88</f>
        <v/>
      </c>
      <c r="AI94" s="680">
        <f>AI88</f>
        <v/>
      </c>
      <c r="AJ94" s="680">
        <f>AJ88</f>
        <v/>
      </c>
      <c r="AK94" s="680">
        <f>AK88</f>
        <v/>
      </c>
      <c r="AL94" s="680">
        <f>AL88</f>
        <v/>
      </c>
      <c r="AM94" s="680">
        <f>AM88</f>
        <v/>
      </c>
      <c r="AN94" s="680">
        <f>AN88</f>
        <v/>
      </c>
      <c r="AO94" s="680">
        <f>AO88</f>
        <v/>
      </c>
      <c r="AP94" s="680">
        <f>AP88</f>
        <v/>
      </c>
      <c r="AQ94" s="680">
        <f>AQ88</f>
        <v/>
      </c>
      <c r="AR94" s="680">
        <f>AR88</f>
        <v/>
      </c>
      <c r="AS94" s="680">
        <f>AS88</f>
        <v/>
      </c>
      <c r="AT94" s="680">
        <f>AT88</f>
        <v/>
      </c>
      <c r="AU94" s="680">
        <f>AU88</f>
        <v/>
      </c>
      <c r="AV94" s="680">
        <f>AV88</f>
        <v/>
      </c>
      <c r="AW94" s="680">
        <f>AW88</f>
        <v/>
      </c>
      <c r="AX94" s="680">
        <f>AX88</f>
        <v/>
      </c>
      <c r="AY94" s="680">
        <f>AY88</f>
        <v/>
      </c>
      <c r="AZ94" s="680">
        <f>AZ88</f>
        <v/>
      </c>
      <c r="BA94" s="680">
        <f>BA88</f>
        <v/>
      </c>
      <c r="BB94" s="680">
        <f>BB88</f>
        <v/>
      </c>
      <c r="BC94" s="680">
        <f>BC88</f>
        <v/>
      </c>
      <c r="BD94" s="680">
        <f>BD88</f>
        <v/>
      </c>
      <c r="BE94" s="680">
        <f>BE88</f>
        <v/>
      </c>
      <c r="BF94" s="680">
        <f>BF88</f>
        <v/>
      </c>
      <c r="BG94" s="680">
        <f>BG88</f>
        <v/>
      </c>
      <c r="BH94" s="680">
        <f>BH88</f>
        <v/>
      </c>
      <c r="BI94" s="680">
        <f>BI88</f>
        <v/>
      </c>
      <c r="BJ94" s="680">
        <f>BJ88</f>
        <v/>
      </c>
      <c r="BK94" s="680">
        <f>BK88</f>
        <v/>
      </c>
      <c r="BL94" s="680">
        <f>BL88</f>
        <v/>
      </c>
      <c r="BM94" s="680">
        <f>BM88</f>
        <v/>
      </c>
      <c r="BN94" s="680">
        <f>BN88</f>
        <v/>
      </c>
      <c r="BO94" s="680">
        <f>BO88</f>
        <v/>
      </c>
      <c r="BP94" s="680">
        <f>BP88</f>
        <v/>
      </c>
      <c r="BQ94" s="680">
        <f>BQ88</f>
        <v/>
      </c>
      <c r="BR94" s="680">
        <f>BR88</f>
        <v/>
      </c>
      <c r="BS94" s="680">
        <f>BS88</f>
        <v/>
      </c>
      <c r="BT94" s="680">
        <f>BT88</f>
        <v/>
      </c>
      <c r="BU94" s="680">
        <f>BU88</f>
        <v/>
      </c>
      <c r="BV94" s="680">
        <f>BV88</f>
        <v/>
      </c>
      <c r="BW94" s="680">
        <f>BW88</f>
        <v/>
      </c>
      <c r="BX94" s="680">
        <f>BX88</f>
        <v/>
      </c>
      <c r="BY94" s="680">
        <f>BY88</f>
        <v/>
      </c>
      <c r="BZ94" s="680">
        <f>BZ88</f>
        <v/>
      </c>
      <c r="CA94" s="680">
        <f>CA88</f>
        <v/>
      </c>
      <c r="CB94" s="680">
        <f>CB88</f>
        <v/>
      </c>
      <c r="CC94" s="680">
        <f>CC88</f>
        <v/>
      </c>
      <c r="CD94" s="680">
        <f>CD88</f>
        <v/>
      </c>
      <c r="CE94" s="680">
        <f>CE88</f>
        <v/>
      </c>
      <c r="CF94" s="680">
        <f>CF88</f>
        <v/>
      </c>
      <c r="CG94" s="680">
        <f>CG88</f>
        <v/>
      </c>
      <c r="CH94" s="680">
        <f>CH88</f>
        <v/>
      </c>
      <c r="CI94" s="680">
        <f>CI88</f>
        <v/>
      </c>
      <c r="CJ94" s="680">
        <f>CJ88</f>
        <v/>
      </c>
      <c r="CK94" s="680">
        <f>CK88</f>
        <v/>
      </c>
      <c r="CL94" s="680">
        <f>CL88</f>
        <v/>
      </c>
      <c r="CM94" s="680">
        <f>CM88</f>
        <v/>
      </c>
      <c r="CN94" s="680">
        <f>CN88</f>
        <v/>
      </c>
      <c r="CO94" s="680">
        <f>CO88</f>
        <v/>
      </c>
      <c r="CP94" s="680">
        <f>CP88</f>
        <v/>
      </c>
      <c r="CQ94" s="680">
        <f>CQ88</f>
        <v/>
      </c>
      <c r="CR94" s="680">
        <f>CR88</f>
        <v/>
      </c>
      <c r="CS94" s="680">
        <f>CS88</f>
        <v/>
      </c>
      <c r="CT94" s="680">
        <f>CT88</f>
        <v/>
      </c>
      <c r="CU94" s="680">
        <f>CU88</f>
        <v/>
      </c>
      <c r="CV94" s="680">
        <f>CV88</f>
        <v/>
      </c>
      <c r="CW94" s="680">
        <f>CW88</f>
        <v/>
      </c>
      <c r="CX94" s="680">
        <f>CX88</f>
        <v/>
      </c>
      <c r="CY94" s="680">
        <f>CY88</f>
        <v/>
      </c>
      <c r="CZ94" s="680">
        <f>CZ88</f>
        <v/>
      </c>
      <c r="DA94" s="680">
        <f>DA88</f>
        <v/>
      </c>
      <c r="DB94" s="680">
        <f>DB88</f>
        <v/>
      </c>
      <c r="DC94" s="680">
        <f>DC88</f>
        <v/>
      </c>
      <c r="DD94" s="680">
        <f>DD88</f>
        <v/>
      </c>
      <c r="DE94" s="680">
        <f>DE88</f>
        <v/>
      </c>
      <c r="DF94" s="680">
        <f>DF88</f>
        <v/>
      </c>
      <c r="DG94" s="680">
        <f>DG88</f>
        <v/>
      </c>
      <c r="DH94" s="680">
        <f>DH88</f>
        <v/>
      </c>
      <c r="DI94" s="680">
        <f>DI88</f>
        <v/>
      </c>
      <c r="DJ94" s="680">
        <f>DJ88</f>
        <v/>
      </c>
      <c r="DK94" s="680">
        <f>DK88</f>
        <v/>
      </c>
      <c r="DL94" s="680">
        <f>DL88</f>
        <v/>
      </c>
      <c r="DM94" s="680">
        <f>DM88</f>
        <v/>
      </c>
      <c r="DN94" s="680">
        <f>DN88</f>
        <v/>
      </c>
      <c r="DO94" s="680">
        <f>DO88</f>
        <v/>
      </c>
      <c r="DP94" s="680">
        <f>DP88</f>
        <v/>
      </c>
      <c r="DQ94" s="680">
        <f>DQ88</f>
        <v/>
      </c>
      <c r="DR94" s="680">
        <f>DR88</f>
        <v/>
      </c>
      <c r="DS94" s="680">
        <f>DS88</f>
        <v/>
      </c>
      <c r="DT94" s="680">
        <f>DT88</f>
        <v/>
      </c>
      <c r="DU94" s="680">
        <f>DU88</f>
        <v/>
      </c>
      <c r="DV94" s="680">
        <f>DV88</f>
        <v/>
      </c>
      <c r="DW94" s="322" t="inlineStr">
        <is>
          <t>x</t>
        </is>
      </c>
    </row>
    <row r="95" hidden="1" outlineLevel="1">
      <c r="C95" s="374" t="inlineStr">
        <is>
          <t>Beginning Balance</t>
        </is>
      </c>
      <c r="D95" s="484" t="n"/>
      <c r="E95" s="463">
        <f>SUM(F95:BN95)</f>
        <v/>
      </c>
      <c r="F95" s="683" t="n">
        <v>0</v>
      </c>
      <c r="G95" s="681">
        <f>F98</f>
        <v/>
      </c>
      <c r="H95" s="681">
        <f>G98</f>
        <v/>
      </c>
      <c r="I95" s="681">
        <f>H98</f>
        <v/>
      </c>
      <c r="J95" s="681">
        <f>I98</f>
        <v/>
      </c>
      <c r="K95" s="681">
        <f>J98</f>
        <v/>
      </c>
      <c r="L95" s="681">
        <f>K98</f>
        <v/>
      </c>
      <c r="M95" s="681">
        <f>L98</f>
        <v/>
      </c>
      <c r="N95" s="681">
        <f>M98</f>
        <v/>
      </c>
      <c r="O95" s="681">
        <f>N98</f>
        <v/>
      </c>
      <c r="P95" s="681">
        <f>O98</f>
        <v/>
      </c>
      <c r="Q95" s="681">
        <f>P98</f>
        <v/>
      </c>
      <c r="R95" s="681">
        <f>Q98</f>
        <v/>
      </c>
      <c r="S95" s="681">
        <f>R98</f>
        <v/>
      </c>
      <c r="T95" s="681">
        <f>S98</f>
        <v/>
      </c>
      <c r="U95" s="681">
        <f>T98</f>
        <v/>
      </c>
      <c r="V95" s="681">
        <f>U98</f>
        <v/>
      </c>
      <c r="W95" s="681">
        <f>V98</f>
        <v/>
      </c>
      <c r="X95" s="681">
        <f>W98</f>
        <v/>
      </c>
      <c r="Y95" s="681">
        <f>X98</f>
        <v/>
      </c>
      <c r="Z95" s="681">
        <f>Y98</f>
        <v/>
      </c>
      <c r="AA95" s="681">
        <f>Z98</f>
        <v/>
      </c>
      <c r="AB95" s="681">
        <f>AA98</f>
        <v/>
      </c>
      <c r="AC95" s="681">
        <f>AB98</f>
        <v/>
      </c>
      <c r="AD95" s="681">
        <f>AC98</f>
        <v/>
      </c>
      <c r="AE95" s="681">
        <f>AD98</f>
        <v/>
      </c>
      <c r="AF95" s="681">
        <f>AE98</f>
        <v/>
      </c>
      <c r="AG95" s="681">
        <f>AF98</f>
        <v/>
      </c>
      <c r="AH95" s="681">
        <f>AG98</f>
        <v/>
      </c>
      <c r="AI95" s="681">
        <f>AH98</f>
        <v/>
      </c>
      <c r="AJ95" s="681">
        <f>AI98</f>
        <v/>
      </c>
      <c r="AK95" s="681">
        <f>AJ98</f>
        <v/>
      </c>
      <c r="AL95" s="681">
        <f>AK98</f>
        <v/>
      </c>
      <c r="AM95" s="681">
        <f>AL98</f>
        <v/>
      </c>
      <c r="AN95" s="681">
        <f>AM98</f>
        <v/>
      </c>
      <c r="AO95" s="681">
        <f>AN98</f>
        <v/>
      </c>
      <c r="AP95" s="681">
        <f>AO98</f>
        <v/>
      </c>
      <c r="AQ95" s="681">
        <f>AP98</f>
        <v/>
      </c>
      <c r="AR95" s="681">
        <f>AQ98</f>
        <v/>
      </c>
      <c r="AS95" s="681">
        <f>AR98</f>
        <v/>
      </c>
      <c r="AT95" s="681">
        <f>AS98</f>
        <v/>
      </c>
      <c r="AU95" s="681">
        <f>AT98</f>
        <v/>
      </c>
      <c r="AV95" s="681">
        <f>AU98</f>
        <v/>
      </c>
      <c r="AW95" s="681">
        <f>AV98</f>
        <v/>
      </c>
      <c r="AX95" s="681">
        <f>AW98</f>
        <v/>
      </c>
      <c r="AY95" s="681">
        <f>AX98</f>
        <v/>
      </c>
      <c r="AZ95" s="681">
        <f>AY98</f>
        <v/>
      </c>
      <c r="BA95" s="681">
        <f>AZ98</f>
        <v/>
      </c>
      <c r="BB95" s="681">
        <f>BA98</f>
        <v/>
      </c>
      <c r="BC95" s="681">
        <f>BB98</f>
        <v/>
      </c>
      <c r="BD95" s="681">
        <f>BC98</f>
        <v/>
      </c>
      <c r="BE95" s="681">
        <f>BD98</f>
        <v/>
      </c>
      <c r="BF95" s="681">
        <f>BE98</f>
        <v/>
      </c>
      <c r="BG95" s="681">
        <f>BF98</f>
        <v/>
      </c>
      <c r="BH95" s="681">
        <f>BG98</f>
        <v/>
      </c>
      <c r="BI95" s="681">
        <f>BH98</f>
        <v/>
      </c>
      <c r="BJ95" s="681">
        <f>BI98</f>
        <v/>
      </c>
      <c r="BK95" s="681">
        <f>BJ98</f>
        <v/>
      </c>
      <c r="BL95" s="681">
        <f>BK98</f>
        <v/>
      </c>
      <c r="BM95" s="681">
        <f>BL98</f>
        <v/>
      </c>
      <c r="BN95" s="681">
        <f>BM98</f>
        <v/>
      </c>
      <c r="BO95" s="681">
        <f>BN98</f>
        <v/>
      </c>
      <c r="BP95" s="681">
        <f>BO98</f>
        <v/>
      </c>
      <c r="BQ95" s="681">
        <f>BP98</f>
        <v/>
      </c>
      <c r="BR95" s="681">
        <f>BQ98</f>
        <v/>
      </c>
      <c r="BS95" s="681">
        <f>BR98</f>
        <v/>
      </c>
      <c r="BT95" s="681">
        <f>BS98</f>
        <v/>
      </c>
      <c r="BU95" s="681">
        <f>BT98</f>
        <v/>
      </c>
      <c r="BV95" s="681">
        <f>BU98</f>
        <v/>
      </c>
      <c r="BW95" s="681">
        <f>BV98</f>
        <v/>
      </c>
      <c r="BX95" s="681">
        <f>BW98</f>
        <v/>
      </c>
      <c r="BY95" s="681">
        <f>BX98</f>
        <v/>
      </c>
      <c r="BZ95" s="681">
        <f>BY98</f>
        <v/>
      </c>
      <c r="CA95" s="681">
        <f>BZ98</f>
        <v/>
      </c>
      <c r="CB95" s="681">
        <f>CA98</f>
        <v/>
      </c>
      <c r="CC95" s="681">
        <f>CB98</f>
        <v/>
      </c>
      <c r="CD95" s="681">
        <f>CC98</f>
        <v/>
      </c>
      <c r="CE95" s="681">
        <f>CD98</f>
        <v/>
      </c>
      <c r="CF95" s="681">
        <f>CE98</f>
        <v/>
      </c>
      <c r="CG95" s="681">
        <f>CF98</f>
        <v/>
      </c>
      <c r="CH95" s="681">
        <f>CG98</f>
        <v/>
      </c>
      <c r="CI95" s="681">
        <f>CH98</f>
        <v/>
      </c>
      <c r="CJ95" s="681">
        <f>CI98</f>
        <v/>
      </c>
      <c r="CK95" s="681">
        <f>CJ98</f>
        <v/>
      </c>
      <c r="CL95" s="681">
        <f>CK98</f>
        <v/>
      </c>
      <c r="CM95" s="681">
        <f>CL98</f>
        <v/>
      </c>
      <c r="CN95" s="681">
        <f>CM98</f>
        <v/>
      </c>
      <c r="CO95" s="681">
        <f>CN98</f>
        <v/>
      </c>
      <c r="CP95" s="681">
        <f>CO98</f>
        <v/>
      </c>
      <c r="CQ95" s="681">
        <f>CP98</f>
        <v/>
      </c>
      <c r="CR95" s="681">
        <f>CQ98</f>
        <v/>
      </c>
      <c r="CS95" s="681">
        <f>CR98</f>
        <v/>
      </c>
      <c r="CT95" s="681">
        <f>CS98</f>
        <v/>
      </c>
      <c r="CU95" s="681">
        <f>CT98</f>
        <v/>
      </c>
      <c r="CV95" s="681">
        <f>CU98</f>
        <v/>
      </c>
      <c r="CW95" s="681">
        <f>CV98</f>
        <v/>
      </c>
      <c r="CX95" s="681">
        <f>CW98</f>
        <v/>
      </c>
      <c r="CY95" s="681">
        <f>CX98</f>
        <v/>
      </c>
      <c r="CZ95" s="681">
        <f>CY98</f>
        <v/>
      </c>
      <c r="DA95" s="681">
        <f>CZ98</f>
        <v/>
      </c>
      <c r="DB95" s="681">
        <f>DA98</f>
        <v/>
      </c>
      <c r="DC95" s="681">
        <f>DB98</f>
        <v/>
      </c>
      <c r="DD95" s="681">
        <f>DC98</f>
        <v/>
      </c>
      <c r="DE95" s="681">
        <f>DD98</f>
        <v/>
      </c>
      <c r="DF95" s="681">
        <f>DE98</f>
        <v/>
      </c>
      <c r="DG95" s="681">
        <f>DF98</f>
        <v/>
      </c>
      <c r="DH95" s="681">
        <f>DG98</f>
        <v/>
      </c>
      <c r="DI95" s="681">
        <f>DH98</f>
        <v/>
      </c>
      <c r="DJ95" s="681">
        <f>DI98</f>
        <v/>
      </c>
      <c r="DK95" s="681">
        <f>DJ98</f>
        <v/>
      </c>
      <c r="DL95" s="681">
        <f>DK98</f>
        <v/>
      </c>
      <c r="DM95" s="681">
        <f>DL98</f>
        <v/>
      </c>
      <c r="DN95" s="681">
        <f>DM98</f>
        <v/>
      </c>
      <c r="DO95" s="681">
        <f>DN98</f>
        <v/>
      </c>
      <c r="DP95" s="681">
        <f>DO98</f>
        <v/>
      </c>
      <c r="DQ95" s="681">
        <f>DP98</f>
        <v/>
      </c>
      <c r="DR95" s="681">
        <f>DQ98</f>
        <v/>
      </c>
      <c r="DS95" s="681">
        <f>DR98</f>
        <v/>
      </c>
      <c r="DT95" s="681">
        <f>DS98</f>
        <v/>
      </c>
      <c r="DU95" s="681">
        <f>DT98</f>
        <v/>
      </c>
      <c r="DV95" s="681">
        <f>DU98</f>
        <v/>
      </c>
      <c r="DW95" s="322" t="inlineStr">
        <is>
          <t>x</t>
        </is>
      </c>
    </row>
    <row r="96" hidden="1" outlineLevel="1">
      <c r="C96" s="476" t="inlineStr">
        <is>
          <t>Investor Accrual</t>
        </is>
      </c>
      <c r="D96" s="477">
        <f>F38</f>
        <v/>
      </c>
      <c r="E96" s="463">
        <f>SUM(F96:BN96)</f>
        <v/>
      </c>
      <c r="F96" s="468">
        <f>F94*$D$96</f>
        <v/>
      </c>
      <c r="G96" s="468">
        <f>G94*$D$96</f>
        <v/>
      </c>
      <c r="H96" s="468">
        <f>H94*$D$96</f>
        <v/>
      </c>
      <c r="I96" s="468">
        <f>I94*$D$96</f>
        <v/>
      </c>
      <c r="J96" s="468">
        <f>J94*$D$96</f>
        <v/>
      </c>
      <c r="K96" s="468">
        <f>K94*$D$96</f>
        <v/>
      </c>
      <c r="L96" s="468">
        <f>L94*$D$96</f>
        <v/>
      </c>
      <c r="M96" s="468">
        <f>M94*$D$96</f>
        <v/>
      </c>
      <c r="N96" s="468">
        <f>N94*$D$96</f>
        <v/>
      </c>
      <c r="O96" s="468">
        <f>O94*$D$96</f>
        <v/>
      </c>
      <c r="P96" s="468">
        <f>P94*$D$96</f>
        <v/>
      </c>
      <c r="Q96" s="468">
        <f>Q94*$D$96</f>
        <v/>
      </c>
      <c r="R96" s="468">
        <f>R94*$D$96</f>
        <v/>
      </c>
      <c r="S96" s="468">
        <f>S94*$D$96</f>
        <v/>
      </c>
      <c r="T96" s="468">
        <f>T94*$D$96</f>
        <v/>
      </c>
      <c r="U96" s="468">
        <f>U94*$D$96</f>
        <v/>
      </c>
      <c r="V96" s="468">
        <f>V94*$D$96</f>
        <v/>
      </c>
      <c r="W96" s="468">
        <f>W94*$D$96</f>
        <v/>
      </c>
      <c r="X96" s="468">
        <f>X94*$D$96</f>
        <v/>
      </c>
      <c r="Y96" s="468">
        <f>Y94*$D$96</f>
        <v/>
      </c>
      <c r="Z96" s="468">
        <f>Z94*$D$96</f>
        <v/>
      </c>
      <c r="AA96" s="468">
        <f>AA94*$D$96</f>
        <v/>
      </c>
      <c r="AB96" s="468">
        <f>AB94*$D$96</f>
        <v/>
      </c>
      <c r="AC96" s="468">
        <f>AC94*$D$96</f>
        <v/>
      </c>
      <c r="AD96" s="468">
        <f>AD94*$D$96</f>
        <v/>
      </c>
      <c r="AE96" s="468">
        <f>AE94*$D$96</f>
        <v/>
      </c>
      <c r="AF96" s="468">
        <f>AF94*$D$96</f>
        <v/>
      </c>
      <c r="AG96" s="468">
        <f>AG94*$D$96</f>
        <v/>
      </c>
      <c r="AH96" s="468">
        <f>AH94*$D$96</f>
        <v/>
      </c>
      <c r="AI96" s="468">
        <f>AI94*$D$96</f>
        <v/>
      </c>
      <c r="AJ96" s="468">
        <f>AJ94*$D$96</f>
        <v/>
      </c>
      <c r="AK96" s="468">
        <f>AK94*$D$96</f>
        <v/>
      </c>
      <c r="AL96" s="468">
        <f>AL94*$D$96</f>
        <v/>
      </c>
      <c r="AM96" s="468">
        <f>AM94*$D$96</f>
        <v/>
      </c>
      <c r="AN96" s="468">
        <f>AN94*$D$96</f>
        <v/>
      </c>
      <c r="AO96" s="468">
        <f>AO94*$D$96</f>
        <v/>
      </c>
      <c r="AP96" s="468">
        <f>AP94*$D$96</f>
        <v/>
      </c>
      <c r="AQ96" s="468">
        <f>AQ94*$D$96</f>
        <v/>
      </c>
      <c r="AR96" s="468">
        <f>AR94*$D$96</f>
        <v/>
      </c>
      <c r="AS96" s="468">
        <f>AS94*$D$96</f>
        <v/>
      </c>
      <c r="AT96" s="468">
        <f>AT94*$D$96</f>
        <v/>
      </c>
      <c r="AU96" s="468">
        <f>AU94*$D$96</f>
        <v/>
      </c>
      <c r="AV96" s="468">
        <f>AV94*$D$96</f>
        <v/>
      </c>
      <c r="AW96" s="468">
        <f>AW94*$D$96</f>
        <v/>
      </c>
      <c r="AX96" s="468">
        <f>AX94*$D$96</f>
        <v/>
      </c>
      <c r="AY96" s="468">
        <f>AY94*$D$96</f>
        <v/>
      </c>
      <c r="AZ96" s="468">
        <f>AZ94*$D$96</f>
        <v/>
      </c>
      <c r="BA96" s="468">
        <f>BA94*$D$96</f>
        <v/>
      </c>
      <c r="BB96" s="468">
        <f>BB94*$D$96</f>
        <v/>
      </c>
      <c r="BC96" s="468">
        <f>BC94*$D$96</f>
        <v/>
      </c>
      <c r="BD96" s="468">
        <f>BD94*$D$96</f>
        <v/>
      </c>
      <c r="BE96" s="468">
        <f>BE94*$D$96</f>
        <v/>
      </c>
      <c r="BF96" s="468">
        <f>BF94*$D$96</f>
        <v/>
      </c>
      <c r="BG96" s="468">
        <f>BG94*$D$96</f>
        <v/>
      </c>
      <c r="BH96" s="468">
        <f>BH94*$D$96</f>
        <v/>
      </c>
      <c r="BI96" s="468">
        <f>BI94*$D$96</f>
        <v/>
      </c>
      <c r="BJ96" s="468">
        <f>BJ94*$D$96</f>
        <v/>
      </c>
      <c r="BK96" s="468">
        <f>BK94*$D$96</f>
        <v/>
      </c>
      <c r="BL96" s="468">
        <f>BL94*$D$96</f>
        <v/>
      </c>
      <c r="BM96" s="468">
        <f>BM94*$D$96</f>
        <v/>
      </c>
      <c r="BN96" s="468">
        <f>BN94*$D$96</f>
        <v/>
      </c>
      <c r="BO96" s="468">
        <f>BO94*$D$96</f>
        <v/>
      </c>
      <c r="BP96" s="468">
        <f>BP94*$D$96</f>
        <v/>
      </c>
      <c r="BQ96" s="468">
        <f>BQ94*$D$96</f>
        <v/>
      </c>
      <c r="BR96" s="468">
        <f>BR94*$D$96</f>
        <v/>
      </c>
      <c r="BS96" s="468">
        <f>BS94*$D$96</f>
        <v/>
      </c>
      <c r="BT96" s="468">
        <f>BT94*$D$96</f>
        <v/>
      </c>
      <c r="BU96" s="468">
        <f>BU94*$D$96</f>
        <v/>
      </c>
      <c r="BV96" s="468">
        <f>BV94*$D$96</f>
        <v/>
      </c>
      <c r="BW96" s="468">
        <f>BW94*$D$96</f>
        <v/>
      </c>
      <c r="BX96" s="468">
        <f>BX94*$D$96</f>
        <v/>
      </c>
      <c r="BY96" s="468">
        <f>BY94*$D$96</f>
        <v/>
      </c>
      <c r="BZ96" s="468">
        <f>BZ94*$D$96</f>
        <v/>
      </c>
      <c r="CA96" s="468">
        <f>CA94*$D$96</f>
        <v/>
      </c>
      <c r="CB96" s="468">
        <f>CB94*$D$96</f>
        <v/>
      </c>
      <c r="CC96" s="468">
        <f>CC94*$D$96</f>
        <v/>
      </c>
      <c r="CD96" s="468">
        <f>CD94*$D$96</f>
        <v/>
      </c>
      <c r="CE96" s="468">
        <f>CE94*$D$96</f>
        <v/>
      </c>
      <c r="CF96" s="468">
        <f>CF94*$D$96</f>
        <v/>
      </c>
      <c r="CG96" s="468">
        <f>CG94*$D$96</f>
        <v/>
      </c>
      <c r="CH96" s="468">
        <f>CH94*$D$96</f>
        <v/>
      </c>
      <c r="CI96" s="468">
        <f>CI94*$D$96</f>
        <v/>
      </c>
      <c r="CJ96" s="468">
        <f>CJ94*$D$96</f>
        <v/>
      </c>
      <c r="CK96" s="468">
        <f>CK94*$D$96</f>
        <v/>
      </c>
      <c r="CL96" s="468">
        <f>CL94*$D$96</f>
        <v/>
      </c>
      <c r="CM96" s="468">
        <f>CM94*$D$96</f>
        <v/>
      </c>
      <c r="CN96" s="468">
        <f>CN94*$D$96</f>
        <v/>
      </c>
      <c r="CO96" s="468">
        <f>CO94*$D$96</f>
        <v/>
      </c>
      <c r="CP96" s="468">
        <f>CP94*$D$96</f>
        <v/>
      </c>
      <c r="CQ96" s="468">
        <f>CQ94*$D$96</f>
        <v/>
      </c>
      <c r="CR96" s="468">
        <f>CR94*$D$96</f>
        <v/>
      </c>
      <c r="CS96" s="468">
        <f>CS94*$D$96</f>
        <v/>
      </c>
      <c r="CT96" s="468">
        <f>CT94*$D$96</f>
        <v/>
      </c>
      <c r="CU96" s="468">
        <f>CU94*$D$96</f>
        <v/>
      </c>
      <c r="CV96" s="468">
        <f>CV94*$D$96</f>
        <v/>
      </c>
      <c r="CW96" s="468">
        <f>CW94*$D$96</f>
        <v/>
      </c>
      <c r="CX96" s="468">
        <f>CX94*$D$96</f>
        <v/>
      </c>
      <c r="CY96" s="468">
        <f>CY94*$D$96</f>
        <v/>
      </c>
      <c r="CZ96" s="468">
        <f>CZ94*$D$96</f>
        <v/>
      </c>
      <c r="DA96" s="468">
        <f>DA94*$D$96</f>
        <v/>
      </c>
      <c r="DB96" s="468">
        <f>DB94*$D$96</f>
        <v/>
      </c>
      <c r="DC96" s="468">
        <f>DC94*$D$96</f>
        <v/>
      </c>
      <c r="DD96" s="468">
        <f>DD94*$D$96</f>
        <v/>
      </c>
      <c r="DE96" s="468">
        <f>DE94*$D$96</f>
        <v/>
      </c>
      <c r="DF96" s="468">
        <f>DF94*$D$96</f>
        <v/>
      </c>
      <c r="DG96" s="468">
        <f>DG94*$D$96</f>
        <v/>
      </c>
      <c r="DH96" s="468">
        <f>DH94*$D$96</f>
        <v/>
      </c>
      <c r="DI96" s="468">
        <f>DI94*$D$96</f>
        <v/>
      </c>
      <c r="DJ96" s="468">
        <f>DJ94*$D$96</f>
        <v/>
      </c>
      <c r="DK96" s="468">
        <f>DK94*$D$96</f>
        <v/>
      </c>
      <c r="DL96" s="468">
        <f>DL94*$D$96</f>
        <v/>
      </c>
      <c r="DM96" s="468">
        <f>DM94*$D$96</f>
        <v/>
      </c>
      <c r="DN96" s="468">
        <f>DN94*$D$96</f>
        <v/>
      </c>
      <c r="DO96" s="468">
        <f>DO94*$D$96</f>
        <v/>
      </c>
      <c r="DP96" s="468">
        <f>DP94*$D$96</f>
        <v/>
      </c>
      <c r="DQ96" s="468">
        <f>DQ94*$D$96</f>
        <v/>
      </c>
      <c r="DR96" s="468">
        <f>DR94*$D$96</f>
        <v/>
      </c>
      <c r="DS96" s="468">
        <f>DS94*$D$96</f>
        <v/>
      </c>
      <c r="DT96" s="468">
        <f>DT94*$D$96</f>
        <v/>
      </c>
      <c r="DU96" s="468">
        <f>DU94*$D$96</f>
        <v/>
      </c>
      <c r="DV96" s="468">
        <f>DV94*$D$96</f>
        <v/>
      </c>
      <c r="DW96" s="322" t="inlineStr">
        <is>
          <t>x</t>
        </is>
      </c>
    </row>
    <row r="97" hidden="1" outlineLevel="1">
      <c r="C97" s="682">
        <f>C90</f>
        <v/>
      </c>
      <c r="D97" s="478" t="n"/>
      <c r="E97" s="463">
        <f>SUM(F97:BN97)</f>
        <v/>
      </c>
      <c r="F97" s="468">
        <f>F90</f>
        <v/>
      </c>
      <c r="G97" s="468">
        <f>G90</f>
        <v/>
      </c>
      <c r="H97" s="468">
        <f>H90</f>
        <v/>
      </c>
      <c r="I97" s="468">
        <f>I90</f>
        <v/>
      </c>
      <c r="J97" s="468">
        <f>J90</f>
        <v/>
      </c>
      <c r="K97" s="468">
        <f>K90</f>
        <v/>
      </c>
      <c r="L97" s="468">
        <f>L90</f>
        <v/>
      </c>
      <c r="M97" s="468">
        <f>M90</f>
        <v/>
      </c>
      <c r="N97" s="468">
        <f>N90</f>
        <v/>
      </c>
      <c r="O97" s="468">
        <f>O90</f>
        <v/>
      </c>
      <c r="P97" s="468">
        <f>P90</f>
        <v/>
      </c>
      <c r="Q97" s="468">
        <f>Q90</f>
        <v/>
      </c>
      <c r="R97" s="468">
        <f>R90</f>
        <v/>
      </c>
      <c r="S97" s="468">
        <f>S90</f>
        <v/>
      </c>
      <c r="T97" s="468">
        <f>T90</f>
        <v/>
      </c>
      <c r="U97" s="468">
        <f>U90</f>
        <v/>
      </c>
      <c r="V97" s="468">
        <f>V90</f>
        <v/>
      </c>
      <c r="W97" s="468">
        <f>W90</f>
        <v/>
      </c>
      <c r="X97" s="468">
        <f>X90</f>
        <v/>
      </c>
      <c r="Y97" s="468">
        <f>Y90</f>
        <v/>
      </c>
      <c r="Z97" s="468">
        <f>Z90</f>
        <v/>
      </c>
      <c r="AA97" s="468">
        <f>AA90</f>
        <v/>
      </c>
      <c r="AB97" s="468">
        <f>AB90</f>
        <v/>
      </c>
      <c r="AC97" s="468">
        <f>AC90</f>
        <v/>
      </c>
      <c r="AD97" s="468">
        <f>AD90</f>
        <v/>
      </c>
      <c r="AE97" s="468">
        <f>AE90</f>
        <v/>
      </c>
      <c r="AF97" s="468">
        <f>AF90</f>
        <v/>
      </c>
      <c r="AG97" s="468">
        <f>AG90</f>
        <v/>
      </c>
      <c r="AH97" s="468">
        <f>AH90</f>
        <v/>
      </c>
      <c r="AI97" s="468">
        <f>AI90</f>
        <v/>
      </c>
      <c r="AJ97" s="468">
        <f>AJ90</f>
        <v/>
      </c>
      <c r="AK97" s="468">
        <f>AK90</f>
        <v/>
      </c>
      <c r="AL97" s="468">
        <f>AL90</f>
        <v/>
      </c>
      <c r="AM97" s="468">
        <f>AM90</f>
        <v/>
      </c>
      <c r="AN97" s="468">
        <f>AN90</f>
        <v/>
      </c>
      <c r="AO97" s="468">
        <f>AO90</f>
        <v/>
      </c>
      <c r="AP97" s="468">
        <f>AP90</f>
        <v/>
      </c>
      <c r="AQ97" s="468">
        <f>AQ90</f>
        <v/>
      </c>
      <c r="AR97" s="468">
        <f>AR90</f>
        <v/>
      </c>
      <c r="AS97" s="468">
        <f>AS90</f>
        <v/>
      </c>
      <c r="AT97" s="468">
        <f>AT90</f>
        <v/>
      </c>
      <c r="AU97" s="468">
        <f>AU90</f>
        <v/>
      </c>
      <c r="AV97" s="468">
        <f>AV90</f>
        <v/>
      </c>
      <c r="AW97" s="468">
        <f>AW90</f>
        <v/>
      </c>
      <c r="AX97" s="468">
        <f>AX90</f>
        <v/>
      </c>
      <c r="AY97" s="468">
        <f>AY90</f>
        <v/>
      </c>
      <c r="AZ97" s="468">
        <f>AZ90</f>
        <v/>
      </c>
      <c r="BA97" s="468">
        <f>BA90</f>
        <v/>
      </c>
      <c r="BB97" s="468">
        <f>BB90</f>
        <v/>
      </c>
      <c r="BC97" s="468">
        <f>BC90</f>
        <v/>
      </c>
      <c r="BD97" s="468">
        <f>BD90</f>
        <v/>
      </c>
      <c r="BE97" s="468">
        <f>BE90</f>
        <v/>
      </c>
      <c r="BF97" s="468">
        <f>BF90</f>
        <v/>
      </c>
      <c r="BG97" s="468">
        <f>BG90</f>
        <v/>
      </c>
      <c r="BH97" s="468">
        <f>BH90</f>
        <v/>
      </c>
      <c r="BI97" s="468">
        <f>BI90</f>
        <v/>
      </c>
      <c r="BJ97" s="468">
        <f>BJ90</f>
        <v/>
      </c>
      <c r="BK97" s="468">
        <f>BK90</f>
        <v/>
      </c>
      <c r="BL97" s="468">
        <f>BL90</f>
        <v/>
      </c>
      <c r="BM97" s="468">
        <f>BM90</f>
        <v/>
      </c>
      <c r="BN97" s="468">
        <f>BN90</f>
        <v/>
      </c>
      <c r="BO97" s="468">
        <f>BO90</f>
        <v/>
      </c>
      <c r="BP97" s="468">
        <f>BP90</f>
        <v/>
      </c>
      <c r="BQ97" s="468">
        <f>BQ90</f>
        <v/>
      </c>
      <c r="BR97" s="468">
        <f>BR90</f>
        <v/>
      </c>
      <c r="BS97" s="468">
        <f>BS90</f>
        <v/>
      </c>
      <c r="BT97" s="468">
        <f>BT90</f>
        <v/>
      </c>
      <c r="BU97" s="468">
        <f>BU90</f>
        <v/>
      </c>
      <c r="BV97" s="468">
        <f>BV90</f>
        <v/>
      </c>
      <c r="BW97" s="468">
        <f>BW90</f>
        <v/>
      </c>
      <c r="BX97" s="468">
        <f>BX90</f>
        <v/>
      </c>
      <c r="BY97" s="468">
        <f>BY90</f>
        <v/>
      </c>
      <c r="BZ97" s="468">
        <f>BZ90</f>
        <v/>
      </c>
      <c r="CA97" s="468">
        <f>CA90</f>
        <v/>
      </c>
      <c r="CB97" s="468">
        <f>CB90</f>
        <v/>
      </c>
      <c r="CC97" s="468">
        <f>CC90</f>
        <v/>
      </c>
      <c r="CD97" s="468">
        <f>CD90</f>
        <v/>
      </c>
      <c r="CE97" s="468">
        <f>CE90</f>
        <v/>
      </c>
      <c r="CF97" s="468">
        <f>CF90</f>
        <v/>
      </c>
      <c r="CG97" s="468">
        <f>CG90</f>
        <v/>
      </c>
      <c r="CH97" s="468">
        <f>CH90</f>
        <v/>
      </c>
      <c r="CI97" s="468">
        <f>CI90</f>
        <v/>
      </c>
      <c r="CJ97" s="468">
        <f>CJ90</f>
        <v/>
      </c>
      <c r="CK97" s="468">
        <f>CK90</f>
        <v/>
      </c>
      <c r="CL97" s="468">
        <f>CL90</f>
        <v/>
      </c>
      <c r="CM97" s="468">
        <f>CM90</f>
        <v/>
      </c>
      <c r="CN97" s="468">
        <f>CN90</f>
        <v/>
      </c>
      <c r="CO97" s="468">
        <f>CO90</f>
        <v/>
      </c>
      <c r="CP97" s="468">
        <f>CP90</f>
        <v/>
      </c>
      <c r="CQ97" s="468">
        <f>CQ90</f>
        <v/>
      </c>
      <c r="CR97" s="468">
        <f>CR90</f>
        <v/>
      </c>
      <c r="CS97" s="468">
        <f>CS90</f>
        <v/>
      </c>
      <c r="CT97" s="468">
        <f>CT90</f>
        <v/>
      </c>
      <c r="CU97" s="468">
        <f>CU90</f>
        <v/>
      </c>
      <c r="CV97" s="468">
        <f>CV90</f>
        <v/>
      </c>
      <c r="CW97" s="468">
        <f>CW90</f>
        <v/>
      </c>
      <c r="CX97" s="468">
        <f>CX90</f>
        <v/>
      </c>
      <c r="CY97" s="468">
        <f>CY90</f>
        <v/>
      </c>
      <c r="CZ97" s="468">
        <f>CZ90</f>
        <v/>
      </c>
      <c r="DA97" s="468">
        <f>DA90</f>
        <v/>
      </c>
      <c r="DB97" s="468">
        <f>DB90</f>
        <v/>
      </c>
      <c r="DC97" s="468">
        <f>DC90</f>
        <v/>
      </c>
      <c r="DD97" s="468">
        <f>DD90</f>
        <v/>
      </c>
      <c r="DE97" s="468">
        <f>DE90</f>
        <v/>
      </c>
      <c r="DF97" s="468">
        <f>DF90</f>
        <v/>
      </c>
      <c r="DG97" s="468">
        <f>DG90</f>
        <v/>
      </c>
      <c r="DH97" s="468">
        <f>DH90</f>
        <v/>
      </c>
      <c r="DI97" s="468">
        <f>DI90</f>
        <v/>
      </c>
      <c r="DJ97" s="468">
        <f>DJ90</f>
        <v/>
      </c>
      <c r="DK97" s="468">
        <f>DK90</f>
        <v/>
      </c>
      <c r="DL97" s="468">
        <f>DL90</f>
        <v/>
      </c>
      <c r="DM97" s="468">
        <f>DM90</f>
        <v/>
      </c>
      <c r="DN97" s="468">
        <f>DN90</f>
        <v/>
      </c>
      <c r="DO97" s="468">
        <f>DO90</f>
        <v/>
      </c>
      <c r="DP97" s="468">
        <f>DP90</f>
        <v/>
      </c>
      <c r="DQ97" s="468">
        <f>DQ90</f>
        <v/>
      </c>
      <c r="DR97" s="468">
        <f>DR90</f>
        <v/>
      </c>
      <c r="DS97" s="468">
        <f>DS90</f>
        <v/>
      </c>
      <c r="DT97" s="468">
        <f>DT90</f>
        <v/>
      </c>
      <c r="DU97" s="468">
        <f>DU90</f>
        <v/>
      </c>
      <c r="DV97" s="468">
        <f>DV90</f>
        <v/>
      </c>
      <c r="DW97" s="322" t="inlineStr">
        <is>
          <t>x</t>
        </is>
      </c>
    </row>
    <row r="98" hidden="1" outlineLevel="1" ht="17.25" customHeight="1" thickBot="1">
      <c r="C98" s="365" t="inlineStr">
        <is>
          <t>Ending Balance</t>
        </is>
      </c>
      <c r="D98" s="484" t="n"/>
      <c r="E98" s="657" t="n">
        <v>0</v>
      </c>
      <c r="F98" s="657">
        <f>SUM(F95:F97)</f>
        <v/>
      </c>
      <c r="G98" s="657">
        <f>SUM(G95:G97)</f>
        <v/>
      </c>
      <c r="H98" s="657">
        <f>SUM(H95:H97)</f>
        <v/>
      </c>
      <c r="I98" s="657">
        <f>SUM(I95:I97)</f>
        <v/>
      </c>
      <c r="J98" s="657">
        <f>SUM(J95:J97)</f>
        <v/>
      </c>
      <c r="K98" s="657">
        <f>SUM(K95:K97)</f>
        <v/>
      </c>
      <c r="L98" s="657">
        <f>SUM(L95:L97)</f>
        <v/>
      </c>
      <c r="M98" s="657">
        <f>SUM(M95:M97)</f>
        <v/>
      </c>
      <c r="N98" s="657">
        <f>SUM(N95:N97)</f>
        <v/>
      </c>
      <c r="O98" s="657">
        <f>SUM(O95:O97)</f>
        <v/>
      </c>
      <c r="P98" s="657">
        <f>SUM(P95:P97)</f>
        <v/>
      </c>
      <c r="Q98" s="657">
        <f>SUM(Q95:Q97)</f>
        <v/>
      </c>
      <c r="R98" s="657">
        <f>SUM(R95:R97)</f>
        <v/>
      </c>
      <c r="S98" s="657">
        <f>SUM(S95:S97)</f>
        <v/>
      </c>
      <c r="T98" s="657">
        <f>SUM(T95:T97)</f>
        <v/>
      </c>
      <c r="U98" s="657">
        <f>SUM(U95:U97)</f>
        <v/>
      </c>
      <c r="V98" s="657">
        <f>SUM(V95:V97)</f>
        <v/>
      </c>
      <c r="W98" s="657">
        <f>SUM(W95:W97)</f>
        <v/>
      </c>
      <c r="X98" s="657">
        <f>SUM(X95:X97)</f>
        <v/>
      </c>
      <c r="Y98" s="657">
        <f>SUM(Y95:Y97)</f>
        <v/>
      </c>
      <c r="Z98" s="657">
        <f>SUM(Z95:Z97)</f>
        <v/>
      </c>
      <c r="AA98" s="657">
        <f>SUM(AA95:AA97)</f>
        <v/>
      </c>
      <c r="AB98" s="657">
        <f>SUM(AB95:AB97)</f>
        <v/>
      </c>
      <c r="AC98" s="657">
        <f>SUM(AC95:AC97)</f>
        <v/>
      </c>
      <c r="AD98" s="657">
        <f>SUM(AD95:AD97)</f>
        <v/>
      </c>
      <c r="AE98" s="657">
        <f>SUM(AE95:AE97)</f>
        <v/>
      </c>
      <c r="AF98" s="657">
        <f>SUM(AF95:AF97)</f>
        <v/>
      </c>
      <c r="AG98" s="657">
        <f>SUM(AG95:AG97)</f>
        <v/>
      </c>
      <c r="AH98" s="657">
        <f>SUM(AH95:AH97)</f>
        <v/>
      </c>
      <c r="AI98" s="657">
        <f>SUM(AI95:AI97)</f>
        <v/>
      </c>
      <c r="AJ98" s="657">
        <f>SUM(AJ95:AJ97)</f>
        <v/>
      </c>
      <c r="AK98" s="657">
        <f>SUM(AK95:AK97)</f>
        <v/>
      </c>
      <c r="AL98" s="657">
        <f>SUM(AL95:AL97)</f>
        <v/>
      </c>
      <c r="AM98" s="657">
        <f>SUM(AM95:AM97)</f>
        <v/>
      </c>
      <c r="AN98" s="657">
        <f>SUM(AN95:AN97)</f>
        <v/>
      </c>
      <c r="AO98" s="657">
        <f>SUM(AO95:AO97)</f>
        <v/>
      </c>
      <c r="AP98" s="657">
        <f>SUM(AP95:AP97)</f>
        <v/>
      </c>
      <c r="AQ98" s="657">
        <f>SUM(AQ95:AQ97)</f>
        <v/>
      </c>
      <c r="AR98" s="657">
        <f>SUM(AR95:AR97)</f>
        <v/>
      </c>
      <c r="AS98" s="657">
        <f>SUM(AS95:AS97)</f>
        <v/>
      </c>
      <c r="AT98" s="657">
        <f>SUM(AT95:AT97)</f>
        <v/>
      </c>
      <c r="AU98" s="657">
        <f>SUM(AU95:AU97)</f>
        <v/>
      </c>
      <c r="AV98" s="657">
        <f>SUM(AV95:AV97)</f>
        <v/>
      </c>
      <c r="AW98" s="657">
        <f>SUM(AW95:AW97)</f>
        <v/>
      </c>
      <c r="AX98" s="657">
        <f>SUM(AX95:AX97)</f>
        <v/>
      </c>
      <c r="AY98" s="657">
        <f>SUM(AY95:AY97)</f>
        <v/>
      </c>
      <c r="AZ98" s="657">
        <f>SUM(AZ95:AZ97)</f>
        <v/>
      </c>
      <c r="BA98" s="657">
        <f>SUM(BA95:BA97)</f>
        <v/>
      </c>
      <c r="BB98" s="657">
        <f>SUM(BB95:BB97)</f>
        <v/>
      </c>
      <c r="BC98" s="657">
        <f>SUM(BC95:BC97)</f>
        <v/>
      </c>
      <c r="BD98" s="657">
        <f>SUM(BD95:BD97)</f>
        <v/>
      </c>
      <c r="BE98" s="657">
        <f>SUM(BE95:BE97)</f>
        <v/>
      </c>
      <c r="BF98" s="657">
        <f>SUM(BF95:BF97)</f>
        <v/>
      </c>
      <c r="BG98" s="657">
        <f>SUM(BG95:BG97)</f>
        <v/>
      </c>
      <c r="BH98" s="657">
        <f>SUM(BH95:BH97)</f>
        <v/>
      </c>
      <c r="BI98" s="657">
        <f>SUM(BI95:BI97)</f>
        <v/>
      </c>
      <c r="BJ98" s="657">
        <f>SUM(BJ95:BJ97)</f>
        <v/>
      </c>
      <c r="BK98" s="657">
        <f>SUM(BK95:BK97)</f>
        <v/>
      </c>
      <c r="BL98" s="657">
        <f>SUM(BL95:BL97)</f>
        <v/>
      </c>
      <c r="BM98" s="657">
        <f>SUM(BM95:BM97)</f>
        <v/>
      </c>
      <c r="BN98" s="657">
        <f>SUM(BN95:BN97)</f>
        <v/>
      </c>
      <c r="BO98" s="657">
        <f>SUM(BO95:BO97)</f>
        <v/>
      </c>
      <c r="BP98" s="657">
        <f>SUM(BP95:BP97)</f>
        <v/>
      </c>
      <c r="BQ98" s="657">
        <f>SUM(BQ95:BQ97)</f>
        <v/>
      </c>
      <c r="BR98" s="657">
        <f>SUM(BR95:BR97)</f>
        <v/>
      </c>
      <c r="BS98" s="657">
        <f>SUM(BS95:BS97)</f>
        <v/>
      </c>
      <c r="BT98" s="657">
        <f>SUM(BT95:BT97)</f>
        <v/>
      </c>
      <c r="BU98" s="657">
        <f>SUM(BU95:BU97)</f>
        <v/>
      </c>
      <c r="BV98" s="657">
        <f>SUM(BV95:BV97)</f>
        <v/>
      </c>
      <c r="BW98" s="657">
        <f>SUM(BW95:BW97)</f>
        <v/>
      </c>
      <c r="BX98" s="657">
        <f>SUM(BX95:BX97)</f>
        <v/>
      </c>
      <c r="BY98" s="657">
        <f>SUM(BY95:BY97)</f>
        <v/>
      </c>
      <c r="BZ98" s="657">
        <f>SUM(BZ95:BZ97)</f>
        <v/>
      </c>
      <c r="CA98" s="657">
        <f>SUM(CA95:CA97)</f>
        <v/>
      </c>
      <c r="CB98" s="657">
        <f>SUM(CB95:CB97)</f>
        <v/>
      </c>
      <c r="CC98" s="657">
        <f>SUM(CC95:CC97)</f>
        <v/>
      </c>
      <c r="CD98" s="657">
        <f>SUM(CD95:CD97)</f>
        <v/>
      </c>
      <c r="CE98" s="657">
        <f>SUM(CE95:CE97)</f>
        <v/>
      </c>
      <c r="CF98" s="657">
        <f>SUM(CF95:CF97)</f>
        <v/>
      </c>
      <c r="CG98" s="657">
        <f>SUM(CG95:CG97)</f>
        <v/>
      </c>
      <c r="CH98" s="657">
        <f>SUM(CH95:CH97)</f>
        <v/>
      </c>
      <c r="CI98" s="657">
        <f>SUM(CI95:CI97)</f>
        <v/>
      </c>
      <c r="CJ98" s="657">
        <f>SUM(CJ95:CJ97)</f>
        <v/>
      </c>
      <c r="CK98" s="657">
        <f>SUM(CK95:CK97)</f>
        <v/>
      </c>
      <c r="CL98" s="657">
        <f>SUM(CL95:CL97)</f>
        <v/>
      </c>
      <c r="CM98" s="657">
        <f>SUM(CM95:CM97)</f>
        <v/>
      </c>
      <c r="CN98" s="657">
        <f>SUM(CN95:CN97)</f>
        <v/>
      </c>
      <c r="CO98" s="657">
        <f>SUM(CO95:CO97)</f>
        <v/>
      </c>
      <c r="CP98" s="657">
        <f>SUM(CP95:CP97)</f>
        <v/>
      </c>
      <c r="CQ98" s="657">
        <f>SUM(CQ95:CQ97)</f>
        <v/>
      </c>
      <c r="CR98" s="657">
        <f>SUM(CR95:CR97)</f>
        <v/>
      </c>
      <c r="CS98" s="657">
        <f>SUM(CS95:CS97)</f>
        <v/>
      </c>
      <c r="CT98" s="657">
        <f>SUM(CT95:CT97)</f>
        <v/>
      </c>
      <c r="CU98" s="657">
        <f>SUM(CU95:CU97)</f>
        <v/>
      </c>
      <c r="CV98" s="657">
        <f>SUM(CV95:CV97)</f>
        <v/>
      </c>
      <c r="CW98" s="657">
        <f>SUM(CW95:CW97)</f>
        <v/>
      </c>
      <c r="CX98" s="657">
        <f>SUM(CX95:CX97)</f>
        <v/>
      </c>
      <c r="CY98" s="657">
        <f>SUM(CY95:CY97)</f>
        <v/>
      </c>
      <c r="CZ98" s="657">
        <f>SUM(CZ95:CZ97)</f>
        <v/>
      </c>
      <c r="DA98" s="657">
        <f>SUM(DA95:DA97)</f>
        <v/>
      </c>
      <c r="DB98" s="657">
        <f>SUM(DB95:DB97)</f>
        <v/>
      </c>
      <c r="DC98" s="657">
        <f>SUM(DC95:DC97)</f>
        <v/>
      </c>
      <c r="DD98" s="657">
        <f>SUM(DD95:DD97)</f>
        <v/>
      </c>
      <c r="DE98" s="657">
        <f>SUM(DE95:DE97)</f>
        <v/>
      </c>
      <c r="DF98" s="657">
        <f>SUM(DF95:DF97)</f>
        <v/>
      </c>
      <c r="DG98" s="657">
        <f>SUM(DG95:DG97)</f>
        <v/>
      </c>
      <c r="DH98" s="657">
        <f>SUM(DH95:DH97)</f>
        <v/>
      </c>
      <c r="DI98" s="657">
        <f>SUM(DI95:DI97)</f>
        <v/>
      </c>
      <c r="DJ98" s="657">
        <f>SUM(DJ95:DJ97)</f>
        <v/>
      </c>
      <c r="DK98" s="657">
        <f>SUM(DK95:DK97)</f>
        <v/>
      </c>
      <c r="DL98" s="657">
        <f>SUM(DL95:DL97)</f>
        <v/>
      </c>
      <c r="DM98" s="657">
        <f>SUM(DM95:DM97)</f>
        <v/>
      </c>
      <c r="DN98" s="657">
        <f>SUM(DN95:DN97)</f>
        <v/>
      </c>
      <c r="DO98" s="657">
        <f>SUM(DO95:DO97)</f>
        <v/>
      </c>
      <c r="DP98" s="657">
        <f>SUM(DP95:DP97)</f>
        <v/>
      </c>
      <c r="DQ98" s="657">
        <f>SUM(DQ95:DQ97)</f>
        <v/>
      </c>
      <c r="DR98" s="657">
        <f>SUM(DR95:DR97)</f>
        <v/>
      </c>
      <c r="DS98" s="657">
        <f>SUM(DS95:DS97)</f>
        <v/>
      </c>
      <c r="DT98" s="657">
        <f>SUM(DT95:DT97)</f>
        <v/>
      </c>
      <c r="DU98" s="657">
        <f>SUM(DU95:DU97)</f>
        <v/>
      </c>
      <c r="DV98" s="657">
        <f>SUM(DV95:DV97)</f>
        <v/>
      </c>
      <c r="DW98" s="322" t="inlineStr">
        <is>
          <t>x</t>
        </is>
      </c>
    </row>
    <row r="99" hidden="1" outlineLevel="1" ht="17.25" customHeight="1" thickTop="1">
      <c r="C99" s="365" t="n"/>
      <c r="D99" s="484" t="n"/>
      <c r="E99" s="654" t="n"/>
      <c r="F99" s="654" t="n"/>
      <c r="G99" s="654" t="n"/>
      <c r="H99" s="654" t="n"/>
      <c r="I99" s="654" t="n"/>
      <c r="J99" s="654" t="n"/>
      <c r="K99" s="654" t="n"/>
      <c r="L99" s="654" t="n"/>
      <c r="M99" s="654" t="n"/>
      <c r="N99" s="654" t="n"/>
      <c r="O99" s="654" t="n"/>
      <c r="P99" s="654" t="n"/>
      <c r="Q99" s="654" t="n"/>
      <c r="R99" s="654" t="n"/>
      <c r="S99" s="654" t="n"/>
      <c r="T99" s="654" t="n"/>
      <c r="U99" s="654" t="n"/>
      <c r="V99" s="654" t="n"/>
      <c r="W99" s="654" t="n"/>
      <c r="X99" s="654" t="n"/>
      <c r="Y99" s="654" t="n"/>
      <c r="Z99" s="654" t="n"/>
      <c r="AA99" s="654" t="n"/>
      <c r="AB99" s="654" t="n"/>
      <c r="AC99" s="654" t="n"/>
      <c r="AD99" s="654" t="n"/>
      <c r="AE99" s="654" t="n"/>
      <c r="AF99" s="654" t="n"/>
      <c r="AG99" s="654" t="n"/>
      <c r="AH99" s="654" t="n"/>
      <c r="AI99" s="654" t="n"/>
      <c r="AJ99" s="654" t="n"/>
      <c r="AK99" s="654" t="n"/>
      <c r="AL99" s="654" t="n"/>
      <c r="AM99" s="374" t="n"/>
      <c r="AN99" s="374" t="n"/>
      <c r="AO99" s="374" t="n"/>
      <c r="AP99" s="472" t="n"/>
      <c r="AQ99" s="472" t="n"/>
      <c r="AR99" s="472" t="n"/>
      <c r="AS99" s="472" t="n"/>
      <c r="AT99" s="472" t="n"/>
      <c r="AU99" s="472" t="n"/>
      <c r="AV99" s="473" t="n"/>
      <c r="AW99" s="360" t="n"/>
      <c r="AX99" s="360" t="n"/>
      <c r="AY99" s="360" t="n"/>
      <c r="AZ99" s="360" t="n"/>
      <c r="BA99" s="360" t="n"/>
      <c r="BB99" s="360" t="n"/>
      <c r="BC99" s="360" t="n"/>
      <c r="BD99" s="360" t="n"/>
      <c r="BE99" s="360" t="n"/>
      <c r="BF99" s="360" t="n"/>
      <c r="BG99" s="360" t="n"/>
      <c r="BH99" s="360" t="n"/>
      <c r="BI99" s="360" t="n"/>
      <c r="BJ99" s="360" t="n"/>
      <c r="BK99" s="360" t="n"/>
      <c r="BL99" s="360" t="n"/>
      <c r="BM99" s="360" t="n"/>
      <c r="BN99" s="360" t="n"/>
      <c r="BO99" s="360" t="n"/>
      <c r="BP99" s="360" t="n"/>
      <c r="BQ99" s="360" t="n"/>
      <c r="BR99" s="360" t="n"/>
      <c r="BS99" s="360" t="n"/>
      <c r="BT99" s="360" t="n"/>
      <c r="BU99" s="360" t="n"/>
      <c r="BV99" s="360" t="n"/>
      <c r="BW99" s="360" t="n"/>
      <c r="BX99" s="360" t="n"/>
      <c r="BY99" s="360" t="n"/>
      <c r="BZ99" s="360" t="n"/>
      <c r="CA99" s="360" t="n"/>
      <c r="CB99" s="360" t="n"/>
      <c r="CC99" s="360" t="n"/>
      <c r="CD99" s="360" t="n"/>
      <c r="CE99" s="360" t="n"/>
      <c r="CF99" s="360" t="n"/>
      <c r="CG99" s="360" t="n"/>
      <c r="CH99" s="360" t="n"/>
      <c r="CI99" s="360" t="n"/>
      <c r="CJ99" s="360" t="n"/>
      <c r="CK99" s="360" t="n"/>
      <c r="CL99" s="360" t="n"/>
      <c r="CM99" s="360" t="n"/>
      <c r="CN99" s="360" t="n"/>
      <c r="CO99" s="360" t="n"/>
      <c r="CP99" s="360" t="n"/>
      <c r="CQ99" s="360" t="n"/>
      <c r="CR99" s="360" t="n"/>
      <c r="CS99" s="360" t="n"/>
      <c r="CT99" s="360" t="n"/>
      <c r="CU99" s="360" t="n"/>
      <c r="CV99" s="360" t="n"/>
      <c r="CW99" s="360" t="n"/>
      <c r="CX99" s="360" t="n"/>
      <c r="CY99" s="360" t="n"/>
      <c r="CZ99" s="360" t="n"/>
      <c r="DA99" s="360" t="n"/>
      <c r="DB99" s="360" t="n"/>
      <c r="DC99" s="360" t="n"/>
      <c r="DD99" s="360" t="n"/>
      <c r="DE99" s="360" t="n"/>
      <c r="DF99" s="360" t="n"/>
      <c r="DG99" s="360" t="n"/>
      <c r="DH99" s="360" t="n"/>
      <c r="DI99" s="360" t="n"/>
      <c r="DJ99" s="360" t="n"/>
      <c r="DK99" s="360" t="n"/>
      <c r="DL99" s="360" t="n"/>
      <c r="DM99" s="360" t="n"/>
      <c r="DN99" s="360" t="n"/>
      <c r="DO99" s="360" t="n"/>
      <c r="DP99" s="360" t="n"/>
      <c r="DQ99" s="360" t="n"/>
      <c r="DR99" s="360" t="n"/>
      <c r="DS99" s="360" t="n"/>
      <c r="DT99" s="360" t="n"/>
      <c r="DU99" s="360" t="n"/>
      <c r="DV99" s="360" t="n"/>
      <c r="DW99" s="322" t="inlineStr">
        <is>
          <t>x</t>
        </is>
      </c>
    </row>
    <row r="100" hidden="1" outlineLevel="1">
      <c r="C100" s="479" t="inlineStr">
        <is>
          <t xml:space="preserve">Amount Required to Satisfy greater of </t>
        </is>
      </c>
      <c r="D100" s="480" t="n"/>
      <c r="E100" s="481" t="n"/>
      <c r="F100" s="481" t="n"/>
      <c r="G100" s="481" t="n"/>
      <c r="H100" s="481" t="n"/>
      <c r="I100" s="481" t="n"/>
      <c r="J100" s="481" t="n"/>
      <c r="K100" s="481" t="n"/>
      <c r="L100" s="481" t="n"/>
      <c r="M100" s="481" t="n"/>
      <c r="N100" s="481" t="n"/>
      <c r="O100" s="481" t="n"/>
      <c r="P100" s="481" t="n"/>
      <c r="Q100" s="481" t="n"/>
      <c r="R100" s="481" t="n"/>
      <c r="S100" s="481" t="n"/>
      <c r="T100" s="481" t="n"/>
      <c r="U100" s="481" t="n"/>
      <c r="V100" s="481" t="n"/>
      <c r="W100" s="481" t="n"/>
      <c r="X100" s="481" t="n"/>
      <c r="Y100" s="481" t="n"/>
      <c r="Z100" s="481" t="n"/>
      <c r="AA100" s="481" t="n"/>
      <c r="AB100" s="481" t="n"/>
      <c r="AC100" s="481" t="n"/>
      <c r="AD100" s="481" t="n"/>
      <c r="AE100" s="481" t="n"/>
      <c r="AF100" s="481" t="n"/>
      <c r="AG100" s="481" t="n"/>
      <c r="AH100" s="481" t="n"/>
      <c r="AI100" s="481" t="n"/>
      <c r="AJ100" s="481" t="n"/>
      <c r="AK100" s="481" t="n"/>
      <c r="AL100" s="481" t="n"/>
      <c r="AM100" s="481" t="n"/>
      <c r="AN100" s="481" t="n"/>
      <c r="AO100" s="481" t="n"/>
      <c r="AP100" s="481" t="n"/>
      <c r="AQ100" s="481" t="n"/>
      <c r="AR100" s="481" t="n"/>
      <c r="AS100" s="481" t="n"/>
      <c r="AT100" s="481" t="n"/>
      <c r="AU100" s="481" t="n"/>
      <c r="AV100" s="481" t="n"/>
      <c r="AW100" s="481" t="n"/>
      <c r="AX100" s="481" t="n"/>
      <c r="AY100" s="481" t="n"/>
      <c r="AZ100" s="481" t="n"/>
      <c r="BA100" s="481" t="n"/>
      <c r="BB100" s="481" t="n"/>
      <c r="BC100" s="481" t="n"/>
      <c r="BD100" s="481" t="n"/>
      <c r="BE100" s="481" t="n"/>
      <c r="BF100" s="481" t="n"/>
      <c r="BG100" s="481" t="n"/>
      <c r="BH100" s="481" t="n"/>
      <c r="BI100" s="481" t="n"/>
      <c r="BJ100" s="481" t="n"/>
      <c r="BK100" s="481" t="n"/>
      <c r="BL100" s="481" t="n"/>
      <c r="BM100" s="481" t="n"/>
      <c r="BN100" s="481" t="n"/>
      <c r="BO100" s="481" t="n"/>
      <c r="BP100" s="481" t="n"/>
      <c r="BQ100" s="481" t="n"/>
      <c r="BR100" s="481" t="n"/>
      <c r="BS100" s="481" t="n"/>
      <c r="BT100" s="481" t="n"/>
      <c r="BU100" s="481" t="n"/>
      <c r="BV100" s="481" t="n"/>
      <c r="BW100" s="481" t="n"/>
      <c r="BX100" s="481" t="n"/>
      <c r="BY100" s="481" t="n"/>
      <c r="BZ100" s="481" t="n"/>
      <c r="CA100" s="481" t="n"/>
      <c r="CB100" s="481" t="n"/>
      <c r="CC100" s="481" t="n"/>
      <c r="CD100" s="481" t="n"/>
      <c r="CE100" s="481" t="n"/>
      <c r="CF100" s="481" t="n"/>
      <c r="CG100" s="481" t="n"/>
      <c r="CH100" s="481" t="n"/>
      <c r="CI100" s="481" t="n"/>
      <c r="CJ100" s="481" t="n"/>
      <c r="CK100" s="481" t="n"/>
      <c r="CL100" s="481" t="n"/>
      <c r="CM100" s="481" t="n"/>
      <c r="CN100" s="481" t="n"/>
      <c r="CO100" s="481" t="n"/>
      <c r="CP100" s="481" t="n"/>
      <c r="CQ100" s="481" t="n"/>
      <c r="CR100" s="481" t="n"/>
      <c r="CS100" s="481" t="n"/>
      <c r="CT100" s="481" t="n"/>
      <c r="CU100" s="481" t="n"/>
      <c r="CV100" s="481" t="n"/>
      <c r="CW100" s="481" t="n"/>
      <c r="CX100" s="481" t="n"/>
      <c r="CY100" s="481" t="n"/>
      <c r="CZ100" s="481" t="n"/>
      <c r="DA100" s="481" t="n"/>
      <c r="DB100" s="481" t="n"/>
      <c r="DC100" s="481" t="n"/>
      <c r="DD100" s="481" t="n"/>
      <c r="DE100" s="481" t="n"/>
      <c r="DF100" s="481" t="n"/>
      <c r="DG100" s="481" t="n"/>
      <c r="DH100" s="481" t="n"/>
      <c r="DI100" s="481" t="n"/>
      <c r="DJ100" s="481" t="n"/>
      <c r="DK100" s="481" t="n"/>
      <c r="DL100" s="481" t="n"/>
      <c r="DM100" s="481" t="n"/>
      <c r="DN100" s="481" t="n"/>
      <c r="DO100" s="481" t="n"/>
      <c r="DP100" s="481" t="n"/>
      <c r="DQ100" s="481" t="n"/>
      <c r="DR100" s="481" t="n"/>
      <c r="DS100" s="481" t="n"/>
      <c r="DT100" s="481" t="n"/>
      <c r="DU100" s="481" t="n"/>
      <c r="DV100" s="481" t="n"/>
      <c r="DW100" s="322" t="inlineStr">
        <is>
          <t>x</t>
        </is>
      </c>
    </row>
    <row r="101" hidden="1" outlineLevel="1">
      <c r="C101" s="479">
        <f>"IRR and Equity Multiple Test for "&amp;C86</f>
        <v/>
      </c>
      <c r="D101" s="480" t="n"/>
      <c r="E101" s="481" t="n"/>
      <c r="F101" s="481">
        <f>MAX(SUM(F87:F89),SUM(F95:F96))</f>
        <v/>
      </c>
      <c r="G101" s="481">
        <f>MAX(SUM(G87:G89),SUM(G95:G96))</f>
        <v/>
      </c>
      <c r="H101" s="481">
        <f>MAX(SUM(H87:H89),SUM(H95:H96))</f>
        <v/>
      </c>
      <c r="I101" s="481">
        <f>MAX(SUM(I87:I89),SUM(I95:I96))</f>
        <v/>
      </c>
      <c r="J101" s="481">
        <f>MAX(SUM(J87:J89),SUM(J95:J96))</f>
        <v/>
      </c>
      <c r="K101" s="481">
        <f>MAX(SUM(K87:K89),SUM(K95:K96))</f>
        <v/>
      </c>
      <c r="L101" s="481">
        <f>MAX(SUM(L87:L89),SUM(L95:L96))</f>
        <v/>
      </c>
      <c r="M101" s="481">
        <f>MAX(SUM(M87:M89),SUM(M95:M96))</f>
        <v/>
      </c>
      <c r="N101" s="481">
        <f>MAX(SUM(N87:N89),SUM(N95:N96))</f>
        <v/>
      </c>
      <c r="O101" s="481">
        <f>MAX(SUM(O87:O89),SUM(O95:O96))</f>
        <v/>
      </c>
      <c r="P101" s="481">
        <f>MAX(SUM(P87:P89),SUM(P95:P96))</f>
        <v/>
      </c>
      <c r="Q101" s="481">
        <f>MAX(SUM(Q87:Q89),SUM(Q95:Q96))</f>
        <v/>
      </c>
      <c r="R101" s="481">
        <f>MAX(SUM(R87:R89),SUM(R95:R96))</f>
        <v/>
      </c>
      <c r="S101" s="481">
        <f>MAX(SUM(S87:S89),SUM(S95:S96))</f>
        <v/>
      </c>
      <c r="T101" s="481">
        <f>MAX(SUM(T87:T89),SUM(T95:T96))</f>
        <v/>
      </c>
      <c r="U101" s="481">
        <f>MAX(SUM(U87:U89),SUM(U95:U96))</f>
        <v/>
      </c>
      <c r="V101" s="481">
        <f>MAX(SUM(V87:V89),SUM(V95:V96))</f>
        <v/>
      </c>
      <c r="W101" s="481">
        <f>MAX(SUM(W87:W89),SUM(W95:W96))</f>
        <v/>
      </c>
      <c r="X101" s="481">
        <f>MAX(SUM(X87:X89),SUM(X95:X96))</f>
        <v/>
      </c>
      <c r="Y101" s="481">
        <f>MAX(SUM(Y87:Y89),SUM(Y95:Y96))</f>
        <v/>
      </c>
      <c r="Z101" s="481">
        <f>MAX(SUM(Z87:Z89),SUM(Z95:Z96))</f>
        <v/>
      </c>
      <c r="AA101" s="481">
        <f>MAX(SUM(AA87:AA89),SUM(AA95:AA96))</f>
        <v/>
      </c>
      <c r="AB101" s="481">
        <f>MAX(SUM(AB87:AB89),SUM(AB95:AB96))</f>
        <v/>
      </c>
      <c r="AC101" s="481">
        <f>MAX(SUM(AC87:AC89),SUM(AC95:AC96))</f>
        <v/>
      </c>
      <c r="AD101" s="481">
        <f>MAX(SUM(AD87:AD89),SUM(AD95:AD96))</f>
        <v/>
      </c>
      <c r="AE101" s="481">
        <f>MAX(SUM(AE87:AE89),SUM(AE95:AE96))</f>
        <v/>
      </c>
      <c r="AF101" s="481">
        <f>MAX(SUM(AF87:AF89),SUM(AF95:AF96))</f>
        <v/>
      </c>
      <c r="AG101" s="481">
        <f>MAX(SUM(AG87:AG89),SUM(AG95:AG96))</f>
        <v/>
      </c>
      <c r="AH101" s="481">
        <f>MAX(SUM(AH87:AH89),SUM(AH95:AH96))</f>
        <v/>
      </c>
      <c r="AI101" s="481">
        <f>MAX(SUM(AI87:AI89),SUM(AI95:AI96))</f>
        <v/>
      </c>
      <c r="AJ101" s="481">
        <f>MAX(SUM(AJ87:AJ89),SUM(AJ95:AJ96))</f>
        <v/>
      </c>
      <c r="AK101" s="481">
        <f>MAX(SUM(AK87:AK89),SUM(AK95:AK96))</f>
        <v/>
      </c>
      <c r="AL101" s="481">
        <f>MAX(SUM(AL87:AL89),SUM(AL95:AL96))</f>
        <v/>
      </c>
      <c r="AM101" s="481">
        <f>MAX(SUM(AM87:AM89),SUM(AM95:AM96))</f>
        <v/>
      </c>
      <c r="AN101" s="481">
        <f>MAX(SUM(AN87:AN89),SUM(AN95:AN96))</f>
        <v/>
      </c>
      <c r="AO101" s="481">
        <f>MAX(SUM(AO87:AO89),SUM(AO95:AO96))</f>
        <v/>
      </c>
      <c r="AP101" s="481">
        <f>MAX(SUM(AP87:AP89),SUM(AP95:AP96))</f>
        <v/>
      </c>
      <c r="AQ101" s="481">
        <f>MAX(SUM(AQ87:AQ89),SUM(AQ95:AQ96))</f>
        <v/>
      </c>
      <c r="AR101" s="481">
        <f>MAX(SUM(AR87:AR89),SUM(AR95:AR96))</f>
        <v/>
      </c>
      <c r="AS101" s="481">
        <f>MAX(SUM(AS87:AS89),SUM(AS95:AS96))</f>
        <v/>
      </c>
      <c r="AT101" s="481">
        <f>MAX(SUM(AT87:AT89),SUM(AT95:AT96))</f>
        <v/>
      </c>
      <c r="AU101" s="481">
        <f>MAX(SUM(AU87:AU89),SUM(AU95:AU96))</f>
        <v/>
      </c>
      <c r="AV101" s="481">
        <f>MAX(SUM(AV87:AV89),SUM(AV95:AV96))</f>
        <v/>
      </c>
      <c r="AW101" s="481">
        <f>MAX(SUM(AW87:AW89),SUM(AW95:AW96))</f>
        <v/>
      </c>
      <c r="AX101" s="481">
        <f>MAX(SUM(AX87:AX89),SUM(AX95:AX96))</f>
        <v/>
      </c>
      <c r="AY101" s="481">
        <f>MAX(SUM(AY87:AY89),SUM(AY95:AY96))</f>
        <v/>
      </c>
      <c r="AZ101" s="481">
        <f>MAX(SUM(AZ87:AZ89),SUM(AZ95:AZ96))</f>
        <v/>
      </c>
      <c r="BA101" s="481">
        <f>MAX(SUM(BA87:BA89),SUM(BA95:BA96))</f>
        <v/>
      </c>
      <c r="BB101" s="481">
        <f>MAX(SUM(BB87:BB89),SUM(BB95:BB96))</f>
        <v/>
      </c>
      <c r="BC101" s="481">
        <f>MAX(SUM(BC87:BC89),SUM(BC95:BC96))</f>
        <v/>
      </c>
      <c r="BD101" s="481">
        <f>MAX(SUM(BD87:BD89),SUM(BD95:BD96))</f>
        <v/>
      </c>
      <c r="BE101" s="481">
        <f>MAX(SUM(BE87:BE89),SUM(BE95:BE96))</f>
        <v/>
      </c>
      <c r="BF101" s="481">
        <f>MAX(SUM(BF87:BF89),SUM(BF95:BF96))</f>
        <v/>
      </c>
      <c r="BG101" s="481">
        <f>MAX(SUM(BG87:BG89),SUM(BG95:BG96))</f>
        <v/>
      </c>
      <c r="BH101" s="481">
        <f>MAX(SUM(BH87:BH89),SUM(BH95:BH96))</f>
        <v/>
      </c>
      <c r="BI101" s="481">
        <f>MAX(SUM(BI87:BI89),SUM(BI95:BI96))</f>
        <v/>
      </c>
      <c r="BJ101" s="481">
        <f>MAX(SUM(BJ87:BJ89),SUM(BJ95:BJ96))</f>
        <v/>
      </c>
      <c r="BK101" s="481">
        <f>MAX(SUM(BK87:BK89),SUM(BK95:BK96))</f>
        <v/>
      </c>
      <c r="BL101" s="481">
        <f>MAX(SUM(BL87:BL89),SUM(BL95:BL96))</f>
        <v/>
      </c>
      <c r="BM101" s="481">
        <f>MAX(SUM(BM87:BM89),SUM(BM95:BM96))</f>
        <v/>
      </c>
      <c r="BN101" s="481">
        <f>MAX(SUM(BN87:BN89),SUM(BN95:BN96))</f>
        <v/>
      </c>
      <c r="BO101" s="481">
        <f>MAX(SUM(BO87:BO89),SUM(BO95:BO96))</f>
        <v/>
      </c>
      <c r="BP101" s="481">
        <f>MAX(SUM(BP87:BP89),SUM(BP95:BP96))</f>
        <v/>
      </c>
      <c r="BQ101" s="481">
        <f>MAX(SUM(BQ87:BQ89),SUM(BQ95:BQ96))</f>
        <v/>
      </c>
      <c r="BR101" s="481">
        <f>MAX(SUM(BR87:BR89),SUM(BR95:BR96))</f>
        <v/>
      </c>
      <c r="BS101" s="481">
        <f>MAX(SUM(BS87:BS89),SUM(BS95:BS96))</f>
        <v/>
      </c>
      <c r="BT101" s="481">
        <f>MAX(SUM(BT87:BT89),SUM(BT95:BT96))</f>
        <v/>
      </c>
      <c r="BU101" s="481">
        <f>MAX(SUM(BU87:BU89),SUM(BU95:BU96))</f>
        <v/>
      </c>
      <c r="BV101" s="481">
        <f>MAX(SUM(BV87:BV89),SUM(BV95:BV96))</f>
        <v/>
      </c>
      <c r="BW101" s="481">
        <f>MAX(SUM(BW87:BW89),SUM(BW95:BW96))</f>
        <v/>
      </c>
      <c r="BX101" s="481">
        <f>MAX(SUM(BX87:BX89),SUM(BX95:BX96))</f>
        <v/>
      </c>
      <c r="BY101" s="481">
        <f>MAX(SUM(BY87:BY89),SUM(BY95:BY96))</f>
        <v/>
      </c>
      <c r="BZ101" s="481">
        <f>MAX(SUM(BZ87:BZ89),SUM(BZ95:BZ96))</f>
        <v/>
      </c>
      <c r="CA101" s="481">
        <f>MAX(SUM(CA87:CA89),SUM(CA95:CA96))</f>
        <v/>
      </c>
      <c r="CB101" s="481">
        <f>MAX(SUM(CB87:CB89),SUM(CB95:CB96))</f>
        <v/>
      </c>
      <c r="CC101" s="481">
        <f>MAX(SUM(CC87:CC89),SUM(CC95:CC96))</f>
        <v/>
      </c>
      <c r="CD101" s="481">
        <f>MAX(SUM(CD87:CD89),SUM(CD95:CD96))</f>
        <v/>
      </c>
      <c r="CE101" s="481">
        <f>MAX(SUM(CE87:CE89),SUM(CE95:CE96))</f>
        <v/>
      </c>
      <c r="CF101" s="481">
        <f>MAX(SUM(CF87:CF89),SUM(CF95:CF96))</f>
        <v/>
      </c>
      <c r="CG101" s="481">
        <f>MAX(SUM(CG87:CG89),SUM(CG95:CG96))</f>
        <v/>
      </c>
      <c r="CH101" s="481">
        <f>MAX(SUM(CH87:CH89),SUM(CH95:CH96))</f>
        <v/>
      </c>
      <c r="CI101" s="481">
        <f>MAX(SUM(CI87:CI89),SUM(CI95:CI96))</f>
        <v/>
      </c>
      <c r="CJ101" s="481">
        <f>MAX(SUM(CJ87:CJ89),SUM(CJ95:CJ96))</f>
        <v/>
      </c>
      <c r="CK101" s="481">
        <f>MAX(SUM(CK87:CK89),SUM(CK95:CK96))</f>
        <v/>
      </c>
      <c r="CL101" s="481">
        <f>MAX(SUM(CL87:CL89),SUM(CL95:CL96))</f>
        <v/>
      </c>
      <c r="CM101" s="481">
        <f>MAX(SUM(CM87:CM89),SUM(CM95:CM96))</f>
        <v/>
      </c>
      <c r="CN101" s="481">
        <f>MAX(SUM(CN87:CN89),SUM(CN95:CN96))</f>
        <v/>
      </c>
      <c r="CO101" s="481">
        <f>MAX(SUM(CO87:CO89),SUM(CO95:CO96))</f>
        <v/>
      </c>
      <c r="CP101" s="481">
        <f>MAX(SUM(CP87:CP89),SUM(CP95:CP96))</f>
        <v/>
      </c>
      <c r="CQ101" s="481">
        <f>MAX(SUM(CQ87:CQ89),SUM(CQ95:CQ96))</f>
        <v/>
      </c>
      <c r="CR101" s="481">
        <f>MAX(SUM(CR87:CR89),SUM(CR95:CR96))</f>
        <v/>
      </c>
      <c r="CS101" s="481">
        <f>MAX(SUM(CS87:CS89),SUM(CS95:CS96))</f>
        <v/>
      </c>
      <c r="CT101" s="481">
        <f>MAX(SUM(CT87:CT89),SUM(CT95:CT96))</f>
        <v/>
      </c>
      <c r="CU101" s="481">
        <f>MAX(SUM(CU87:CU89),SUM(CU95:CU96))</f>
        <v/>
      </c>
      <c r="CV101" s="481">
        <f>MAX(SUM(CV87:CV89),SUM(CV95:CV96))</f>
        <v/>
      </c>
      <c r="CW101" s="481">
        <f>MAX(SUM(CW87:CW89),SUM(CW95:CW96))</f>
        <v/>
      </c>
      <c r="CX101" s="481">
        <f>MAX(SUM(CX87:CX89),SUM(CX95:CX96))</f>
        <v/>
      </c>
      <c r="CY101" s="481">
        <f>MAX(SUM(CY87:CY89),SUM(CY95:CY96))</f>
        <v/>
      </c>
      <c r="CZ101" s="481">
        <f>MAX(SUM(CZ87:CZ89),SUM(CZ95:CZ96))</f>
        <v/>
      </c>
      <c r="DA101" s="481">
        <f>MAX(SUM(DA87:DA89),SUM(DA95:DA96))</f>
        <v/>
      </c>
      <c r="DB101" s="481">
        <f>MAX(SUM(DB87:DB89),SUM(DB95:DB96))</f>
        <v/>
      </c>
      <c r="DC101" s="481">
        <f>MAX(SUM(DC87:DC89),SUM(DC95:DC96))</f>
        <v/>
      </c>
      <c r="DD101" s="481">
        <f>MAX(SUM(DD87:DD89),SUM(DD95:DD96))</f>
        <v/>
      </c>
      <c r="DE101" s="481">
        <f>MAX(SUM(DE87:DE89),SUM(DE95:DE96))</f>
        <v/>
      </c>
      <c r="DF101" s="481">
        <f>MAX(SUM(DF87:DF89),SUM(DF95:DF96))</f>
        <v/>
      </c>
      <c r="DG101" s="481">
        <f>MAX(SUM(DG87:DG89),SUM(DG95:DG96))</f>
        <v/>
      </c>
      <c r="DH101" s="481">
        <f>MAX(SUM(DH87:DH89),SUM(DH95:DH96))</f>
        <v/>
      </c>
      <c r="DI101" s="481">
        <f>MAX(SUM(DI87:DI89),SUM(DI95:DI96))</f>
        <v/>
      </c>
      <c r="DJ101" s="481">
        <f>MAX(SUM(DJ87:DJ89),SUM(DJ95:DJ96))</f>
        <v/>
      </c>
      <c r="DK101" s="481">
        <f>MAX(SUM(DK87:DK89),SUM(DK95:DK96))</f>
        <v/>
      </c>
      <c r="DL101" s="481">
        <f>MAX(SUM(DL87:DL89),SUM(DL95:DL96))</f>
        <v/>
      </c>
      <c r="DM101" s="481">
        <f>MAX(SUM(DM87:DM89),SUM(DM95:DM96))</f>
        <v/>
      </c>
      <c r="DN101" s="481">
        <f>MAX(SUM(DN87:DN89),SUM(DN95:DN96))</f>
        <v/>
      </c>
      <c r="DO101" s="481">
        <f>MAX(SUM(DO87:DO89),SUM(DO95:DO96))</f>
        <v/>
      </c>
      <c r="DP101" s="481">
        <f>MAX(SUM(DP87:DP89),SUM(DP95:DP96))</f>
        <v/>
      </c>
      <c r="DQ101" s="481">
        <f>MAX(SUM(DQ87:DQ89),SUM(DQ95:DQ96))</f>
        <v/>
      </c>
      <c r="DR101" s="481">
        <f>MAX(SUM(DR87:DR89),SUM(DR95:DR96))</f>
        <v/>
      </c>
      <c r="DS101" s="481">
        <f>MAX(SUM(DS87:DS89),SUM(DS95:DS96))</f>
        <v/>
      </c>
      <c r="DT101" s="481">
        <f>MAX(SUM(DT87:DT89),SUM(DT95:DT96))</f>
        <v/>
      </c>
      <c r="DU101" s="481">
        <f>MAX(SUM(DU87:DU89),SUM(DU95:DU96))</f>
        <v/>
      </c>
      <c r="DV101" s="481">
        <f>MAX(SUM(DV87:DV89),SUM(DV95:DV96))</f>
        <v/>
      </c>
      <c r="DW101" s="322" t="inlineStr">
        <is>
          <t>x</t>
        </is>
      </c>
    </row>
    <row r="102" hidden="1" outlineLevel="1">
      <c r="C102" s="479" t="n"/>
      <c r="D102" s="480" t="n"/>
      <c r="E102" s="481" t="n"/>
      <c r="F102" s="481" t="n"/>
      <c r="G102" s="481" t="n"/>
      <c r="H102" s="481" t="n"/>
      <c r="I102" s="481" t="n"/>
      <c r="J102" s="481" t="n"/>
      <c r="K102" s="481" t="n"/>
      <c r="L102" s="481" t="n"/>
      <c r="M102" s="481" t="n"/>
      <c r="N102" s="481" t="n"/>
      <c r="O102" s="481" t="n"/>
      <c r="P102" s="481" t="n"/>
      <c r="Q102" s="481" t="n"/>
      <c r="R102" s="481" t="n"/>
      <c r="S102" s="481" t="n"/>
      <c r="T102" s="481" t="n"/>
      <c r="U102" s="481" t="n"/>
      <c r="V102" s="481" t="n"/>
      <c r="W102" s="481" t="n"/>
      <c r="X102" s="481" t="n"/>
      <c r="Y102" s="481" t="n"/>
      <c r="Z102" s="481" t="n"/>
      <c r="AA102" s="481" t="n"/>
      <c r="AB102" s="481" t="n"/>
      <c r="AC102" s="481" t="n"/>
      <c r="AD102" s="481" t="n"/>
      <c r="AE102" s="481" t="n"/>
      <c r="AF102" s="481" t="n"/>
      <c r="AG102" s="481" t="n"/>
      <c r="AH102" s="481" t="n"/>
      <c r="AI102" s="481" t="n"/>
      <c r="AJ102" s="481" t="n"/>
      <c r="AK102" s="481" t="n"/>
      <c r="AL102" s="481" t="n"/>
      <c r="AM102" s="481" t="n"/>
      <c r="AN102" s="481" t="n"/>
      <c r="AO102" s="481" t="n"/>
      <c r="AP102" s="481" t="n"/>
      <c r="AQ102" s="481" t="n"/>
      <c r="AR102" s="481" t="n"/>
      <c r="AS102" s="481" t="n"/>
      <c r="AT102" s="481" t="n"/>
      <c r="AU102" s="481" t="n"/>
      <c r="AV102" s="481" t="n"/>
      <c r="AW102" s="481" t="n"/>
      <c r="AX102" s="481" t="n"/>
      <c r="AY102" s="481" t="n"/>
      <c r="AZ102" s="481" t="n"/>
      <c r="BA102" s="481" t="n"/>
      <c r="BB102" s="481" t="n"/>
      <c r="BC102" s="481" t="n"/>
      <c r="BD102" s="481" t="n"/>
      <c r="BE102" s="481" t="n"/>
      <c r="BF102" s="481" t="n"/>
      <c r="BG102" s="481" t="n"/>
      <c r="BH102" s="481" t="n"/>
      <c r="BI102" s="481" t="n"/>
      <c r="BJ102" s="481" t="n"/>
      <c r="BK102" s="481" t="n"/>
      <c r="BL102" s="481" t="n"/>
      <c r="BM102" s="481" t="n"/>
      <c r="BN102" s="481" t="n"/>
      <c r="BO102" s="481" t="n"/>
      <c r="BP102" s="481" t="n"/>
      <c r="BQ102" s="481" t="n"/>
      <c r="BR102" s="481" t="n"/>
      <c r="BS102" s="481" t="n"/>
      <c r="BT102" s="481" t="n"/>
      <c r="BU102" s="481" t="n"/>
      <c r="BV102" s="481" t="n"/>
      <c r="BW102" s="481" t="n"/>
      <c r="BX102" s="481" t="n"/>
      <c r="BY102" s="481" t="n"/>
      <c r="BZ102" s="481" t="n"/>
      <c r="CA102" s="481" t="n"/>
      <c r="CB102" s="481" t="n"/>
      <c r="CC102" s="481" t="n"/>
      <c r="CD102" s="481" t="n"/>
      <c r="CE102" s="481" t="n"/>
      <c r="CF102" s="481" t="n"/>
      <c r="CG102" s="481" t="n"/>
      <c r="CH102" s="481" t="n"/>
      <c r="CI102" s="481" t="n"/>
      <c r="CJ102" s="481" t="n"/>
      <c r="CK102" s="481" t="n"/>
      <c r="CL102" s="481" t="n"/>
      <c r="CM102" s="481" t="n"/>
      <c r="CN102" s="481" t="n"/>
      <c r="CO102" s="481" t="n"/>
      <c r="CP102" s="481" t="n"/>
      <c r="CQ102" s="481" t="n"/>
      <c r="CR102" s="481" t="n"/>
      <c r="CS102" s="481" t="n"/>
      <c r="CT102" s="481" t="n"/>
      <c r="CU102" s="481" t="n"/>
      <c r="CV102" s="481" t="n"/>
      <c r="CW102" s="481" t="n"/>
      <c r="CX102" s="481" t="n"/>
      <c r="CY102" s="481" t="n"/>
      <c r="CZ102" s="481" t="n"/>
      <c r="DA102" s="481" t="n"/>
      <c r="DB102" s="481" t="n"/>
      <c r="DC102" s="481" t="n"/>
      <c r="DD102" s="481" t="n"/>
      <c r="DE102" s="481" t="n"/>
      <c r="DF102" s="481" t="n"/>
      <c r="DG102" s="481" t="n"/>
      <c r="DH102" s="481" t="n"/>
      <c r="DI102" s="481" t="n"/>
      <c r="DJ102" s="481" t="n"/>
      <c r="DK102" s="481" t="n"/>
      <c r="DL102" s="481" t="n"/>
      <c r="DM102" s="481" t="n"/>
      <c r="DN102" s="481" t="n"/>
      <c r="DO102" s="481" t="n"/>
      <c r="DP102" s="481" t="n"/>
      <c r="DQ102" s="481" t="n"/>
      <c r="DR102" s="481" t="n"/>
      <c r="DS102" s="481" t="n"/>
      <c r="DT102" s="481" t="n"/>
      <c r="DU102" s="481" t="n"/>
      <c r="DV102" s="481" t="n"/>
      <c r="DW102" s="322" t="inlineStr">
        <is>
          <t>x</t>
        </is>
      </c>
    </row>
    <row r="103" hidden="1" outlineLevel="1" ht="17.25" customHeight="1" thickBot="1">
      <c r="C103" s="480">
        <f>"Total Distribution Per Tier I to "&amp;C86</f>
        <v/>
      </c>
      <c r="D103" s="480" t="n"/>
      <c r="E103" s="482" t="n">
        <v>-2077334.382751219</v>
      </c>
      <c r="F103" s="483">
        <f>-MAX(MIN(F101,F81*$D$126),0)</f>
        <v/>
      </c>
      <c r="G103" s="483">
        <f>-MAX(MIN(G101,G81*$D$126),0)</f>
        <v/>
      </c>
      <c r="H103" s="483">
        <f>-MAX(MIN(H101,H81*$D$126),0)</f>
        <v/>
      </c>
      <c r="I103" s="483">
        <f>-MAX(MIN(I101,I81*$D$126),0)</f>
        <v/>
      </c>
      <c r="J103" s="483">
        <f>-MAX(MIN(J101,J81*$D$126),0)</f>
        <v/>
      </c>
      <c r="K103" s="483">
        <f>-MAX(MIN(K101,K81*$D$126),0)</f>
        <v/>
      </c>
      <c r="L103" s="483">
        <f>-MAX(MIN(L101,L81*$D$126),0)</f>
        <v/>
      </c>
      <c r="M103" s="483">
        <f>-MAX(MIN(M101,M81*$D$126),0)</f>
        <v/>
      </c>
      <c r="N103" s="483">
        <f>-MAX(MIN(N101,N81*$D$126),0)</f>
        <v/>
      </c>
      <c r="O103" s="483">
        <f>-MAX(MIN(O101,O81*$D$126),0)</f>
        <v/>
      </c>
      <c r="P103" s="483">
        <f>-MAX(MIN(P101,P81*$D$126),0)</f>
        <v/>
      </c>
      <c r="Q103" s="483">
        <f>-MAX(MIN(Q101,Q81*$D$126),0)</f>
        <v/>
      </c>
      <c r="R103" s="483">
        <f>-MAX(MIN(R101,R81*$D$126),0)</f>
        <v/>
      </c>
      <c r="S103" s="483">
        <f>-MAX(MIN(S101,S81*$D$126),0)</f>
        <v/>
      </c>
      <c r="T103" s="483">
        <f>-MAX(MIN(T101,T81*$D$126),0)</f>
        <v/>
      </c>
      <c r="U103" s="483">
        <f>-MAX(MIN(U101,U81*$D$126),0)</f>
        <v/>
      </c>
      <c r="V103" s="483">
        <f>-MAX(MIN(V101,V81*$D$126),0)</f>
        <v/>
      </c>
      <c r="W103" s="483">
        <f>-MAX(MIN(W101,W81*$D$126),0)</f>
        <v/>
      </c>
      <c r="X103" s="483">
        <f>-MAX(MIN(X101,X81*$D$126),0)</f>
        <v/>
      </c>
      <c r="Y103" s="483">
        <f>-MAX(MIN(Y101,Y81*$D$126),0)</f>
        <v/>
      </c>
      <c r="Z103" s="483">
        <f>-MAX(MIN(Z101,Z81*$D$126),0)</f>
        <v/>
      </c>
      <c r="AA103" s="483">
        <f>-MAX(MIN(AA101,AA81*$D$126),0)</f>
        <v/>
      </c>
      <c r="AB103" s="483">
        <f>-MAX(MIN(AB101,AB81*$D$126),0)</f>
        <v/>
      </c>
      <c r="AC103" s="483">
        <f>-MAX(MIN(AC101,AC81*$D$126),0)</f>
        <v/>
      </c>
      <c r="AD103" s="483">
        <f>-MAX(MIN(AD101,AD81*$D$126),0)</f>
        <v/>
      </c>
      <c r="AE103" s="483">
        <f>-MAX(MIN(AE101,AE81*$D$126),0)</f>
        <v/>
      </c>
      <c r="AF103" s="483">
        <f>-MAX(MIN(AF101,AF81*$D$126),0)</f>
        <v/>
      </c>
      <c r="AG103" s="483">
        <f>-MAX(MIN(AG101,AG81*$D$126),0)</f>
        <v/>
      </c>
      <c r="AH103" s="483">
        <f>-MAX(MIN(AH101,AH81*$D$126),0)</f>
        <v/>
      </c>
      <c r="AI103" s="483">
        <f>-MAX(MIN(AI101,AI81*$D$126),0)</f>
        <v/>
      </c>
      <c r="AJ103" s="483">
        <f>-MAX(MIN(AJ101,AJ81*$D$126),0)</f>
        <v/>
      </c>
      <c r="AK103" s="483">
        <f>-MAX(MIN(AK101,AK81*$D$126),0)</f>
        <v/>
      </c>
      <c r="AL103" s="483">
        <f>-MAX(MIN(AL101,AL81*$D$126),0)</f>
        <v/>
      </c>
      <c r="AM103" s="483">
        <f>-MAX(MIN(AM101,AM81*$D$126),0)</f>
        <v/>
      </c>
      <c r="AN103" s="483">
        <f>-MAX(MIN(AN101,AN81*$D$126),0)</f>
        <v/>
      </c>
      <c r="AO103" s="483">
        <f>-MAX(MIN(AO101,AO81*$D$126),0)</f>
        <v/>
      </c>
      <c r="AP103" s="483">
        <f>-MAX(MIN(AP101,AP81*$D$126),0)</f>
        <v/>
      </c>
      <c r="AQ103" s="483">
        <f>-MAX(MIN(AQ101,AQ81*$D$126),0)</f>
        <v/>
      </c>
      <c r="AR103" s="483">
        <f>-MAX(MIN(AR101,AR81*$D$126),0)</f>
        <v/>
      </c>
      <c r="AS103" s="483">
        <f>-MAX(MIN(AS101,AS81*$D$126),0)</f>
        <v/>
      </c>
      <c r="AT103" s="483">
        <f>-MAX(MIN(AT101,AT81*$D$126),0)</f>
        <v/>
      </c>
      <c r="AU103" s="483">
        <f>-MAX(MIN(AU101,AU81*$D$126),0)</f>
        <v/>
      </c>
      <c r="AV103" s="483">
        <f>-MAX(MIN(AV101,AV81*$D$126),0)</f>
        <v/>
      </c>
      <c r="AW103" s="483">
        <f>-MAX(MIN(AW101,AW81*$D$126),0)</f>
        <v/>
      </c>
      <c r="AX103" s="483">
        <f>-MAX(MIN(AX101,AX81*$D$126),0)</f>
        <v/>
      </c>
      <c r="AY103" s="483">
        <f>-MAX(MIN(AY101,AY81*$D$126),0)</f>
        <v/>
      </c>
      <c r="AZ103" s="483">
        <f>-MAX(MIN(AZ101,AZ81*$D$126),0)</f>
        <v/>
      </c>
      <c r="BA103" s="483">
        <f>-MAX(MIN(BA101,BA81*$D$126),0)</f>
        <v/>
      </c>
      <c r="BB103" s="483">
        <f>-MAX(MIN(BB101,BB81*$D$126),0)</f>
        <v/>
      </c>
      <c r="BC103" s="483">
        <f>-MAX(MIN(BC101,BC81*$D$126),0)</f>
        <v/>
      </c>
      <c r="BD103" s="483">
        <f>-MAX(MIN(BD101,BD81*$D$126),0)</f>
        <v/>
      </c>
      <c r="BE103" s="483">
        <f>-MAX(MIN(BE101,BE81*$D$126),0)</f>
        <v/>
      </c>
      <c r="BF103" s="483">
        <f>-MAX(MIN(BF101,BF81*$D$126),0)</f>
        <v/>
      </c>
      <c r="BG103" s="483">
        <f>-MAX(MIN(BG101,BG81*$D$126),0)</f>
        <v/>
      </c>
      <c r="BH103" s="483">
        <f>-MAX(MIN(BH101,BH81*$D$126),0)</f>
        <v/>
      </c>
      <c r="BI103" s="483">
        <f>-MAX(MIN(BI101,BI81*$D$126),0)</f>
        <v/>
      </c>
      <c r="BJ103" s="483">
        <f>-MAX(MIN(BJ101,BJ81*$D$126),0)</f>
        <v/>
      </c>
      <c r="BK103" s="483">
        <f>-MAX(MIN(BK101,BK81*$D$126),0)</f>
        <v/>
      </c>
      <c r="BL103" s="483">
        <f>-MAX(MIN(BL101,BL81*$D$126),0)</f>
        <v/>
      </c>
      <c r="BM103" s="483">
        <f>-MAX(MIN(BM101,BM81*$D$126),0)</f>
        <v/>
      </c>
      <c r="BN103" s="483">
        <f>-MAX(MIN(BN101,BN81*$D$126),0)</f>
        <v/>
      </c>
      <c r="BO103" s="483">
        <f>-MAX(MIN(BO101,BO81*$D$126),0)</f>
        <v/>
      </c>
      <c r="BP103" s="483">
        <f>-MAX(MIN(BP101,BP81*$D$126),0)</f>
        <v/>
      </c>
      <c r="BQ103" s="483">
        <f>-MAX(MIN(BQ101,BQ81*$D$126),0)</f>
        <v/>
      </c>
      <c r="BR103" s="483">
        <f>-MAX(MIN(BR101,BR81*$D$126),0)</f>
        <v/>
      </c>
      <c r="BS103" s="483">
        <f>-MAX(MIN(BS101,BS81*$D$126),0)</f>
        <v/>
      </c>
      <c r="BT103" s="483">
        <f>-MAX(MIN(BT101,BT81*$D$126),0)</f>
        <v/>
      </c>
      <c r="BU103" s="483">
        <f>-MAX(MIN(BU101,BU81*$D$126),0)</f>
        <v/>
      </c>
      <c r="BV103" s="483">
        <f>-MAX(MIN(BV101,BV81*$D$126),0)</f>
        <v/>
      </c>
      <c r="BW103" s="483">
        <f>-MAX(MIN(BW101,BW81*$D$126),0)</f>
        <v/>
      </c>
      <c r="BX103" s="483">
        <f>-MAX(MIN(BX101,BX81*$D$126),0)</f>
        <v/>
      </c>
      <c r="BY103" s="483">
        <f>-MAX(MIN(BY101,BY81*$D$126),0)</f>
        <v/>
      </c>
      <c r="BZ103" s="483">
        <f>-MAX(MIN(BZ101,BZ81*$D$126),0)</f>
        <v/>
      </c>
      <c r="CA103" s="483">
        <f>-MAX(MIN(CA101,CA81*$D$126),0)</f>
        <v/>
      </c>
      <c r="CB103" s="483">
        <f>-MAX(MIN(CB101,CB81*$D$126),0)</f>
        <v/>
      </c>
      <c r="CC103" s="483">
        <f>-MAX(MIN(CC101,CC81*$D$126),0)</f>
        <v/>
      </c>
      <c r="CD103" s="483">
        <f>-MAX(MIN(CD101,CD81*$D$126),0)</f>
        <v/>
      </c>
      <c r="CE103" s="483">
        <f>-MAX(MIN(CE101,CE81*$D$126),0)</f>
        <v/>
      </c>
      <c r="CF103" s="483">
        <f>-MAX(MIN(CF101,CF81*$D$126),0)</f>
        <v/>
      </c>
      <c r="CG103" s="483">
        <f>-MAX(MIN(CG101,CG81*$D$126),0)</f>
        <v/>
      </c>
      <c r="CH103" s="483">
        <f>-MAX(MIN(CH101,CH81*$D$126),0)</f>
        <v/>
      </c>
      <c r="CI103" s="483">
        <f>-MAX(MIN(CI101,CI81*$D$126),0)</f>
        <v/>
      </c>
      <c r="CJ103" s="483">
        <f>-MAX(MIN(CJ101,CJ81*$D$126),0)</f>
        <v/>
      </c>
      <c r="CK103" s="483">
        <f>-MAX(MIN(CK101,CK81*$D$126),0)</f>
        <v/>
      </c>
      <c r="CL103" s="483">
        <f>-MAX(MIN(CL101,CL81*$D$126),0)</f>
        <v/>
      </c>
      <c r="CM103" s="483">
        <f>-MAX(MIN(CM101,CM81*$D$126),0)</f>
        <v/>
      </c>
      <c r="CN103" s="483">
        <f>-MAX(MIN(CN101,CN81*$D$126),0)</f>
        <v/>
      </c>
      <c r="CO103" s="483">
        <f>-MAX(MIN(CO101,CO81*$D$126),0)</f>
        <v/>
      </c>
      <c r="CP103" s="483">
        <f>-MAX(MIN(CP101,CP81*$D$126),0)</f>
        <v/>
      </c>
      <c r="CQ103" s="483">
        <f>-MAX(MIN(CQ101,CQ81*$D$126),0)</f>
        <v/>
      </c>
      <c r="CR103" s="483">
        <f>-MAX(MIN(CR101,CR81*$D$126),0)</f>
        <v/>
      </c>
      <c r="CS103" s="483">
        <f>-MAX(MIN(CS101,CS81*$D$126),0)</f>
        <v/>
      </c>
      <c r="CT103" s="483">
        <f>-MAX(MIN(CT101,CT81*$D$126),0)</f>
        <v/>
      </c>
      <c r="CU103" s="483">
        <f>-MAX(MIN(CU101,CU81*$D$126),0)</f>
        <v/>
      </c>
      <c r="CV103" s="483">
        <f>-MAX(MIN(CV101,CV81*$D$126),0)</f>
        <v/>
      </c>
      <c r="CW103" s="483">
        <f>-MAX(MIN(CW101,CW81*$D$126),0)</f>
        <v/>
      </c>
      <c r="CX103" s="483">
        <f>-MAX(MIN(CX101,CX81*$D$126),0)</f>
        <v/>
      </c>
      <c r="CY103" s="483">
        <f>-MAX(MIN(CY101,CY81*$D$126),0)</f>
        <v/>
      </c>
      <c r="CZ103" s="483">
        <f>-MAX(MIN(CZ101,CZ81*$D$126),0)</f>
        <v/>
      </c>
      <c r="DA103" s="483">
        <f>-MAX(MIN(DA101,DA81*$D$126),0)</f>
        <v/>
      </c>
      <c r="DB103" s="483">
        <f>-MAX(MIN(DB101,DB81*$D$126),0)</f>
        <v/>
      </c>
      <c r="DC103" s="483">
        <f>-MAX(MIN(DC101,DC81*$D$126),0)</f>
        <v/>
      </c>
      <c r="DD103" s="483">
        <f>-MAX(MIN(DD101,DD81*$D$126),0)</f>
        <v/>
      </c>
      <c r="DE103" s="483">
        <f>-MAX(MIN(DE101,DE81*$D$126),0)</f>
        <v/>
      </c>
      <c r="DF103" s="483">
        <f>-MAX(MIN(DF101,DF81*$D$126),0)</f>
        <v/>
      </c>
      <c r="DG103" s="483">
        <f>-MAX(MIN(DG101,DG81*$D$126),0)</f>
        <v/>
      </c>
      <c r="DH103" s="483">
        <f>-MAX(MIN(DH101,DH81*$D$126),0)</f>
        <v/>
      </c>
      <c r="DI103" s="483">
        <f>-MAX(MIN(DI101,DI81*$D$126),0)</f>
        <v/>
      </c>
      <c r="DJ103" s="483">
        <f>-MAX(MIN(DJ101,DJ81*$D$126),0)</f>
        <v/>
      </c>
      <c r="DK103" s="483">
        <f>-MAX(MIN(DK101,DK81*$D$126),0)</f>
        <v/>
      </c>
      <c r="DL103" s="483">
        <f>-MAX(MIN(DL101,DL81*$D$126),0)</f>
        <v/>
      </c>
      <c r="DM103" s="483">
        <f>-MAX(MIN(DM101,DM81*$D$126),0)</f>
        <v/>
      </c>
      <c r="DN103" s="483">
        <f>-MAX(MIN(DN101,DN81*$D$126),0)</f>
        <v/>
      </c>
      <c r="DO103" s="483">
        <f>-MAX(MIN(DO101,DO81*$D$126),0)</f>
        <v/>
      </c>
      <c r="DP103" s="483">
        <f>-MAX(MIN(DP101,DP81*$D$126),0)</f>
        <v/>
      </c>
      <c r="DQ103" s="483">
        <f>-MAX(MIN(DQ101,DQ81*$D$126),0)</f>
        <v/>
      </c>
      <c r="DR103" s="483">
        <f>-MAX(MIN(DR101,DR81*$D$126),0)</f>
        <v/>
      </c>
      <c r="DS103" s="483">
        <f>-MAX(MIN(DS101,DS81*$D$126),0)</f>
        <v/>
      </c>
      <c r="DT103" s="483">
        <f>-MAX(MIN(DT101,DT81*$D$126),0)</f>
        <v/>
      </c>
      <c r="DU103" s="483">
        <f>-MAX(MIN(DU101,DU81*$D$126),0)</f>
        <v/>
      </c>
      <c r="DV103" s="483">
        <f>-MAX(MIN(DV101,DV81*$D$126),0)</f>
        <v/>
      </c>
      <c r="DW103" s="322" t="inlineStr">
        <is>
          <t>x</t>
        </is>
      </c>
    </row>
    <row r="104" hidden="1" outlineLevel="1" ht="17.25" customHeight="1" thickTop="1">
      <c r="C104" s="365" t="n"/>
      <c r="D104" s="365" t="n"/>
      <c r="E104" s="484" t="n"/>
      <c r="F104" s="374" t="n"/>
      <c r="G104" s="374" t="n"/>
      <c r="H104" s="463" t="n"/>
      <c r="I104" s="463" t="n"/>
      <c r="J104" s="463" t="n"/>
      <c r="K104" s="463" t="n"/>
      <c r="L104" s="463" t="n"/>
      <c r="M104" s="463" t="n"/>
      <c r="N104" s="463" t="n"/>
      <c r="O104" s="463" t="n"/>
      <c r="P104" s="463" t="n"/>
      <c r="Q104" s="463" t="n"/>
      <c r="R104" s="463" t="n"/>
      <c r="S104" s="463" t="n"/>
      <c r="T104" s="463" t="n"/>
      <c r="U104" s="463" t="n"/>
      <c r="V104" s="463" t="n"/>
      <c r="W104" s="463" t="n"/>
      <c r="X104" s="463" t="n"/>
      <c r="Y104" s="463" t="n"/>
      <c r="Z104" s="463" t="n"/>
      <c r="AA104" s="463" t="n"/>
      <c r="AB104" s="463" t="n"/>
      <c r="AC104" s="463" t="n"/>
      <c r="AD104" s="463" t="n"/>
      <c r="AE104" s="463" t="n"/>
      <c r="AF104" s="463" t="n"/>
      <c r="AG104" s="463" t="n"/>
      <c r="AH104" s="463" t="n"/>
      <c r="AI104" s="463" t="n"/>
      <c r="AJ104" s="463" t="n"/>
      <c r="AK104" s="463" t="n"/>
      <c r="AL104" s="463" t="n"/>
      <c r="AM104" s="463" t="n"/>
      <c r="AN104" s="463" t="n"/>
      <c r="AO104" s="463" t="n"/>
      <c r="AP104" s="463" t="n"/>
      <c r="AQ104" s="463" t="n"/>
      <c r="AR104" s="463" t="n"/>
      <c r="AS104" s="463" t="n"/>
      <c r="AT104" s="463" t="n"/>
      <c r="AU104" s="463" t="n"/>
      <c r="AV104" s="463" t="n"/>
      <c r="AW104" s="463" t="n"/>
      <c r="AX104" s="463" t="n"/>
      <c r="AY104" s="463" t="n"/>
      <c r="AZ104" s="463" t="n"/>
      <c r="BA104" s="463" t="n"/>
      <c r="BB104" s="463" t="n"/>
      <c r="BC104" s="463" t="n"/>
      <c r="BD104" s="463" t="n"/>
      <c r="BE104" s="463" t="n"/>
      <c r="BF104" s="463" t="n"/>
      <c r="BG104" s="463" t="n"/>
      <c r="BH104" s="463" t="n"/>
      <c r="BI104" s="463" t="n"/>
      <c r="BJ104" s="463" t="n"/>
      <c r="BK104" s="463" t="n"/>
      <c r="BL104" s="463" t="n"/>
      <c r="BM104" s="463" t="n"/>
      <c r="BN104" s="463" t="n"/>
      <c r="BO104" s="463" t="n"/>
      <c r="BP104" s="463" t="n"/>
      <c r="BQ104" s="463" t="n"/>
      <c r="BR104" s="463" t="n"/>
      <c r="BS104" s="463" t="n"/>
      <c r="BT104" s="463" t="n"/>
      <c r="BU104" s="463" t="n"/>
      <c r="BV104" s="463" t="n"/>
      <c r="BW104" s="463" t="n"/>
      <c r="BX104" s="463" t="n"/>
      <c r="BY104" s="463" t="n"/>
      <c r="BZ104" s="463" t="n"/>
      <c r="CA104" s="463" t="n"/>
      <c r="CB104" s="463" t="n"/>
      <c r="CC104" s="463" t="n"/>
      <c r="CD104" s="463" t="n"/>
      <c r="CE104" s="463" t="n"/>
      <c r="CF104" s="463" t="n"/>
      <c r="CG104" s="463" t="n"/>
      <c r="CH104" s="463" t="n"/>
      <c r="CI104" s="463" t="n"/>
      <c r="CJ104" s="463" t="n"/>
      <c r="CK104" s="463" t="n"/>
      <c r="CL104" s="463" t="n"/>
      <c r="CM104" s="463" t="n"/>
      <c r="CN104" s="463" t="n"/>
      <c r="CO104" s="463" t="n"/>
      <c r="CP104" s="463" t="n"/>
      <c r="CQ104" s="463" t="n"/>
      <c r="CR104" s="463" t="n"/>
      <c r="CS104" s="463" t="n"/>
      <c r="CT104" s="463" t="n"/>
      <c r="CU104" s="463" t="n"/>
      <c r="CV104" s="463" t="n"/>
      <c r="CW104" s="463" t="n"/>
      <c r="CX104" s="463" t="n"/>
      <c r="CY104" s="463" t="n"/>
      <c r="CZ104" s="463" t="n"/>
      <c r="DA104" s="463" t="n"/>
      <c r="DB104" s="463" t="n"/>
      <c r="DC104" s="463" t="n"/>
      <c r="DD104" s="463" t="n"/>
      <c r="DE104" s="463" t="n"/>
      <c r="DF104" s="463" t="n"/>
      <c r="DG104" s="463" t="n"/>
      <c r="DH104" s="463" t="n"/>
      <c r="DI104" s="463" t="n"/>
      <c r="DJ104" s="463" t="n"/>
      <c r="DK104" s="463" t="n"/>
      <c r="DL104" s="463" t="n"/>
      <c r="DM104" s="463" t="n"/>
      <c r="DN104" s="463" t="n"/>
      <c r="DO104" s="463" t="n"/>
      <c r="DP104" s="463" t="n"/>
      <c r="DQ104" s="463" t="n"/>
      <c r="DR104" s="463" t="n"/>
      <c r="DS104" s="463" t="n"/>
      <c r="DT104" s="463" t="n"/>
      <c r="DU104" s="463" t="n"/>
      <c r="DV104" s="463" t="n"/>
      <c r="DW104" s="322" t="inlineStr">
        <is>
          <t>x</t>
        </is>
      </c>
    </row>
    <row r="105" hidden="1" outlineLevel="1">
      <c r="C105" s="382" t="inlineStr">
        <is>
          <t>Tier I IRR Hurdle</t>
        </is>
      </c>
      <c r="D105" s="382" t="n"/>
      <c r="E105" s="676" t="n"/>
      <c r="F105" s="460" t="n"/>
      <c r="G105" s="677" t="n"/>
      <c r="H105" s="677" t="n"/>
      <c r="I105" s="677" t="n"/>
      <c r="J105" s="677" t="n"/>
      <c r="K105" s="677" t="n"/>
      <c r="L105" s="677" t="n"/>
      <c r="M105" s="677" t="n"/>
      <c r="N105" s="677" t="n"/>
      <c r="O105" s="677" t="n"/>
      <c r="P105" s="677" t="n"/>
      <c r="Q105" s="677" t="n"/>
      <c r="R105" s="677" t="n"/>
      <c r="S105" s="677" t="n"/>
      <c r="T105" s="677" t="n"/>
      <c r="U105" s="677" t="n"/>
      <c r="V105" s="677" t="n"/>
      <c r="W105" s="677" t="n"/>
      <c r="X105" s="677" t="n"/>
      <c r="Y105" s="677" t="n"/>
      <c r="Z105" s="677" t="n"/>
      <c r="AA105" s="677" t="n"/>
      <c r="AB105" s="677" t="n"/>
      <c r="AC105" s="677" t="n"/>
      <c r="AD105" s="677" t="n"/>
      <c r="AE105" s="677" t="n"/>
      <c r="AF105" s="677" t="n"/>
      <c r="AG105" s="677" t="n"/>
      <c r="AH105" s="677" t="n"/>
      <c r="AI105" s="677" t="n"/>
      <c r="AJ105" s="677" t="n"/>
      <c r="AK105" s="677" t="n"/>
      <c r="AL105" s="677" t="n"/>
      <c r="AM105" s="677" t="n"/>
      <c r="AN105" s="677" t="n"/>
      <c r="AO105" s="677" t="n"/>
      <c r="AP105" s="677" t="n"/>
      <c r="AQ105" s="677" t="n"/>
      <c r="AR105" s="677" t="n"/>
      <c r="AS105" s="677" t="n"/>
      <c r="AT105" s="677" t="n"/>
      <c r="AU105" s="677" t="n"/>
      <c r="AV105" s="677" t="n"/>
      <c r="AW105" s="677" t="n"/>
      <c r="AX105" s="677" t="n"/>
      <c r="AY105" s="677" t="n"/>
      <c r="AZ105" s="677" t="n"/>
      <c r="BA105" s="677" t="n"/>
      <c r="BB105" s="677" t="n"/>
      <c r="BC105" s="677" t="n"/>
      <c r="BD105" s="677" t="n"/>
      <c r="BE105" s="677" t="n"/>
      <c r="BF105" s="677" t="n"/>
      <c r="BG105" s="677" t="n"/>
      <c r="BH105" s="677" t="n"/>
      <c r="BI105" s="677" t="n"/>
      <c r="BJ105" s="677" t="n"/>
      <c r="BK105" s="677" t="n"/>
      <c r="BL105" s="677" t="n"/>
      <c r="BM105" s="677" t="n"/>
      <c r="BN105" s="677" t="n"/>
      <c r="BO105" s="677" t="n"/>
      <c r="BP105" s="677" t="n"/>
      <c r="BQ105" s="677" t="n"/>
      <c r="BR105" s="677" t="n"/>
      <c r="BS105" s="677" t="n"/>
      <c r="BT105" s="677" t="n"/>
      <c r="BU105" s="677" t="n"/>
      <c r="BV105" s="677" t="n"/>
      <c r="BW105" s="677" t="n"/>
      <c r="BX105" s="677" t="n"/>
      <c r="BY105" s="677" t="n"/>
      <c r="BZ105" s="677" t="n"/>
      <c r="CA105" s="677" t="n"/>
      <c r="CB105" s="677" t="n"/>
      <c r="CC105" s="677" t="n"/>
      <c r="CD105" s="677" t="n"/>
      <c r="CE105" s="677" t="n"/>
      <c r="CF105" s="677" t="n"/>
      <c r="CG105" s="677" t="n"/>
      <c r="CH105" s="677" t="n"/>
      <c r="CI105" s="677" t="n"/>
      <c r="CJ105" s="677" t="n"/>
      <c r="CK105" s="677" t="n"/>
      <c r="CL105" s="677" t="n"/>
      <c r="CM105" s="677" t="n"/>
      <c r="CN105" s="677" t="n"/>
      <c r="CO105" s="677" t="n"/>
      <c r="CP105" s="677" t="n"/>
      <c r="CQ105" s="677" t="n"/>
      <c r="CR105" s="677" t="n"/>
      <c r="CS105" s="677" t="n"/>
      <c r="CT105" s="677" t="n"/>
      <c r="CU105" s="677" t="n"/>
      <c r="CV105" s="677" t="n"/>
      <c r="CW105" s="677" t="n"/>
      <c r="CX105" s="677" t="n"/>
      <c r="CY105" s="677" t="n"/>
      <c r="CZ105" s="677" t="n"/>
      <c r="DA105" s="677" t="n"/>
      <c r="DB105" s="677" t="n"/>
      <c r="DC105" s="677" t="n"/>
      <c r="DD105" s="677" t="n"/>
      <c r="DE105" s="677" t="n"/>
      <c r="DF105" s="677" t="n"/>
      <c r="DG105" s="677" t="n"/>
      <c r="DH105" s="677" t="n"/>
      <c r="DI105" s="677" t="n"/>
      <c r="DJ105" s="677" t="n"/>
      <c r="DK105" s="677" t="n"/>
      <c r="DL105" s="677" t="n"/>
      <c r="DM105" s="677" t="n"/>
      <c r="DN105" s="677" t="n"/>
      <c r="DO105" s="677" t="n"/>
      <c r="DP105" s="677" t="n"/>
      <c r="DQ105" s="677" t="n"/>
      <c r="DR105" s="677" t="n"/>
      <c r="DS105" s="677" t="n"/>
      <c r="DT105" s="677" t="n"/>
      <c r="DU105" s="677" t="n"/>
      <c r="DV105" s="677" t="n"/>
      <c r="DW105" s="322" t="inlineStr">
        <is>
          <t>x</t>
        </is>
      </c>
    </row>
    <row r="106" hidden="1" outlineLevel="1">
      <c r="C106" s="462">
        <f>I37</f>
        <v/>
      </c>
      <c r="D106" s="365" t="n"/>
      <c r="E106" s="484" t="n"/>
      <c r="F106" s="374" t="n"/>
      <c r="G106" s="374" t="n"/>
      <c r="H106" s="463" t="n"/>
      <c r="I106" s="463" t="n"/>
      <c r="J106" s="463" t="n"/>
      <c r="K106" s="463" t="n"/>
      <c r="L106" s="463" t="n"/>
      <c r="M106" s="463" t="n"/>
      <c r="N106" s="463" t="n"/>
      <c r="O106" s="463" t="n"/>
      <c r="P106" s="463" t="n"/>
      <c r="Q106" s="463" t="n"/>
      <c r="R106" s="463" t="n"/>
      <c r="S106" s="463" t="n"/>
      <c r="T106" s="463" t="n"/>
      <c r="U106" s="463" t="n"/>
      <c r="V106" s="463" t="n"/>
      <c r="W106" s="463" t="n"/>
      <c r="X106" s="463" t="n"/>
      <c r="Y106" s="463" t="n"/>
      <c r="Z106" s="463" t="n"/>
      <c r="AA106" s="463" t="n"/>
      <c r="AB106" s="463" t="n"/>
      <c r="AC106" s="463" t="n"/>
      <c r="AD106" s="463" t="n"/>
      <c r="AE106" s="463" t="n"/>
      <c r="AF106" s="463" t="n"/>
      <c r="AG106" s="463" t="n"/>
      <c r="AH106" s="463" t="n"/>
      <c r="AI106" s="463" t="n"/>
      <c r="AJ106" s="463" t="n"/>
      <c r="AK106" s="463" t="n"/>
      <c r="AL106" s="463" t="n"/>
      <c r="AM106" s="463" t="n"/>
      <c r="AN106" s="463" t="n"/>
      <c r="AO106" s="463" t="n"/>
      <c r="AP106" s="463" t="n"/>
      <c r="AQ106" s="463" t="n"/>
      <c r="AR106" s="463" t="n"/>
      <c r="AS106" s="463" t="n"/>
      <c r="AT106" s="463" t="n"/>
      <c r="AU106" s="463" t="n"/>
      <c r="AV106" s="463" t="n"/>
      <c r="AW106" s="463" t="n"/>
      <c r="AX106" s="463" t="n"/>
      <c r="AY106" s="463" t="n"/>
      <c r="AZ106" s="463" t="n"/>
      <c r="BA106" s="463" t="n"/>
      <c r="BB106" s="463" t="n"/>
      <c r="BC106" s="463" t="n"/>
      <c r="BD106" s="463" t="n"/>
      <c r="BE106" s="463" t="n"/>
      <c r="BF106" s="463" t="n"/>
      <c r="BG106" s="463" t="n"/>
      <c r="BH106" s="463" t="n"/>
      <c r="BI106" s="463" t="n"/>
      <c r="BJ106" s="463" t="n"/>
      <c r="BK106" s="463" t="n"/>
      <c r="BL106" s="463" t="n"/>
      <c r="BM106" s="463" t="n"/>
      <c r="BN106" s="463" t="n"/>
      <c r="BO106" s="463" t="n"/>
      <c r="BP106" s="463" t="n"/>
      <c r="BQ106" s="463" t="n"/>
      <c r="BR106" s="463" t="n"/>
      <c r="BS106" s="463" t="n"/>
      <c r="BT106" s="463" t="n"/>
      <c r="BU106" s="463" t="n"/>
      <c r="BV106" s="463" t="n"/>
      <c r="BW106" s="463" t="n"/>
      <c r="BX106" s="463" t="n"/>
      <c r="BY106" s="463" t="n"/>
      <c r="BZ106" s="463" t="n"/>
      <c r="CA106" s="463" t="n"/>
      <c r="CB106" s="463" t="n"/>
      <c r="CC106" s="463" t="n"/>
      <c r="CD106" s="463" t="n"/>
      <c r="CE106" s="463" t="n"/>
      <c r="CF106" s="463" t="n"/>
      <c r="CG106" s="463" t="n"/>
      <c r="CH106" s="463" t="n"/>
      <c r="CI106" s="463" t="n"/>
      <c r="CJ106" s="463" t="n"/>
      <c r="CK106" s="463" t="n"/>
      <c r="CL106" s="463" t="n"/>
      <c r="CM106" s="463" t="n"/>
      <c r="CN106" s="463" t="n"/>
      <c r="CO106" s="463" t="n"/>
      <c r="CP106" s="463" t="n"/>
      <c r="CQ106" s="463" t="n"/>
      <c r="CR106" s="463" t="n"/>
      <c r="CS106" s="463" t="n"/>
      <c r="CT106" s="463" t="n"/>
      <c r="CU106" s="463" t="n"/>
      <c r="CV106" s="463" t="n"/>
      <c r="CW106" s="463" t="n"/>
      <c r="CX106" s="463" t="n"/>
      <c r="CY106" s="463" t="n"/>
      <c r="CZ106" s="463" t="n"/>
      <c r="DA106" s="463" t="n"/>
      <c r="DB106" s="463" t="n"/>
      <c r="DC106" s="463" t="n"/>
      <c r="DD106" s="463" t="n"/>
      <c r="DE106" s="463" t="n"/>
      <c r="DF106" s="463" t="n"/>
      <c r="DG106" s="463" t="n"/>
      <c r="DH106" s="463" t="n"/>
      <c r="DI106" s="463" t="n"/>
      <c r="DJ106" s="463" t="n"/>
      <c r="DK106" s="463" t="n"/>
      <c r="DL106" s="463" t="n"/>
      <c r="DM106" s="463" t="n"/>
      <c r="DN106" s="463" t="n"/>
      <c r="DO106" s="463" t="n"/>
      <c r="DP106" s="463" t="n"/>
      <c r="DQ106" s="463" t="n"/>
      <c r="DR106" s="463" t="n"/>
      <c r="DS106" s="463" t="n"/>
      <c r="DT106" s="463" t="n"/>
      <c r="DU106" s="463" t="n"/>
      <c r="DV106" s="463" t="n"/>
      <c r="DW106" s="322" t="inlineStr">
        <is>
          <t>x</t>
        </is>
      </c>
    </row>
    <row r="107" hidden="1" outlineLevel="1">
      <c r="C107" s="374" t="inlineStr">
        <is>
          <t>Beginning Balance</t>
        </is>
      </c>
      <c r="D107" s="484" t="n"/>
      <c r="E107" s="463" t="n"/>
      <c r="F107" s="679" t="n">
        <v>0</v>
      </c>
      <c r="G107" s="655">
        <f>F111</f>
        <v/>
      </c>
      <c r="H107" s="680">
        <f>G111</f>
        <v/>
      </c>
      <c r="I107" s="680">
        <f>H111</f>
        <v/>
      </c>
      <c r="J107" s="680">
        <f>I111</f>
        <v/>
      </c>
      <c r="K107" s="680">
        <f>J111</f>
        <v/>
      </c>
      <c r="L107" s="680">
        <f>K111</f>
        <v/>
      </c>
      <c r="M107" s="680">
        <f>L111</f>
        <v/>
      </c>
      <c r="N107" s="680">
        <f>M111</f>
        <v/>
      </c>
      <c r="O107" s="680">
        <f>N111</f>
        <v/>
      </c>
      <c r="P107" s="680">
        <f>O111</f>
        <v/>
      </c>
      <c r="Q107" s="680">
        <f>P111</f>
        <v/>
      </c>
      <c r="R107" s="680">
        <f>Q111</f>
        <v/>
      </c>
      <c r="S107" s="680">
        <f>R111</f>
        <v/>
      </c>
      <c r="T107" s="680">
        <f>S111</f>
        <v/>
      </c>
      <c r="U107" s="680">
        <f>T111</f>
        <v/>
      </c>
      <c r="V107" s="680">
        <f>U111</f>
        <v/>
      </c>
      <c r="W107" s="680">
        <f>V111</f>
        <v/>
      </c>
      <c r="X107" s="680">
        <f>W111</f>
        <v/>
      </c>
      <c r="Y107" s="680">
        <f>X111</f>
        <v/>
      </c>
      <c r="Z107" s="680">
        <f>Y111</f>
        <v/>
      </c>
      <c r="AA107" s="680">
        <f>Z111</f>
        <v/>
      </c>
      <c r="AB107" s="680">
        <f>AA111</f>
        <v/>
      </c>
      <c r="AC107" s="680">
        <f>AB111</f>
        <v/>
      </c>
      <c r="AD107" s="680">
        <f>AC111</f>
        <v/>
      </c>
      <c r="AE107" s="680">
        <f>AD111</f>
        <v/>
      </c>
      <c r="AF107" s="680">
        <f>AE111</f>
        <v/>
      </c>
      <c r="AG107" s="680">
        <f>AF111</f>
        <v/>
      </c>
      <c r="AH107" s="680">
        <f>AG111</f>
        <v/>
      </c>
      <c r="AI107" s="680">
        <f>AH111</f>
        <v/>
      </c>
      <c r="AJ107" s="680">
        <f>AI111</f>
        <v/>
      </c>
      <c r="AK107" s="680">
        <f>AJ111</f>
        <v/>
      </c>
      <c r="AL107" s="680">
        <f>AK111</f>
        <v/>
      </c>
      <c r="AM107" s="680">
        <f>AL111</f>
        <v/>
      </c>
      <c r="AN107" s="680">
        <f>AM111</f>
        <v/>
      </c>
      <c r="AO107" s="680">
        <f>AN111</f>
        <v/>
      </c>
      <c r="AP107" s="680">
        <f>AO111</f>
        <v/>
      </c>
      <c r="AQ107" s="680">
        <f>AP111</f>
        <v/>
      </c>
      <c r="AR107" s="680">
        <f>AQ111</f>
        <v/>
      </c>
      <c r="AS107" s="680">
        <f>AR111</f>
        <v/>
      </c>
      <c r="AT107" s="680">
        <f>AS111</f>
        <v/>
      </c>
      <c r="AU107" s="680">
        <f>AT111</f>
        <v/>
      </c>
      <c r="AV107" s="680">
        <f>AU111</f>
        <v/>
      </c>
      <c r="AW107" s="680">
        <f>AV111</f>
        <v/>
      </c>
      <c r="AX107" s="680">
        <f>AW111</f>
        <v/>
      </c>
      <c r="AY107" s="680">
        <f>AX111</f>
        <v/>
      </c>
      <c r="AZ107" s="680">
        <f>AY111</f>
        <v/>
      </c>
      <c r="BA107" s="680">
        <f>AZ111</f>
        <v/>
      </c>
      <c r="BB107" s="680">
        <f>BA111</f>
        <v/>
      </c>
      <c r="BC107" s="680">
        <f>BB111</f>
        <v/>
      </c>
      <c r="BD107" s="680">
        <f>BC111</f>
        <v/>
      </c>
      <c r="BE107" s="680">
        <f>BD111</f>
        <v/>
      </c>
      <c r="BF107" s="680">
        <f>BE111</f>
        <v/>
      </c>
      <c r="BG107" s="680">
        <f>BF111</f>
        <v/>
      </c>
      <c r="BH107" s="680">
        <f>BG111</f>
        <v/>
      </c>
      <c r="BI107" s="680">
        <f>BH111</f>
        <v/>
      </c>
      <c r="BJ107" s="680">
        <f>BI111</f>
        <v/>
      </c>
      <c r="BK107" s="680">
        <f>BJ111</f>
        <v/>
      </c>
      <c r="BL107" s="680">
        <f>BK111</f>
        <v/>
      </c>
      <c r="BM107" s="680">
        <f>BL111</f>
        <v/>
      </c>
      <c r="BN107" s="680">
        <f>BM111</f>
        <v/>
      </c>
      <c r="BO107" s="680">
        <f>BN111</f>
        <v/>
      </c>
      <c r="BP107" s="680">
        <f>BO111</f>
        <v/>
      </c>
      <c r="BQ107" s="680">
        <f>BP111</f>
        <v/>
      </c>
      <c r="BR107" s="680">
        <f>BQ111</f>
        <v/>
      </c>
      <c r="BS107" s="680">
        <f>BR111</f>
        <v/>
      </c>
      <c r="BT107" s="680">
        <f>BS111</f>
        <v/>
      </c>
      <c r="BU107" s="680">
        <f>BT111</f>
        <v/>
      </c>
      <c r="BV107" s="680">
        <f>BU111</f>
        <v/>
      </c>
      <c r="BW107" s="680">
        <f>BV111</f>
        <v/>
      </c>
      <c r="BX107" s="680">
        <f>BW111</f>
        <v/>
      </c>
      <c r="BY107" s="680">
        <f>BX111</f>
        <v/>
      </c>
      <c r="BZ107" s="680">
        <f>BY111</f>
        <v/>
      </c>
      <c r="CA107" s="680">
        <f>BZ111</f>
        <v/>
      </c>
      <c r="CB107" s="680">
        <f>CA111</f>
        <v/>
      </c>
      <c r="CC107" s="680">
        <f>CB111</f>
        <v/>
      </c>
      <c r="CD107" s="680">
        <f>CC111</f>
        <v/>
      </c>
      <c r="CE107" s="680">
        <f>CD111</f>
        <v/>
      </c>
      <c r="CF107" s="680">
        <f>CE111</f>
        <v/>
      </c>
      <c r="CG107" s="680">
        <f>CF111</f>
        <v/>
      </c>
      <c r="CH107" s="680">
        <f>CG111</f>
        <v/>
      </c>
      <c r="CI107" s="680">
        <f>CH111</f>
        <v/>
      </c>
      <c r="CJ107" s="680">
        <f>CI111</f>
        <v/>
      </c>
      <c r="CK107" s="680">
        <f>CJ111</f>
        <v/>
      </c>
      <c r="CL107" s="680">
        <f>CK111</f>
        <v/>
      </c>
      <c r="CM107" s="680">
        <f>CL111</f>
        <v/>
      </c>
      <c r="CN107" s="680">
        <f>CM111</f>
        <v/>
      </c>
      <c r="CO107" s="680">
        <f>CN111</f>
        <v/>
      </c>
      <c r="CP107" s="680">
        <f>CO111</f>
        <v/>
      </c>
      <c r="CQ107" s="680">
        <f>CP111</f>
        <v/>
      </c>
      <c r="CR107" s="680">
        <f>CQ111</f>
        <v/>
      </c>
      <c r="CS107" s="680">
        <f>CR111</f>
        <v/>
      </c>
      <c r="CT107" s="680">
        <f>CS111</f>
        <v/>
      </c>
      <c r="CU107" s="680">
        <f>CT111</f>
        <v/>
      </c>
      <c r="CV107" s="680">
        <f>CU111</f>
        <v/>
      </c>
      <c r="CW107" s="680">
        <f>CV111</f>
        <v/>
      </c>
      <c r="CX107" s="680">
        <f>CW111</f>
        <v/>
      </c>
      <c r="CY107" s="680">
        <f>CX111</f>
        <v/>
      </c>
      <c r="CZ107" s="680">
        <f>CY111</f>
        <v/>
      </c>
      <c r="DA107" s="680">
        <f>CZ111</f>
        <v/>
      </c>
      <c r="DB107" s="680">
        <f>DA111</f>
        <v/>
      </c>
      <c r="DC107" s="680">
        <f>DB111</f>
        <v/>
      </c>
      <c r="DD107" s="680">
        <f>DC111</f>
        <v/>
      </c>
      <c r="DE107" s="680">
        <f>DD111</f>
        <v/>
      </c>
      <c r="DF107" s="680">
        <f>DE111</f>
        <v/>
      </c>
      <c r="DG107" s="680">
        <f>DF111</f>
        <v/>
      </c>
      <c r="DH107" s="680">
        <f>DG111</f>
        <v/>
      </c>
      <c r="DI107" s="680">
        <f>DH111</f>
        <v/>
      </c>
      <c r="DJ107" s="680">
        <f>DI111</f>
        <v/>
      </c>
      <c r="DK107" s="680">
        <f>DJ111</f>
        <v/>
      </c>
      <c r="DL107" s="680">
        <f>DK111</f>
        <v/>
      </c>
      <c r="DM107" s="680">
        <f>DL111</f>
        <v/>
      </c>
      <c r="DN107" s="680">
        <f>DM111</f>
        <v/>
      </c>
      <c r="DO107" s="680">
        <f>DN111</f>
        <v/>
      </c>
      <c r="DP107" s="680">
        <f>DO111</f>
        <v/>
      </c>
      <c r="DQ107" s="680">
        <f>DP111</f>
        <v/>
      </c>
      <c r="DR107" s="680">
        <f>DQ111</f>
        <v/>
      </c>
      <c r="DS107" s="680">
        <f>DR111</f>
        <v/>
      </c>
      <c r="DT107" s="680">
        <f>DS111</f>
        <v/>
      </c>
      <c r="DU107" s="680">
        <f>DT111</f>
        <v/>
      </c>
      <c r="DV107" s="680">
        <f>DU111</f>
        <v/>
      </c>
      <c r="DW107" s="322" t="inlineStr">
        <is>
          <t>x</t>
        </is>
      </c>
    </row>
    <row r="108" hidden="1" outlineLevel="1">
      <c r="C108" s="374" t="inlineStr">
        <is>
          <t>Injections</t>
        </is>
      </c>
      <c r="D108" s="478" t="n"/>
      <c r="E108" s="681">
        <f>SUM(F108:DV108)</f>
        <v/>
      </c>
      <c r="F108" s="468">
        <f>-F79</f>
        <v/>
      </c>
      <c r="G108" s="468">
        <f>-G79</f>
        <v/>
      </c>
      <c r="H108" s="468">
        <f>-H79</f>
        <v/>
      </c>
      <c r="I108" s="468">
        <f>-I79</f>
        <v/>
      </c>
      <c r="J108" s="468">
        <f>-J79</f>
        <v/>
      </c>
      <c r="K108" s="468">
        <f>-K79</f>
        <v/>
      </c>
      <c r="L108" s="468">
        <f>-L79</f>
        <v/>
      </c>
      <c r="M108" s="468">
        <f>-M79</f>
        <v/>
      </c>
      <c r="N108" s="468">
        <f>-N79</f>
        <v/>
      </c>
      <c r="O108" s="468">
        <f>-O79</f>
        <v/>
      </c>
      <c r="P108" s="468">
        <f>-P79</f>
        <v/>
      </c>
      <c r="Q108" s="468">
        <f>-Q79</f>
        <v/>
      </c>
      <c r="R108" s="468">
        <f>-R79</f>
        <v/>
      </c>
      <c r="S108" s="468">
        <f>-S79</f>
        <v/>
      </c>
      <c r="T108" s="468">
        <f>-T79</f>
        <v/>
      </c>
      <c r="U108" s="468">
        <f>-U79</f>
        <v/>
      </c>
      <c r="V108" s="468">
        <f>-V79</f>
        <v/>
      </c>
      <c r="W108" s="468">
        <f>-W79</f>
        <v/>
      </c>
      <c r="X108" s="468">
        <f>-X79</f>
        <v/>
      </c>
      <c r="Y108" s="468">
        <f>-Y79</f>
        <v/>
      </c>
      <c r="Z108" s="468">
        <f>-Z79</f>
        <v/>
      </c>
      <c r="AA108" s="468">
        <f>-AA79</f>
        <v/>
      </c>
      <c r="AB108" s="468">
        <f>-AB79</f>
        <v/>
      </c>
      <c r="AC108" s="468">
        <f>-AC79</f>
        <v/>
      </c>
      <c r="AD108" s="468">
        <f>-AD79</f>
        <v/>
      </c>
      <c r="AE108" s="468">
        <f>-AE79</f>
        <v/>
      </c>
      <c r="AF108" s="468">
        <f>-AF79</f>
        <v/>
      </c>
      <c r="AG108" s="468">
        <f>-AG79</f>
        <v/>
      </c>
      <c r="AH108" s="468">
        <f>-AH79</f>
        <v/>
      </c>
      <c r="AI108" s="468">
        <f>-AI79</f>
        <v/>
      </c>
      <c r="AJ108" s="468">
        <f>-AJ79</f>
        <v/>
      </c>
      <c r="AK108" s="468">
        <f>-AK79</f>
        <v/>
      </c>
      <c r="AL108" s="468">
        <f>-AL79</f>
        <v/>
      </c>
      <c r="AM108" s="468">
        <f>-AM79</f>
        <v/>
      </c>
      <c r="AN108" s="468">
        <f>-AN79</f>
        <v/>
      </c>
      <c r="AO108" s="468">
        <f>-AO79</f>
        <v/>
      </c>
      <c r="AP108" s="468">
        <f>-AP79</f>
        <v/>
      </c>
      <c r="AQ108" s="468">
        <f>-AQ79</f>
        <v/>
      </c>
      <c r="AR108" s="468">
        <f>-AR79</f>
        <v/>
      </c>
      <c r="AS108" s="468">
        <f>-AS79</f>
        <v/>
      </c>
      <c r="AT108" s="468">
        <f>-AT79</f>
        <v/>
      </c>
      <c r="AU108" s="468">
        <f>-AU79</f>
        <v/>
      </c>
      <c r="AV108" s="468">
        <f>-AV79</f>
        <v/>
      </c>
      <c r="AW108" s="468">
        <f>-AW79</f>
        <v/>
      </c>
      <c r="AX108" s="468">
        <f>-AX79</f>
        <v/>
      </c>
      <c r="AY108" s="468">
        <f>-AY79</f>
        <v/>
      </c>
      <c r="AZ108" s="468">
        <f>-AZ79</f>
        <v/>
      </c>
      <c r="BA108" s="468">
        <f>-BA79</f>
        <v/>
      </c>
      <c r="BB108" s="468">
        <f>-BB79</f>
        <v/>
      </c>
      <c r="BC108" s="468">
        <f>-BC79</f>
        <v/>
      </c>
      <c r="BD108" s="468">
        <f>-BD79</f>
        <v/>
      </c>
      <c r="BE108" s="468">
        <f>-BE79</f>
        <v/>
      </c>
      <c r="BF108" s="468">
        <f>-BF79</f>
        <v/>
      </c>
      <c r="BG108" s="468">
        <f>-BG79</f>
        <v/>
      </c>
      <c r="BH108" s="468">
        <f>-BH79</f>
        <v/>
      </c>
      <c r="BI108" s="468">
        <f>-BI79</f>
        <v/>
      </c>
      <c r="BJ108" s="468">
        <f>-BJ79</f>
        <v/>
      </c>
      <c r="BK108" s="468">
        <f>-BK79</f>
        <v/>
      </c>
      <c r="BL108" s="468">
        <f>-BL79</f>
        <v/>
      </c>
      <c r="BM108" s="468">
        <f>-BM79</f>
        <v/>
      </c>
      <c r="BN108" s="468">
        <f>-BN79</f>
        <v/>
      </c>
      <c r="BO108" s="468">
        <f>-BO79</f>
        <v/>
      </c>
      <c r="BP108" s="468">
        <f>-BP79</f>
        <v/>
      </c>
      <c r="BQ108" s="468">
        <f>-BQ79</f>
        <v/>
      </c>
      <c r="BR108" s="468">
        <f>-BR79</f>
        <v/>
      </c>
      <c r="BS108" s="468">
        <f>-BS79</f>
        <v/>
      </c>
      <c r="BT108" s="468">
        <f>-BT79</f>
        <v/>
      </c>
      <c r="BU108" s="468">
        <f>-BU79</f>
        <v/>
      </c>
      <c r="BV108" s="468">
        <f>-BV79</f>
        <v/>
      </c>
      <c r="BW108" s="468">
        <f>-BW79</f>
        <v/>
      </c>
      <c r="BX108" s="468">
        <f>-BX79</f>
        <v/>
      </c>
      <c r="BY108" s="468">
        <f>-BY79</f>
        <v/>
      </c>
      <c r="BZ108" s="468">
        <f>-BZ79</f>
        <v/>
      </c>
      <c r="CA108" s="468">
        <f>-CA79</f>
        <v/>
      </c>
      <c r="CB108" s="468">
        <f>-CB79</f>
        <v/>
      </c>
      <c r="CC108" s="468">
        <f>-CC79</f>
        <v/>
      </c>
      <c r="CD108" s="468">
        <f>-CD79</f>
        <v/>
      </c>
      <c r="CE108" s="468">
        <f>-CE79</f>
        <v/>
      </c>
      <c r="CF108" s="468">
        <f>-CF79</f>
        <v/>
      </c>
      <c r="CG108" s="468">
        <f>-CG79</f>
        <v/>
      </c>
      <c r="CH108" s="468">
        <f>-CH79</f>
        <v/>
      </c>
      <c r="CI108" s="468">
        <f>-CI79</f>
        <v/>
      </c>
      <c r="CJ108" s="468">
        <f>-CJ79</f>
        <v/>
      </c>
      <c r="CK108" s="468">
        <f>-CK79</f>
        <v/>
      </c>
      <c r="CL108" s="468">
        <f>-CL79</f>
        <v/>
      </c>
      <c r="CM108" s="468">
        <f>-CM79</f>
        <v/>
      </c>
      <c r="CN108" s="468">
        <f>-CN79</f>
        <v/>
      </c>
      <c r="CO108" s="468">
        <f>-CO79</f>
        <v/>
      </c>
      <c r="CP108" s="468">
        <f>-CP79</f>
        <v/>
      </c>
      <c r="CQ108" s="468">
        <f>-CQ79</f>
        <v/>
      </c>
      <c r="CR108" s="468">
        <f>-CR79</f>
        <v/>
      </c>
      <c r="CS108" s="468">
        <f>-CS79</f>
        <v/>
      </c>
      <c r="CT108" s="468">
        <f>-CT79</f>
        <v/>
      </c>
      <c r="CU108" s="468">
        <f>-CU79</f>
        <v/>
      </c>
      <c r="CV108" s="468">
        <f>-CV79</f>
        <v/>
      </c>
      <c r="CW108" s="468">
        <f>-CW79</f>
        <v/>
      </c>
      <c r="CX108" s="468">
        <f>-CX79</f>
        <v/>
      </c>
      <c r="CY108" s="468">
        <f>-CY79</f>
        <v/>
      </c>
      <c r="CZ108" s="468">
        <f>-CZ79</f>
        <v/>
      </c>
      <c r="DA108" s="468">
        <f>-DA79</f>
        <v/>
      </c>
      <c r="DB108" s="468">
        <f>-DB79</f>
        <v/>
      </c>
      <c r="DC108" s="468">
        <f>-DC79</f>
        <v/>
      </c>
      <c r="DD108" s="468">
        <f>-DD79</f>
        <v/>
      </c>
      <c r="DE108" s="468">
        <f>-DE79</f>
        <v/>
      </c>
      <c r="DF108" s="468">
        <f>-DF79</f>
        <v/>
      </c>
      <c r="DG108" s="468">
        <f>-DG79</f>
        <v/>
      </c>
      <c r="DH108" s="468">
        <f>-DH79</f>
        <v/>
      </c>
      <c r="DI108" s="468">
        <f>-DI79</f>
        <v/>
      </c>
      <c r="DJ108" s="468">
        <f>-DJ79</f>
        <v/>
      </c>
      <c r="DK108" s="468">
        <f>-DK79</f>
        <v/>
      </c>
      <c r="DL108" s="468">
        <f>-DL79</f>
        <v/>
      </c>
      <c r="DM108" s="468">
        <f>-DM79</f>
        <v/>
      </c>
      <c r="DN108" s="468">
        <f>-DN79</f>
        <v/>
      </c>
      <c r="DO108" s="468">
        <f>-DO79</f>
        <v/>
      </c>
      <c r="DP108" s="468">
        <f>-DP79</f>
        <v/>
      </c>
      <c r="DQ108" s="468">
        <f>-DQ79</f>
        <v/>
      </c>
      <c r="DR108" s="468">
        <f>-DR79</f>
        <v/>
      </c>
      <c r="DS108" s="468">
        <f>-DS79</f>
        <v/>
      </c>
      <c r="DT108" s="468">
        <f>-DT79</f>
        <v/>
      </c>
      <c r="DU108" s="468">
        <f>-DU79</f>
        <v/>
      </c>
      <c r="DV108" s="468">
        <f>-DV79</f>
        <v/>
      </c>
      <c r="DW108" s="322" t="inlineStr">
        <is>
          <t>x</t>
        </is>
      </c>
    </row>
    <row r="109" hidden="1" outlineLevel="1">
      <c r="C109" s="374" t="inlineStr">
        <is>
          <t>Investor Accruals</t>
        </is>
      </c>
      <c r="D109" s="478" t="n"/>
      <c r="E109" s="463">
        <f>SUM(F109:DV109)</f>
        <v/>
      </c>
      <c r="F109" s="468" t="n">
        <v>0</v>
      </c>
      <c r="G109" s="468">
        <f>G107*(((1+$D$38)^(1/$K$38)-1)*G85)</f>
        <v/>
      </c>
      <c r="H109" s="468">
        <f>H107*(((1+$D$38)^(1/$K$38)-1)*H85)</f>
        <v/>
      </c>
      <c r="I109" s="468">
        <f>I107*(((1+$D$38)^(1/$K$38)-1)*I85)</f>
        <v/>
      </c>
      <c r="J109" s="468">
        <f>J107*(((1+$D$38)^(1/$K$38)-1)*J85)</f>
        <v/>
      </c>
      <c r="K109" s="468">
        <f>K107*(((1+$D$38)^(1/$K$38)-1)*K85)</f>
        <v/>
      </c>
      <c r="L109" s="468">
        <f>L107*(((1+$D$38)^(1/$K$38)-1)*L85)</f>
        <v/>
      </c>
      <c r="M109" s="468">
        <f>M107*(((1+$D$38)^(1/$K$38)-1)*M85)</f>
        <v/>
      </c>
      <c r="N109" s="468">
        <f>N107*(((1+$D$38)^(1/$K$38)-1)*N85)</f>
        <v/>
      </c>
      <c r="O109" s="468">
        <f>O107*(((1+$D$38)^(1/$K$38)-1)*O85)</f>
        <v/>
      </c>
      <c r="P109" s="468">
        <f>P107*(((1+$D$38)^(1/$K$38)-1)*P85)</f>
        <v/>
      </c>
      <c r="Q109" s="468">
        <f>Q107*(((1+$D$38)^(1/$K$38)-1)*Q85)</f>
        <v/>
      </c>
      <c r="R109" s="468">
        <f>R107*(((1+$D$38)^(1/$K$38)-1)*R85)</f>
        <v/>
      </c>
      <c r="S109" s="468">
        <f>S107*(((1+$D$38)^(1/$K$38)-1)*S85)</f>
        <v/>
      </c>
      <c r="T109" s="468">
        <f>T107*(((1+$D$38)^(1/$K$38)-1)*T85)</f>
        <v/>
      </c>
      <c r="U109" s="468">
        <f>U107*(((1+$D$38)^(1/$K$38)-1)*U85)</f>
        <v/>
      </c>
      <c r="V109" s="468">
        <f>V107*(((1+$D$38)^(1/$K$38)-1)*V85)</f>
        <v/>
      </c>
      <c r="W109" s="468">
        <f>W107*(((1+$D$38)^(1/$K$38)-1)*W85)</f>
        <v/>
      </c>
      <c r="X109" s="468">
        <f>X107*(((1+$D$38)^(1/$K$38)-1)*X85)</f>
        <v/>
      </c>
      <c r="Y109" s="468">
        <f>Y107*(((1+$D$38)^(1/$K$38)-1)*Y85)</f>
        <v/>
      </c>
      <c r="Z109" s="468">
        <f>Z107*(((1+$D$38)^(1/$K$38)-1)*Z85)</f>
        <v/>
      </c>
      <c r="AA109" s="468">
        <f>AA107*(((1+$D$38)^(1/$K$38)-1)*AA85)</f>
        <v/>
      </c>
      <c r="AB109" s="468">
        <f>AB107*(((1+$D$38)^(1/$K$38)-1)*AB85)</f>
        <v/>
      </c>
      <c r="AC109" s="468">
        <f>AC107*(((1+$D$38)^(1/$K$38)-1)*AC85)</f>
        <v/>
      </c>
      <c r="AD109" s="468">
        <f>AD107*(((1+$D$38)^(1/$K$38)-1)*AD85)</f>
        <v/>
      </c>
      <c r="AE109" s="468">
        <f>AE107*(((1+$D$38)^(1/$K$38)-1)*AE85)</f>
        <v/>
      </c>
      <c r="AF109" s="468">
        <f>AF107*(((1+$D$38)^(1/$K$38)-1)*AF85)</f>
        <v/>
      </c>
      <c r="AG109" s="468">
        <f>AG107*(((1+$D$38)^(1/$K$38)-1)*AG85)</f>
        <v/>
      </c>
      <c r="AH109" s="468">
        <f>AH107*(((1+$D$38)^(1/$K$38)-1)*AH85)</f>
        <v/>
      </c>
      <c r="AI109" s="468">
        <f>AI107*(((1+$D$38)^(1/$K$38)-1)*AI85)</f>
        <v/>
      </c>
      <c r="AJ109" s="468">
        <f>AJ107*(((1+$D$38)^(1/$K$38)-1)*AJ85)</f>
        <v/>
      </c>
      <c r="AK109" s="468">
        <f>AK107*(((1+$D$38)^(1/$K$38)-1)*AK85)</f>
        <v/>
      </c>
      <c r="AL109" s="468">
        <f>AL107*(((1+$D$38)^(1/$K$38)-1)*AL85)</f>
        <v/>
      </c>
      <c r="AM109" s="468">
        <f>AM107*(((1+$D$38)^(1/$K$38)-1)*AM85)</f>
        <v/>
      </c>
      <c r="AN109" s="468">
        <f>AN107*(((1+$D$38)^(1/$K$38)-1)*AN85)</f>
        <v/>
      </c>
      <c r="AO109" s="468">
        <f>AO107*(((1+$D$38)^(1/$K$38)-1)*AO85)</f>
        <v/>
      </c>
      <c r="AP109" s="468">
        <f>AP107*(((1+$D$38)^(1/$K$38)-1)*AP85)</f>
        <v/>
      </c>
      <c r="AQ109" s="468">
        <f>AQ107*(((1+$D$38)^(1/$K$38)-1)*AQ85)</f>
        <v/>
      </c>
      <c r="AR109" s="468">
        <f>AR107*(((1+$D$38)^(1/$K$38)-1)*AR85)</f>
        <v/>
      </c>
      <c r="AS109" s="468">
        <f>AS107*(((1+$D$38)^(1/$K$38)-1)*AS85)</f>
        <v/>
      </c>
      <c r="AT109" s="468">
        <f>AT107*(((1+$D$38)^(1/$K$38)-1)*AT85)</f>
        <v/>
      </c>
      <c r="AU109" s="468">
        <f>AU107*(((1+$D$38)^(1/$K$38)-1)*AU85)</f>
        <v/>
      </c>
      <c r="AV109" s="468">
        <f>AV107*(((1+$D$38)^(1/$K$38)-1)*AV85)</f>
        <v/>
      </c>
      <c r="AW109" s="468">
        <f>AW107*(((1+$D$38)^(1/$K$38)-1)*AW85)</f>
        <v/>
      </c>
      <c r="AX109" s="468">
        <f>AX107*(((1+$D$38)^(1/$K$38)-1)*AX85)</f>
        <v/>
      </c>
      <c r="AY109" s="468">
        <f>AY107*(((1+$D$38)^(1/$K$38)-1)*AY85)</f>
        <v/>
      </c>
      <c r="AZ109" s="468">
        <f>AZ107*(((1+$D$38)^(1/$K$38)-1)*AZ85)</f>
        <v/>
      </c>
      <c r="BA109" s="468">
        <f>BA107*(((1+$D$38)^(1/$K$38)-1)*BA85)</f>
        <v/>
      </c>
      <c r="BB109" s="468">
        <f>BB107*(((1+$D$38)^(1/$K$38)-1)*BB85)</f>
        <v/>
      </c>
      <c r="BC109" s="468">
        <f>BC107*(((1+$D$38)^(1/$K$38)-1)*BC85)</f>
        <v/>
      </c>
      <c r="BD109" s="468">
        <f>BD107*(((1+$D$38)^(1/$K$38)-1)*BD85)</f>
        <v/>
      </c>
      <c r="BE109" s="468">
        <f>BE107*(((1+$D$38)^(1/$K$38)-1)*BE85)</f>
        <v/>
      </c>
      <c r="BF109" s="468">
        <f>BF107*(((1+$D$38)^(1/$K$38)-1)*BF85)</f>
        <v/>
      </c>
      <c r="BG109" s="468">
        <f>BG107*(((1+$D$38)^(1/$K$38)-1)*BG85)</f>
        <v/>
      </c>
      <c r="BH109" s="468">
        <f>BH107*(((1+$D$38)^(1/$K$38)-1)*BH85)</f>
        <v/>
      </c>
      <c r="BI109" s="468">
        <f>BI107*(((1+$D$38)^(1/$K$38)-1)*BI85)</f>
        <v/>
      </c>
      <c r="BJ109" s="468">
        <f>BJ107*(((1+$D$38)^(1/$K$38)-1)*BJ85)</f>
        <v/>
      </c>
      <c r="BK109" s="468">
        <f>BK107*(((1+$D$38)^(1/$K$38)-1)*BK85)</f>
        <v/>
      </c>
      <c r="BL109" s="468">
        <f>BL107*(((1+$D$38)^(1/$K$38)-1)*BL85)</f>
        <v/>
      </c>
      <c r="BM109" s="468">
        <f>BM107*(((1+$D$38)^(1/$K$38)-1)*BM85)</f>
        <v/>
      </c>
      <c r="BN109" s="468">
        <f>BN107*(((1+$D$38)^(1/$K$38)-1)*BN85)</f>
        <v/>
      </c>
      <c r="BO109" s="468">
        <f>BO107*(((1+$D$38)^(1/$K$38)-1)*BO85)</f>
        <v/>
      </c>
      <c r="BP109" s="468">
        <f>BP107*(((1+$D$38)^(1/$K$38)-1)*BP85)</f>
        <v/>
      </c>
      <c r="BQ109" s="468">
        <f>BQ107*(((1+$D$38)^(1/$K$38)-1)*BQ85)</f>
        <v/>
      </c>
      <c r="BR109" s="468">
        <f>BR107*(((1+$D$38)^(1/$K$38)-1)*BR85)</f>
        <v/>
      </c>
      <c r="BS109" s="468">
        <f>BS107*(((1+$D$38)^(1/$K$38)-1)*BS85)</f>
        <v/>
      </c>
      <c r="BT109" s="468">
        <f>BT107*(((1+$D$38)^(1/$K$38)-1)*BT85)</f>
        <v/>
      </c>
      <c r="BU109" s="468">
        <f>BU107*(((1+$D$38)^(1/$K$38)-1)*BU85)</f>
        <v/>
      </c>
      <c r="BV109" s="468">
        <f>BV107*(((1+$D$38)^(1/$K$38)-1)*BV85)</f>
        <v/>
      </c>
      <c r="BW109" s="468">
        <f>BW107*(((1+$D$38)^(1/$K$38)-1)*BW85)</f>
        <v/>
      </c>
      <c r="BX109" s="468">
        <f>BX107*(((1+$D$38)^(1/$K$38)-1)*BX85)</f>
        <v/>
      </c>
      <c r="BY109" s="468">
        <f>BY107*(((1+$D$38)^(1/$K$38)-1)*BY85)</f>
        <v/>
      </c>
      <c r="BZ109" s="468">
        <f>BZ107*(((1+$D$38)^(1/$K$38)-1)*BZ85)</f>
        <v/>
      </c>
      <c r="CA109" s="468">
        <f>CA107*(((1+$D$38)^(1/$K$38)-1)*CA85)</f>
        <v/>
      </c>
      <c r="CB109" s="468">
        <f>CB107*(((1+$D$38)^(1/$K$38)-1)*CB85)</f>
        <v/>
      </c>
      <c r="CC109" s="468">
        <f>CC107*(((1+$D$38)^(1/$K$38)-1)*CC85)</f>
        <v/>
      </c>
      <c r="CD109" s="468">
        <f>CD107*(((1+$D$38)^(1/$K$38)-1)*CD85)</f>
        <v/>
      </c>
      <c r="CE109" s="468">
        <f>CE107*(((1+$D$38)^(1/$K$38)-1)*CE85)</f>
        <v/>
      </c>
      <c r="CF109" s="468">
        <f>CF107*(((1+$D$38)^(1/$K$38)-1)*CF85)</f>
        <v/>
      </c>
      <c r="CG109" s="468">
        <f>CG107*(((1+$D$38)^(1/$K$38)-1)*CG85)</f>
        <v/>
      </c>
      <c r="CH109" s="468">
        <f>CH107*(((1+$D$38)^(1/$K$38)-1)*CH85)</f>
        <v/>
      </c>
      <c r="CI109" s="468">
        <f>CI107*(((1+$D$38)^(1/$K$38)-1)*CI85)</f>
        <v/>
      </c>
      <c r="CJ109" s="468">
        <f>CJ107*(((1+$D$38)^(1/$K$38)-1)*CJ85)</f>
        <v/>
      </c>
      <c r="CK109" s="468">
        <f>CK107*(((1+$D$38)^(1/$K$38)-1)*CK85)</f>
        <v/>
      </c>
      <c r="CL109" s="468">
        <f>CL107*(((1+$D$38)^(1/$K$38)-1)*CL85)</f>
        <v/>
      </c>
      <c r="CM109" s="468">
        <f>CM107*(((1+$D$38)^(1/$K$38)-1)*CM85)</f>
        <v/>
      </c>
      <c r="CN109" s="468">
        <f>CN107*(((1+$D$38)^(1/$K$38)-1)*CN85)</f>
        <v/>
      </c>
      <c r="CO109" s="468">
        <f>CO107*(((1+$D$38)^(1/$K$38)-1)*CO85)</f>
        <v/>
      </c>
      <c r="CP109" s="468">
        <f>CP107*(((1+$D$38)^(1/$K$38)-1)*CP85)</f>
        <v/>
      </c>
      <c r="CQ109" s="468">
        <f>CQ107*(((1+$D$38)^(1/$K$38)-1)*CQ85)</f>
        <v/>
      </c>
      <c r="CR109" s="468">
        <f>CR107*(((1+$D$38)^(1/$K$38)-1)*CR85)</f>
        <v/>
      </c>
      <c r="CS109" s="468">
        <f>CS107*(((1+$D$38)^(1/$K$38)-1)*CS85)</f>
        <v/>
      </c>
      <c r="CT109" s="468">
        <f>CT107*(((1+$D$38)^(1/$K$38)-1)*CT85)</f>
        <v/>
      </c>
      <c r="CU109" s="468">
        <f>CU107*(((1+$D$38)^(1/$K$38)-1)*CU85)</f>
        <v/>
      </c>
      <c r="CV109" s="468">
        <f>CV107*(((1+$D$38)^(1/$K$38)-1)*CV85)</f>
        <v/>
      </c>
      <c r="CW109" s="468">
        <f>CW107*(((1+$D$38)^(1/$K$38)-1)*CW85)</f>
        <v/>
      </c>
      <c r="CX109" s="468">
        <f>CX107*(((1+$D$38)^(1/$K$38)-1)*CX85)</f>
        <v/>
      </c>
      <c r="CY109" s="468">
        <f>CY107*(((1+$D$38)^(1/$K$38)-1)*CY85)</f>
        <v/>
      </c>
      <c r="CZ109" s="468">
        <f>CZ107*(((1+$D$38)^(1/$K$38)-1)*CZ85)</f>
        <v/>
      </c>
      <c r="DA109" s="468">
        <f>DA107*(((1+$D$38)^(1/$K$38)-1)*DA85)</f>
        <v/>
      </c>
      <c r="DB109" s="468">
        <f>DB107*(((1+$D$38)^(1/$K$38)-1)*DB85)</f>
        <v/>
      </c>
      <c r="DC109" s="468">
        <f>DC107*(((1+$D$38)^(1/$K$38)-1)*DC85)</f>
        <v/>
      </c>
      <c r="DD109" s="468">
        <f>DD107*(((1+$D$38)^(1/$K$38)-1)*DD85)</f>
        <v/>
      </c>
      <c r="DE109" s="468">
        <f>DE107*(((1+$D$38)^(1/$K$38)-1)*DE85)</f>
        <v/>
      </c>
      <c r="DF109" s="468">
        <f>DF107*(((1+$D$38)^(1/$K$38)-1)*DF85)</f>
        <v/>
      </c>
      <c r="DG109" s="468">
        <f>DG107*(((1+$D$38)^(1/$K$38)-1)*DG85)</f>
        <v/>
      </c>
      <c r="DH109" s="468">
        <f>DH107*(((1+$D$38)^(1/$K$38)-1)*DH85)</f>
        <v/>
      </c>
      <c r="DI109" s="468">
        <f>DI107*(((1+$D$38)^(1/$K$38)-1)*DI85)</f>
        <v/>
      </c>
      <c r="DJ109" s="468">
        <f>DJ107*(((1+$D$38)^(1/$K$38)-1)*DJ85)</f>
        <v/>
      </c>
      <c r="DK109" s="468">
        <f>DK107*(((1+$D$38)^(1/$K$38)-1)*DK85)</f>
        <v/>
      </c>
      <c r="DL109" s="468">
        <f>DL107*(((1+$D$38)^(1/$K$38)-1)*DL85)</f>
        <v/>
      </c>
      <c r="DM109" s="468">
        <f>DM107*(((1+$D$38)^(1/$K$38)-1)*DM85)</f>
        <v/>
      </c>
      <c r="DN109" s="468">
        <f>DN107*(((1+$D$38)^(1/$K$38)-1)*DN85)</f>
        <v/>
      </c>
      <c r="DO109" s="468">
        <f>DO107*(((1+$D$38)^(1/$K$38)-1)*DO85)</f>
        <v/>
      </c>
      <c r="DP109" s="468">
        <f>DP107*(((1+$D$38)^(1/$K$38)-1)*DP85)</f>
        <v/>
      </c>
      <c r="DQ109" s="468">
        <f>DQ107*(((1+$D$38)^(1/$K$38)-1)*DQ85)</f>
        <v/>
      </c>
      <c r="DR109" s="468">
        <f>DR107*(((1+$D$38)^(1/$K$38)-1)*DR85)</f>
        <v/>
      </c>
      <c r="DS109" s="468">
        <f>DS107*(((1+$D$38)^(1/$K$38)-1)*DS85)</f>
        <v/>
      </c>
      <c r="DT109" s="468">
        <f>DT107*(((1+$D$38)^(1/$K$38)-1)*DT85)</f>
        <v/>
      </c>
      <c r="DU109" s="468">
        <f>DU107*(((1+$D$38)^(1/$K$38)-1)*DU85)</f>
        <v/>
      </c>
      <c r="DV109" s="468">
        <f>DV107*(((1+$D$38)^(1/$K$38)-1)*DV85)</f>
        <v/>
      </c>
      <c r="DW109" s="322" t="inlineStr">
        <is>
          <t>x</t>
        </is>
      </c>
    </row>
    <row r="110" hidden="1" outlineLevel="1">
      <c r="C110" s="682">
        <f>C90</f>
        <v/>
      </c>
      <c r="D110" s="484" t="n"/>
      <c r="E110" s="463">
        <f>SUM(F110:DV110)</f>
        <v/>
      </c>
      <c r="F110" s="468" t="n">
        <v>0</v>
      </c>
      <c r="G110" s="468">
        <f>-MIN(G81*$D$127,SUM(G107:G109))</f>
        <v/>
      </c>
      <c r="H110" s="468">
        <f>-MIN(H81*$D$127,SUM(H107:H109))</f>
        <v/>
      </c>
      <c r="I110" s="468">
        <f>-MIN(I81*$D$127,SUM(I107:I109))</f>
        <v/>
      </c>
      <c r="J110" s="468">
        <f>-MIN(J81*$D$127,SUM(J107:J109))</f>
        <v/>
      </c>
      <c r="K110" s="468">
        <f>-MIN(K81*$D$127,SUM(K107:K109))</f>
        <v/>
      </c>
      <c r="L110" s="468">
        <f>-MIN(L81*$D$127,SUM(L107:L109))</f>
        <v/>
      </c>
      <c r="M110" s="468">
        <f>-MIN(M81*$D$127,SUM(M107:M109))</f>
        <v/>
      </c>
      <c r="N110" s="468">
        <f>-MIN(N81*$D$127,SUM(N107:N109))</f>
        <v/>
      </c>
      <c r="O110" s="468">
        <f>-MIN(O81*$D$127,SUM(O107:O109))</f>
        <v/>
      </c>
      <c r="P110" s="468">
        <f>-MIN(P81*$D$127,SUM(P107:P109))</f>
        <v/>
      </c>
      <c r="Q110" s="468">
        <f>-MIN(Q81*$D$127,SUM(Q107:Q109))</f>
        <v/>
      </c>
      <c r="R110" s="468">
        <f>-MIN(R81*$D$127,SUM(R107:R109))</f>
        <v/>
      </c>
      <c r="S110" s="468">
        <f>-MIN(S81*$D$127,SUM(S107:S109))</f>
        <v/>
      </c>
      <c r="T110" s="468">
        <f>-MIN(T81*$D$127,SUM(T107:T109))</f>
        <v/>
      </c>
      <c r="U110" s="468">
        <f>-MIN(U81*$D$127,SUM(U107:U109))</f>
        <v/>
      </c>
      <c r="V110" s="468">
        <f>-MIN(V81*$D$127,SUM(V107:V109))</f>
        <v/>
      </c>
      <c r="W110" s="468">
        <f>-MIN(W81*$D$127,SUM(W107:W109))</f>
        <v/>
      </c>
      <c r="X110" s="468">
        <f>-MIN(X81*$D$127,SUM(X107:X109))</f>
        <v/>
      </c>
      <c r="Y110" s="468">
        <f>-MIN(Y81*$D$127,SUM(Y107:Y109))</f>
        <v/>
      </c>
      <c r="Z110" s="468">
        <f>-MIN(Z81*$D$127,SUM(Z107:Z109))</f>
        <v/>
      </c>
      <c r="AA110" s="468">
        <f>-MIN(AA81*$D$127,SUM(AA107:AA109))</f>
        <v/>
      </c>
      <c r="AB110" s="468">
        <f>-MIN(AB81*$D$127,SUM(AB107:AB109))</f>
        <v/>
      </c>
      <c r="AC110" s="468">
        <f>-MIN(AC81*$D$127,SUM(AC107:AC109))</f>
        <v/>
      </c>
      <c r="AD110" s="468">
        <f>-MIN(AD81*$D$127,SUM(AD107:AD109))</f>
        <v/>
      </c>
      <c r="AE110" s="468">
        <f>-MIN(AE81*$D$127,SUM(AE107:AE109))</f>
        <v/>
      </c>
      <c r="AF110" s="468">
        <f>-MIN(AF81*$D$127,SUM(AF107:AF109))</f>
        <v/>
      </c>
      <c r="AG110" s="468">
        <f>-MIN(AG81*$D$127,SUM(AG107:AG109))</f>
        <v/>
      </c>
      <c r="AH110" s="468">
        <f>-MIN(AH81*$D$127,SUM(AH107:AH109))</f>
        <v/>
      </c>
      <c r="AI110" s="468">
        <f>-MIN(AI81*$D$127,SUM(AI107:AI109))</f>
        <v/>
      </c>
      <c r="AJ110" s="468">
        <f>-MIN(AJ81*$D$127,SUM(AJ107:AJ109))</f>
        <v/>
      </c>
      <c r="AK110" s="468">
        <f>-MIN(AK81*$D$127,SUM(AK107:AK109))</f>
        <v/>
      </c>
      <c r="AL110" s="468">
        <f>-MIN(AL81*$D$127,SUM(AL107:AL109))</f>
        <v/>
      </c>
      <c r="AM110" s="468">
        <f>-MIN(AM81*$D$127,SUM(AM107:AM109))</f>
        <v/>
      </c>
      <c r="AN110" s="468">
        <f>-MIN(AN81*$D$127,SUM(AN107:AN109))</f>
        <v/>
      </c>
      <c r="AO110" s="468">
        <f>-MIN(AO81*$D$127,SUM(AO107:AO109))</f>
        <v/>
      </c>
      <c r="AP110" s="468">
        <f>-MIN(AP81*$D$127,SUM(AP107:AP109))</f>
        <v/>
      </c>
      <c r="AQ110" s="468">
        <f>-MIN(AQ81*$D$127,SUM(AQ107:AQ109))</f>
        <v/>
      </c>
      <c r="AR110" s="468">
        <f>-MIN(AR81*$D$127,SUM(AR107:AR109))</f>
        <v/>
      </c>
      <c r="AS110" s="468">
        <f>-MIN(AS81*$D$127,SUM(AS107:AS109))</f>
        <v/>
      </c>
      <c r="AT110" s="468">
        <f>-MIN(AT81*$D$127,SUM(AT107:AT109))</f>
        <v/>
      </c>
      <c r="AU110" s="468">
        <f>-MIN(AU81*$D$127,SUM(AU107:AU109))</f>
        <v/>
      </c>
      <c r="AV110" s="468">
        <f>-MIN(AV81*$D$127,SUM(AV107:AV109))</f>
        <v/>
      </c>
      <c r="AW110" s="468">
        <f>-MIN(AW81*$D$127,SUM(AW107:AW109))</f>
        <v/>
      </c>
      <c r="AX110" s="468">
        <f>-MIN(AX81*$D$127,SUM(AX107:AX109))</f>
        <v/>
      </c>
      <c r="AY110" s="468">
        <f>-MIN(AY81*$D$127,SUM(AY107:AY109))</f>
        <v/>
      </c>
      <c r="AZ110" s="468">
        <f>-MIN(AZ81*$D$127,SUM(AZ107:AZ109))</f>
        <v/>
      </c>
      <c r="BA110" s="468">
        <f>-MIN(BA81*$D$127,SUM(BA107:BA109))</f>
        <v/>
      </c>
      <c r="BB110" s="468">
        <f>-MIN(BB81*$D$127,SUM(BB107:BB109))</f>
        <v/>
      </c>
      <c r="BC110" s="468">
        <f>-MIN(BC81*$D$127,SUM(BC107:BC109))</f>
        <v/>
      </c>
      <c r="BD110" s="468">
        <f>-MIN(BD81*$D$127,SUM(BD107:BD109))</f>
        <v/>
      </c>
      <c r="BE110" s="468">
        <f>-MIN(BE81*$D$127,SUM(BE107:BE109))</f>
        <v/>
      </c>
      <c r="BF110" s="468">
        <f>-MIN(BF81*$D$127,SUM(BF107:BF109))</f>
        <v/>
      </c>
      <c r="BG110" s="468">
        <f>-MIN(BG81*$D$127,SUM(BG107:BG109))</f>
        <v/>
      </c>
      <c r="BH110" s="468">
        <f>-MIN(BH81*$D$127,SUM(BH107:BH109))</f>
        <v/>
      </c>
      <c r="BI110" s="468">
        <f>-MIN(BI81*$D$127,SUM(BI107:BI109))</f>
        <v/>
      </c>
      <c r="BJ110" s="468">
        <f>-MIN(BJ81*$D$127,SUM(BJ107:BJ109))</f>
        <v/>
      </c>
      <c r="BK110" s="468">
        <f>-MIN(BK81*$D$127,SUM(BK107:BK109))</f>
        <v/>
      </c>
      <c r="BL110" s="468">
        <f>-MIN(BL81*$D$127,SUM(BL107:BL109))</f>
        <v/>
      </c>
      <c r="BM110" s="468">
        <f>-MIN(BM81*$D$127,SUM(BM107:BM109))</f>
        <v/>
      </c>
      <c r="BN110" s="468">
        <f>-MIN(BN81*$D$127,SUM(BN107:BN109))</f>
        <v/>
      </c>
      <c r="BO110" s="468">
        <f>-MIN(BO81*$D$127,SUM(BO107:BO109))</f>
        <v/>
      </c>
      <c r="BP110" s="468">
        <f>-MIN(BP81*$D$127,SUM(BP107:BP109))</f>
        <v/>
      </c>
      <c r="BQ110" s="468">
        <f>-MIN(BQ81*$D$127,SUM(BQ107:BQ109))</f>
        <v/>
      </c>
      <c r="BR110" s="468">
        <f>-MIN(BR81*$D$127,SUM(BR107:BR109))</f>
        <v/>
      </c>
      <c r="BS110" s="468">
        <f>-MIN(BS81*$D$127,SUM(BS107:BS109))</f>
        <v/>
      </c>
      <c r="BT110" s="468">
        <f>-MIN(BT81*$D$127,SUM(BT107:BT109))</f>
        <v/>
      </c>
      <c r="BU110" s="468">
        <f>-MIN(BU81*$D$127,SUM(BU107:BU109))</f>
        <v/>
      </c>
      <c r="BV110" s="468">
        <f>-MIN(BV81*$D$127,SUM(BV107:BV109))</f>
        <v/>
      </c>
      <c r="BW110" s="468">
        <f>-MIN(BW81*$D$127,SUM(BW107:BW109))</f>
        <v/>
      </c>
      <c r="BX110" s="468">
        <f>-MIN(BX81*$D$127,SUM(BX107:BX109))</f>
        <v/>
      </c>
      <c r="BY110" s="468">
        <f>-MIN(BY81*$D$127,SUM(BY107:BY109))</f>
        <v/>
      </c>
      <c r="BZ110" s="468">
        <f>-MIN(BZ81*$D$127,SUM(BZ107:BZ109))</f>
        <v/>
      </c>
      <c r="CA110" s="468">
        <f>-MIN(CA81*$D$127,SUM(CA107:CA109))</f>
        <v/>
      </c>
      <c r="CB110" s="468">
        <f>-MIN(CB81*$D$127,SUM(CB107:CB109))</f>
        <v/>
      </c>
      <c r="CC110" s="468">
        <f>-MIN(CC81*$D$127,SUM(CC107:CC109))</f>
        <v/>
      </c>
      <c r="CD110" s="468">
        <f>-MIN(CD81*$D$127,SUM(CD107:CD109))</f>
        <v/>
      </c>
      <c r="CE110" s="468">
        <f>-MIN(CE81*$D$127,SUM(CE107:CE109))</f>
        <v/>
      </c>
      <c r="CF110" s="468">
        <f>-MIN(CF81*$D$127,SUM(CF107:CF109))</f>
        <v/>
      </c>
      <c r="CG110" s="468">
        <f>-MIN(CG81*$D$127,SUM(CG107:CG109))</f>
        <v/>
      </c>
      <c r="CH110" s="468">
        <f>-MIN(CH81*$D$127,SUM(CH107:CH109))</f>
        <v/>
      </c>
      <c r="CI110" s="468">
        <f>-MIN(CI81*$D$127,SUM(CI107:CI109))</f>
        <v/>
      </c>
      <c r="CJ110" s="468">
        <f>-MIN(CJ81*$D$127,SUM(CJ107:CJ109))</f>
        <v/>
      </c>
      <c r="CK110" s="468">
        <f>-MIN(CK81*$D$127,SUM(CK107:CK109))</f>
        <v/>
      </c>
      <c r="CL110" s="468">
        <f>-MIN(CL81*$D$127,SUM(CL107:CL109))</f>
        <v/>
      </c>
      <c r="CM110" s="468">
        <f>-MIN(CM81*$D$127,SUM(CM107:CM109))</f>
        <v/>
      </c>
      <c r="CN110" s="468">
        <f>-MIN(CN81*$D$127,SUM(CN107:CN109))</f>
        <v/>
      </c>
      <c r="CO110" s="468">
        <f>-MIN(CO81*$D$127,SUM(CO107:CO109))</f>
        <v/>
      </c>
      <c r="CP110" s="468">
        <f>-MIN(CP81*$D$127,SUM(CP107:CP109))</f>
        <v/>
      </c>
      <c r="CQ110" s="468">
        <f>-MIN(CQ81*$D$127,SUM(CQ107:CQ109))</f>
        <v/>
      </c>
      <c r="CR110" s="468">
        <f>-MIN(CR81*$D$127,SUM(CR107:CR109))</f>
        <v/>
      </c>
      <c r="CS110" s="468">
        <f>-MIN(CS81*$D$127,SUM(CS107:CS109))</f>
        <v/>
      </c>
      <c r="CT110" s="468">
        <f>-MIN(CT81*$D$127,SUM(CT107:CT109))</f>
        <v/>
      </c>
      <c r="CU110" s="468">
        <f>-MIN(CU81*$D$127,SUM(CU107:CU109))</f>
        <v/>
      </c>
      <c r="CV110" s="468">
        <f>-MIN(CV81*$D$127,SUM(CV107:CV109))</f>
        <v/>
      </c>
      <c r="CW110" s="468">
        <f>-MIN(CW81*$D$127,SUM(CW107:CW109))</f>
        <v/>
      </c>
      <c r="CX110" s="468">
        <f>-MIN(CX81*$D$127,SUM(CX107:CX109))</f>
        <v/>
      </c>
      <c r="CY110" s="468">
        <f>-MIN(CY81*$D$127,SUM(CY107:CY109))</f>
        <v/>
      </c>
      <c r="CZ110" s="468">
        <f>-MIN(CZ81*$D$127,SUM(CZ107:CZ109))</f>
        <v/>
      </c>
      <c r="DA110" s="468">
        <f>-MIN(DA81*$D$127,SUM(DA107:DA109))</f>
        <v/>
      </c>
      <c r="DB110" s="468">
        <f>-MIN(DB81*$D$127,SUM(DB107:DB109))</f>
        <v/>
      </c>
      <c r="DC110" s="468">
        <f>-MIN(DC81*$D$127,SUM(DC107:DC109))</f>
        <v/>
      </c>
      <c r="DD110" s="468">
        <f>-MIN(DD81*$D$127,SUM(DD107:DD109))</f>
        <v/>
      </c>
      <c r="DE110" s="468">
        <f>-MIN(DE81*$D$127,SUM(DE107:DE109))</f>
        <v/>
      </c>
      <c r="DF110" s="468">
        <f>-MIN(DF81*$D$127,SUM(DF107:DF109))</f>
        <v/>
      </c>
      <c r="DG110" s="468">
        <f>-MIN(DG81*$D$127,SUM(DG107:DG109))</f>
        <v/>
      </c>
      <c r="DH110" s="468">
        <f>-MIN(DH81*$D$127,SUM(DH107:DH109))</f>
        <v/>
      </c>
      <c r="DI110" s="468">
        <f>-MIN(DI81*$D$127,SUM(DI107:DI109))</f>
        <v/>
      </c>
      <c r="DJ110" s="468">
        <f>-MIN(DJ81*$D$127,SUM(DJ107:DJ109))</f>
        <v/>
      </c>
      <c r="DK110" s="468">
        <f>-MIN(DK81*$D$127,SUM(DK107:DK109))</f>
        <v/>
      </c>
      <c r="DL110" s="468">
        <f>-MIN(DL81*$D$127,SUM(DL107:DL109))</f>
        <v/>
      </c>
      <c r="DM110" s="468">
        <f>-MIN(DM81*$D$127,SUM(DM107:DM109))</f>
        <v/>
      </c>
      <c r="DN110" s="468">
        <f>-MIN(DN81*$D$127,SUM(DN107:DN109))</f>
        <v/>
      </c>
      <c r="DO110" s="468">
        <f>-MIN(DO81*$D$127,SUM(DO107:DO109))</f>
        <v/>
      </c>
      <c r="DP110" s="468">
        <f>-MIN(DP81*$D$127,SUM(DP107:DP109))</f>
        <v/>
      </c>
      <c r="DQ110" s="468">
        <f>-MIN(DQ81*$D$127,SUM(DQ107:DQ109))</f>
        <v/>
      </c>
      <c r="DR110" s="468">
        <f>-MIN(DR81*$D$127,SUM(DR107:DR109))</f>
        <v/>
      </c>
      <c r="DS110" s="468">
        <f>-MIN(DS81*$D$127,SUM(DS107:DS109))</f>
        <v/>
      </c>
      <c r="DT110" s="468">
        <f>-MIN(DT81*$D$127,SUM(DT107:DT109))</f>
        <v/>
      </c>
      <c r="DU110" s="468">
        <f>-MIN(DU81*$D$127,SUM(DU107:DU109))</f>
        <v/>
      </c>
      <c r="DV110" s="468">
        <f>-MIN(DV81*$D$127,SUM(DV107:DV109))</f>
        <v/>
      </c>
      <c r="DW110" s="322" t="inlineStr">
        <is>
          <t>x</t>
        </is>
      </c>
    </row>
    <row r="111" hidden="1" outlineLevel="1" ht="17.25" customHeight="1" thickBot="1">
      <c r="C111" s="365" t="inlineStr">
        <is>
          <t>Ending Balance</t>
        </is>
      </c>
      <c r="D111" s="484" t="n"/>
      <c r="E111" s="658">
        <f>SUM(E108:E110)</f>
        <v/>
      </c>
      <c r="F111" s="658">
        <f>SUM(F107:F110)</f>
        <v/>
      </c>
      <c r="G111" s="658">
        <f>SUM(G107:G110)</f>
        <v/>
      </c>
      <c r="H111" s="658">
        <f>SUM(H107:H110)</f>
        <v/>
      </c>
      <c r="I111" s="658">
        <f>SUM(I107:I110)</f>
        <v/>
      </c>
      <c r="J111" s="658">
        <f>SUM(J107:J110)</f>
        <v/>
      </c>
      <c r="K111" s="658">
        <f>SUM(K107:K110)</f>
        <v/>
      </c>
      <c r="L111" s="658">
        <f>SUM(L107:L110)</f>
        <v/>
      </c>
      <c r="M111" s="658">
        <f>SUM(M107:M110)</f>
        <v/>
      </c>
      <c r="N111" s="658">
        <f>SUM(N107:N110)</f>
        <v/>
      </c>
      <c r="O111" s="658">
        <f>SUM(O107:O110)</f>
        <v/>
      </c>
      <c r="P111" s="658">
        <f>SUM(P107:P110)</f>
        <v/>
      </c>
      <c r="Q111" s="658">
        <f>SUM(Q107:Q110)</f>
        <v/>
      </c>
      <c r="R111" s="658">
        <f>SUM(R107:R110)</f>
        <v/>
      </c>
      <c r="S111" s="658">
        <f>SUM(S107:S110)</f>
        <v/>
      </c>
      <c r="T111" s="658">
        <f>SUM(T107:T110)</f>
        <v/>
      </c>
      <c r="U111" s="658">
        <f>SUM(U107:U110)</f>
        <v/>
      </c>
      <c r="V111" s="658">
        <f>SUM(V107:V110)</f>
        <v/>
      </c>
      <c r="W111" s="658">
        <f>SUM(W107:W110)</f>
        <v/>
      </c>
      <c r="X111" s="658">
        <f>SUM(X107:X110)</f>
        <v/>
      </c>
      <c r="Y111" s="658">
        <f>SUM(Y107:Y110)</f>
        <v/>
      </c>
      <c r="Z111" s="658">
        <f>SUM(Z107:Z110)</f>
        <v/>
      </c>
      <c r="AA111" s="658">
        <f>SUM(AA107:AA110)</f>
        <v/>
      </c>
      <c r="AB111" s="658">
        <f>SUM(AB107:AB110)</f>
        <v/>
      </c>
      <c r="AC111" s="658">
        <f>SUM(AC107:AC110)</f>
        <v/>
      </c>
      <c r="AD111" s="658">
        <f>SUM(AD107:AD110)</f>
        <v/>
      </c>
      <c r="AE111" s="658">
        <f>SUM(AE107:AE110)</f>
        <v/>
      </c>
      <c r="AF111" s="658">
        <f>SUM(AF107:AF110)</f>
        <v/>
      </c>
      <c r="AG111" s="658">
        <f>SUM(AG107:AG110)</f>
        <v/>
      </c>
      <c r="AH111" s="658">
        <f>SUM(AH107:AH110)</f>
        <v/>
      </c>
      <c r="AI111" s="658">
        <f>SUM(AI107:AI110)</f>
        <v/>
      </c>
      <c r="AJ111" s="658">
        <f>SUM(AJ107:AJ110)</f>
        <v/>
      </c>
      <c r="AK111" s="658">
        <f>SUM(AK107:AK110)</f>
        <v/>
      </c>
      <c r="AL111" s="658">
        <f>SUM(AL107:AL110)</f>
        <v/>
      </c>
      <c r="AM111" s="658">
        <f>SUM(AM107:AM110)</f>
        <v/>
      </c>
      <c r="AN111" s="658">
        <f>SUM(AN107:AN110)</f>
        <v/>
      </c>
      <c r="AO111" s="658">
        <f>SUM(AO107:AO110)</f>
        <v/>
      </c>
      <c r="AP111" s="658">
        <f>SUM(AP107:AP110)</f>
        <v/>
      </c>
      <c r="AQ111" s="658">
        <f>SUM(AQ107:AQ110)</f>
        <v/>
      </c>
      <c r="AR111" s="658">
        <f>SUM(AR107:AR110)</f>
        <v/>
      </c>
      <c r="AS111" s="658">
        <f>SUM(AS107:AS110)</f>
        <v/>
      </c>
      <c r="AT111" s="658">
        <f>SUM(AT107:AT110)</f>
        <v/>
      </c>
      <c r="AU111" s="658">
        <f>SUM(AU107:AU110)</f>
        <v/>
      </c>
      <c r="AV111" s="658">
        <f>SUM(AV107:AV110)</f>
        <v/>
      </c>
      <c r="AW111" s="658">
        <f>SUM(AW107:AW110)</f>
        <v/>
      </c>
      <c r="AX111" s="658">
        <f>SUM(AX107:AX110)</f>
        <v/>
      </c>
      <c r="AY111" s="658">
        <f>SUM(AY107:AY110)</f>
        <v/>
      </c>
      <c r="AZ111" s="658">
        <f>SUM(AZ107:AZ110)</f>
        <v/>
      </c>
      <c r="BA111" s="658">
        <f>SUM(BA107:BA110)</f>
        <v/>
      </c>
      <c r="BB111" s="658">
        <f>SUM(BB107:BB110)</f>
        <v/>
      </c>
      <c r="BC111" s="658">
        <f>SUM(BC107:BC110)</f>
        <v/>
      </c>
      <c r="BD111" s="658">
        <f>SUM(BD107:BD110)</f>
        <v/>
      </c>
      <c r="BE111" s="658">
        <f>SUM(BE107:BE110)</f>
        <v/>
      </c>
      <c r="BF111" s="658">
        <f>SUM(BF107:BF110)</f>
        <v/>
      </c>
      <c r="BG111" s="658">
        <f>SUM(BG107:BG110)</f>
        <v/>
      </c>
      <c r="BH111" s="658">
        <f>SUM(BH107:BH110)</f>
        <v/>
      </c>
      <c r="BI111" s="658">
        <f>SUM(BI107:BI110)</f>
        <v/>
      </c>
      <c r="BJ111" s="658">
        <f>SUM(BJ107:BJ110)</f>
        <v/>
      </c>
      <c r="BK111" s="658">
        <f>SUM(BK107:BK110)</f>
        <v/>
      </c>
      <c r="BL111" s="658">
        <f>SUM(BL107:BL110)</f>
        <v/>
      </c>
      <c r="BM111" s="658">
        <f>SUM(BM107:BM110)</f>
        <v/>
      </c>
      <c r="BN111" s="658">
        <f>SUM(BN107:BN110)</f>
        <v/>
      </c>
      <c r="BO111" s="658">
        <f>SUM(BO107:BO110)</f>
        <v/>
      </c>
      <c r="BP111" s="658">
        <f>SUM(BP107:BP110)</f>
        <v/>
      </c>
      <c r="BQ111" s="658">
        <f>SUM(BQ107:BQ110)</f>
        <v/>
      </c>
      <c r="BR111" s="658">
        <f>SUM(BR107:BR110)</f>
        <v/>
      </c>
      <c r="BS111" s="658">
        <f>SUM(BS107:BS110)</f>
        <v/>
      </c>
      <c r="BT111" s="658">
        <f>SUM(BT107:BT110)</f>
        <v/>
      </c>
      <c r="BU111" s="658">
        <f>SUM(BU107:BU110)</f>
        <v/>
      </c>
      <c r="BV111" s="658">
        <f>SUM(BV107:BV110)</f>
        <v/>
      </c>
      <c r="BW111" s="658">
        <f>SUM(BW107:BW110)</f>
        <v/>
      </c>
      <c r="BX111" s="658">
        <f>SUM(BX107:BX110)</f>
        <v/>
      </c>
      <c r="BY111" s="658">
        <f>SUM(BY107:BY110)</f>
        <v/>
      </c>
      <c r="BZ111" s="658">
        <f>SUM(BZ107:BZ110)</f>
        <v/>
      </c>
      <c r="CA111" s="658">
        <f>SUM(CA107:CA110)</f>
        <v/>
      </c>
      <c r="CB111" s="658">
        <f>SUM(CB107:CB110)</f>
        <v/>
      </c>
      <c r="CC111" s="658">
        <f>SUM(CC107:CC110)</f>
        <v/>
      </c>
      <c r="CD111" s="658">
        <f>SUM(CD107:CD110)</f>
        <v/>
      </c>
      <c r="CE111" s="658">
        <f>SUM(CE107:CE110)</f>
        <v/>
      </c>
      <c r="CF111" s="658">
        <f>SUM(CF107:CF110)</f>
        <v/>
      </c>
      <c r="CG111" s="658">
        <f>SUM(CG107:CG110)</f>
        <v/>
      </c>
      <c r="CH111" s="658">
        <f>SUM(CH107:CH110)</f>
        <v/>
      </c>
      <c r="CI111" s="658">
        <f>SUM(CI107:CI110)</f>
        <v/>
      </c>
      <c r="CJ111" s="658">
        <f>SUM(CJ107:CJ110)</f>
        <v/>
      </c>
      <c r="CK111" s="658">
        <f>SUM(CK107:CK110)</f>
        <v/>
      </c>
      <c r="CL111" s="658">
        <f>SUM(CL107:CL110)</f>
        <v/>
      </c>
      <c r="CM111" s="658">
        <f>SUM(CM107:CM110)</f>
        <v/>
      </c>
      <c r="CN111" s="658">
        <f>SUM(CN107:CN110)</f>
        <v/>
      </c>
      <c r="CO111" s="658">
        <f>SUM(CO107:CO110)</f>
        <v/>
      </c>
      <c r="CP111" s="658">
        <f>SUM(CP107:CP110)</f>
        <v/>
      </c>
      <c r="CQ111" s="658">
        <f>SUM(CQ107:CQ110)</f>
        <v/>
      </c>
      <c r="CR111" s="658">
        <f>SUM(CR107:CR110)</f>
        <v/>
      </c>
      <c r="CS111" s="658">
        <f>SUM(CS107:CS110)</f>
        <v/>
      </c>
      <c r="CT111" s="658">
        <f>SUM(CT107:CT110)</f>
        <v/>
      </c>
      <c r="CU111" s="658">
        <f>SUM(CU107:CU110)</f>
        <v/>
      </c>
      <c r="CV111" s="658">
        <f>SUM(CV107:CV110)</f>
        <v/>
      </c>
      <c r="CW111" s="658">
        <f>SUM(CW107:CW110)</f>
        <v/>
      </c>
      <c r="CX111" s="658">
        <f>SUM(CX107:CX110)</f>
        <v/>
      </c>
      <c r="CY111" s="658">
        <f>SUM(CY107:CY110)</f>
        <v/>
      </c>
      <c r="CZ111" s="658">
        <f>SUM(CZ107:CZ110)</f>
        <v/>
      </c>
      <c r="DA111" s="658">
        <f>SUM(DA107:DA110)</f>
        <v/>
      </c>
      <c r="DB111" s="658">
        <f>SUM(DB107:DB110)</f>
        <v/>
      </c>
      <c r="DC111" s="658">
        <f>SUM(DC107:DC110)</f>
        <v/>
      </c>
      <c r="DD111" s="658">
        <f>SUM(DD107:DD110)</f>
        <v/>
      </c>
      <c r="DE111" s="658">
        <f>SUM(DE107:DE110)</f>
        <v/>
      </c>
      <c r="DF111" s="658">
        <f>SUM(DF107:DF110)</f>
        <v/>
      </c>
      <c r="DG111" s="658">
        <f>SUM(DG107:DG110)</f>
        <v/>
      </c>
      <c r="DH111" s="658">
        <f>SUM(DH107:DH110)</f>
        <v/>
      </c>
      <c r="DI111" s="658">
        <f>SUM(DI107:DI110)</f>
        <v/>
      </c>
      <c r="DJ111" s="658">
        <f>SUM(DJ107:DJ110)</f>
        <v/>
      </c>
      <c r="DK111" s="658">
        <f>SUM(DK107:DK110)</f>
        <v/>
      </c>
      <c r="DL111" s="658">
        <f>SUM(DL107:DL110)</f>
        <v/>
      </c>
      <c r="DM111" s="658">
        <f>SUM(DM107:DM110)</f>
        <v/>
      </c>
      <c r="DN111" s="658">
        <f>SUM(DN107:DN110)</f>
        <v/>
      </c>
      <c r="DO111" s="658">
        <f>SUM(DO107:DO110)</f>
        <v/>
      </c>
      <c r="DP111" s="658">
        <f>SUM(DP107:DP110)</f>
        <v/>
      </c>
      <c r="DQ111" s="658">
        <f>SUM(DQ107:DQ110)</f>
        <v/>
      </c>
      <c r="DR111" s="658">
        <f>SUM(DR107:DR110)</f>
        <v/>
      </c>
      <c r="DS111" s="658">
        <f>SUM(DS107:DS110)</f>
        <v/>
      </c>
      <c r="DT111" s="658">
        <f>SUM(DT107:DT110)</f>
        <v/>
      </c>
      <c r="DU111" s="658">
        <f>SUM(DU107:DU110)</f>
        <v/>
      </c>
      <c r="DV111" s="658">
        <f>SUM(DV107:DV110)</f>
        <v/>
      </c>
      <c r="DW111" s="322" t="inlineStr">
        <is>
          <t>x</t>
        </is>
      </c>
    </row>
    <row r="112" hidden="1" outlineLevel="1" ht="17.25" customHeight="1" thickTop="1">
      <c r="C112" s="365" t="n"/>
      <c r="D112" s="484" t="n"/>
      <c r="E112" s="463" t="n"/>
      <c r="F112" s="374" t="n"/>
      <c r="G112" s="374" t="n"/>
      <c r="H112" s="463" t="n"/>
      <c r="I112" s="463" t="n"/>
      <c r="J112" s="463" t="n"/>
      <c r="K112" s="463" t="n"/>
      <c r="L112" s="463" t="n"/>
      <c r="M112" s="463" t="n"/>
      <c r="N112" s="463" t="n"/>
      <c r="O112" s="463" t="n"/>
      <c r="P112" s="463" t="n"/>
      <c r="Q112" s="463" t="n"/>
      <c r="R112" s="463" t="n"/>
      <c r="S112" s="463" t="n"/>
      <c r="T112" s="463" t="n"/>
      <c r="U112" s="463" t="n"/>
      <c r="V112" s="463" t="n"/>
      <c r="W112" s="463" t="n"/>
      <c r="X112" s="463" t="n"/>
      <c r="Y112" s="463" t="n"/>
      <c r="Z112" s="463" t="n"/>
      <c r="AA112" s="463" t="n"/>
      <c r="AB112" s="463" t="n"/>
      <c r="AC112" s="463" t="n"/>
      <c r="AD112" s="463" t="n"/>
      <c r="AE112" s="463" t="n"/>
      <c r="AF112" s="463" t="n"/>
      <c r="AG112" s="463" t="n"/>
      <c r="AH112" s="463" t="n"/>
      <c r="AI112" s="463" t="n"/>
      <c r="AJ112" s="463" t="n"/>
      <c r="AK112" s="463" t="n"/>
      <c r="AL112" s="463" t="n"/>
      <c r="AM112" s="463" t="n"/>
      <c r="AN112" s="463" t="n"/>
      <c r="AO112" s="463" t="n"/>
      <c r="AP112" s="463" t="n"/>
      <c r="AQ112" s="463" t="n"/>
      <c r="AR112" s="463" t="n"/>
      <c r="AS112" s="463" t="n"/>
      <c r="AT112" s="463" t="n"/>
      <c r="AU112" s="463" t="n"/>
      <c r="AV112" s="463" t="n"/>
      <c r="AW112" s="463" t="n"/>
      <c r="AX112" s="463" t="n"/>
      <c r="AY112" s="463" t="n"/>
      <c r="AZ112" s="463" t="n"/>
      <c r="BA112" s="463" t="n"/>
      <c r="BB112" s="463" t="n"/>
      <c r="BC112" s="463" t="n"/>
      <c r="BD112" s="463" t="n"/>
      <c r="BE112" s="463" t="n"/>
      <c r="BF112" s="463" t="n"/>
      <c r="BG112" s="463" t="n"/>
      <c r="BH112" s="463" t="n"/>
      <c r="BI112" s="463" t="n"/>
      <c r="BJ112" s="463" t="n"/>
      <c r="BK112" s="463" t="n"/>
      <c r="BL112" s="463" t="n"/>
      <c r="BM112" s="463" t="n"/>
      <c r="BN112" s="463" t="n"/>
      <c r="BO112" s="463" t="n"/>
      <c r="BP112" s="463" t="n"/>
      <c r="BQ112" s="463" t="n"/>
      <c r="BR112" s="463" t="n"/>
      <c r="BS112" s="463" t="n"/>
      <c r="BT112" s="463" t="n"/>
      <c r="BU112" s="463" t="n"/>
      <c r="BV112" s="463" t="n"/>
      <c r="BW112" s="463" t="n"/>
      <c r="BX112" s="463" t="n"/>
      <c r="BY112" s="463" t="n"/>
      <c r="BZ112" s="463" t="n"/>
      <c r="CA112" s="463" t="n"/>
      <c r="CB112" s="463" t="n"/>
      <c r="CC112" s="463" t="n"/>
      <c r="CD112" s="463" t="n"/>
      <c r="CE112" s="463" t="n"/>
      <c r="CF112" s="463" t="n"/>
      <c r="CG112" s="463" t="n"/>
      <c r="CH112" s="463" t="n"/>
      <c r="CI112" s="463" t="n"/>
      <c r="CJ112" s="463" t="n"/>
      <c r="CK112" s="463" t="n"/>
      <c r="CL112" s="463" t="n"/>
      <c r="CM112" s="463" t="n"/>
      <c r="CN112" s="463" t="n"/>
      <c r="CO112" s="463" t="n"/>
      <c r="CP112" s="463" t="n"/>
      <c r="CQ112" s="463" t="n"/>
      <c r="CR112" s="463" t="n"/>
      <c r="CS112" s="463" t="n"/>
      <c r="CT112" s="463" t="n"/>
      <c r="CU112" s="463" t="n"/>
      <c r="CV112" s="463" t="n"/>
      <c r="CW112" s="463" t="n"/>
      <c r="CX112" s="463" t="n"/>
      <c r="CY112" s="463" t="n"/>
      <c r="CZ112" s="463" t="n"/>
      <c r="DA112" s="463" t="n"/>
      <c r="DB112" s="463" t="n"/>
      <c r="DC112" s="463" t="n"/>
      <c r="DD112" s="463" t="n"/>
      <c r="DE112" s="463" t="n"/>
      <c r="DF112" s="463" t="n"/>
      <c r="DG112" s="463" t="n"/>
      <c r="DH112" s="463" t="n"/>
      <c r="DI112" s="463" t="n"/>
      <c r="DJ112" s="463" t="n"/>
      <c r="DK112" s="463" t="n"/>
      <c r="DL112" s="463" t="n"/>
      <c r="DM112" s="463" t="n"/>
      <c r="DN112" s="463" t="n"/>
      <c r="DO112" s="463" t="n"/>
      <c r="DP112" s="463" t="n"/>
      <c r="DQ112" s="463" t="n"/>
      <c r="DR112" s="463" t="n"/>
      <c r="DS112" s="463" t="n"/>
      <c r="DT112" s="463" t="n"/>
      <c r="DU112" s="463" t="n"/>
      <c r="DV112" s="463" t="n"/>
      <c r="DW112" s="322" t="inlineStr">
        <is>
          <t>x</t>
        </is>
      </c>
    </row>
    <row r="113" hidden="1" outlineLevel="1">
      <c r="C113" s="382" t="inlineStr">
        <is>
          <t>Tier I - Levered Multiple Hurdle</t>
        </is>
      </c>
      <c r="D113" s="395" t="n"/>
      <c r="E113" s="471" t="n"/>
      <c r="F113" s="463" t="n"/>
      <c r="G113" s="463" t="n"/>
      <c r="H113" s="463" t="n"/>
      <c r="I113" s="463" t="n"/>
      <c r="J113" s="463" t="n"/>
      <c r="K113" s="463" t="n"/>
      <c r="L113" s="463" t="n"/>
      <c r="M113" s="463" t="n"/>
      <c r="N113" s="463" t="n"/>
      <c r="O113" s="463" t="n"/>
      <c r="P113" s="463" t="n"/>
      <c r="Q113" s="463" t="n"/>
      <c r="R113" s="463" t="n"/>
      <c r="S113" s="463" t="n"/>
      <c r="T113" s="463" t="n"/>
      <c r="U113" s="463" t="n"/>
      <c r="V113" s="463" t="n"/>
      <c r="W113" s="463" t="n"/>
      <c r="X113" s="463" t="n"/>
      <c r="Y113" s="463" t="n"/>
      <c r="Z113" s="463" t="n"/>
      <c r="AA113" s="463" t="n"/>
      <c r="AB113" s="463" t="n"/>
      <c r="AC113" s="463" t="n"/>
      <c r="AD113" s="463" t="n"/>
      <c r="AE113" s="463" t="n"/>
      <c r="AF113" s="463" t="n"/>
      <c r="AG113" s="463" t="n"/>
      <c r="AH113" s="463" t="n"/>
      <c r="AI113" s="463" t="n"/>
      <c r="AJ113" s="463" t="n"/>
      <c r="AK113" s="463" t="n"/>
      <c r="AL113" s="463" t="n"/>
      <c r="AM113" s="374" t="n"/>
      <c r="AN113" s="374" t="n"/>
      <c r="AO113" s="374" t="n"/>
      <c r="AP113" s="472" t="n"/>
      <c r="AQ113" s="472" t="n"/>
      <c r="AR113" s="472" t="n"/>
      <c r="AS113" s="472" t="n"/>
      <c r="AT113" s="472" t="n"/>
      <c r="AU113" s="472" t="n"/>
      <c r="AV113" s="473" t="inlineStr">
        <is>
          <t>x</t>
        </is>
      </c>
      <c r="AW113" s="360" t="n"/>
      <c r="AX113" s="360" t="n"/>
      <c r="AY113" s="360" t="n"/>
      <c r="AZ113" s="360" t="n"/>
      <c r="BA113" s="360" t="n"/>
      <c r="BB113" s="360" t="n"/>
      <c r="BC113" s="360" t="n"/>
      <c r="BD113" s="360" t="n"/>
      <c r="BE113" s="360" t="n"/>
      <c r="BF113" s="360" t="n"/>
      <c r="BG113" s="360" t="n"/>
      <c r="BH113" s="360" t="n"/>
      <c r="BI113" s="360" t="n"/>
      <c r="BJ113" s="360" t="n"/>
      <c r="BK113" s="360" t="n"/>
      <c r="BL113" s="360" t="n"/>
      <c r="BM113" s="360" t="n"/>
      <c r="BN113" s="360" t="n"/>
      <c r="BO113" s="360" t="n"/>
      <c r="BP113" s="360" t="n"/>
      <c r="BQ113" s="360" t="n"/>
      <c r="BR113" s="360" t="n"/>
      <c r="BS113" s="360" t="n"/>
      <c r="BT113" s="360" t="n"/>
      <c r="BU113" s="360" t="n"/>
      <c r="BV113" s="360" t="n"/>
      <c r="BW113" s="360" t="n"/>
      <c r="BX113" s="360" t="n"/>
      <c r="BY113" s="360" t="n"/>
      <c r="BZ113" s="360" t="n"/>
      <c r="CA113" s="360" t="n"/>
      <c r="CB113" s="360" t="n"/>
      <c r="CC113" s="360" t="n"/>
      <c r="CD113" s="360" t="n"/>
      <c r="CE113" s="360" t="n"/>
      <c r="CF113" s="360" t="n"/>
      <c r="CG113" s="360" t="n"/>
      <c r="CH113" s="360" t="n"/>
      <c r="CI113" s="360" t="n"/>
      <c r="CJ113" s="360" t="n"/>
      <c r="CK113" s="360" t="n"/>
      <c r="CL113" s="360" t="n"/>
      <c r="CM113" s="360" t="n"/>
      <c r="CN113" s="360" t="n"/>
      <c r="CO113" s="360" t="n"/>
      <c r="CP113" s="360" t="n"/>
      <c r="CQ113" s="360" t="n"/>
      <c r="CR113" s="360" t="n"/>
      <c r="CS113" s="360" t="n"/>
      <c r="CT113" s="360" t="n"/>
      <c r="CU113" s="360" t="n"/>
      <c r="CV113" s="360" t="n"/>
      <c r="CW113" s="360" t="n"/>
      <c r="CX113" s="360" t="n"/>
      <c r="CY113" s="360" t="n"/>
      <c r="CZ113" s="360" t="n"/>
      <c r="DA113" s="360" t="n"/>
      <c r="DB113" s="360" t="n"/>
      <c r="DC113" s="360" t="n"/>
      <c r="DD113" s="360" t="n"/>
      <c r="DE113" s="360" t="n"/>
      <c r="DF113" s="360" t="n"/>
      <c r="DG113" s="360" t="n"/>
      <c r="DH113" s="360" t="n"/>
      <c r="DI113" s="360" t="n"/>
      <c r="DJ113" s="360" t="n"/>
      <c r="DK113" s="360" t="n"/>
      <c r="DL113" s="360" t="n"/>
      <c r="DM113" s="360" t="n"/>
      <c r="DN113" s="360" t="n"/>
      <c r="DO113" s="360" t="n"/>
      <c r="DP113" s="360" t="n"/>
      <c r="DQ113" s="360" t="n"/>
      <c r="DR113" s="360" t="n"/>
      <c r="DS113" s="360" t="n"/>
      <c r="DT113" s="360" t="n"/>
      <c r="DU113" s="360" t="n"/>
      <c r="DV113" s="360" t="n"/>
      <c r="DW113" s="322" t="inlineStr">
        <is>
          <t>x</t>
        </is>
      </c>
    </row>
    <row r="114" hidden="1" outlineLevel="1">
      <c r="C114" s="374" t="inlineStr">
        <is>
          <t>Injections</t>
        </is>
      </c>
      <c r="D114" s="474" t="n"/>
      <c r="E114" s="681">
        <f>SUM(F114:BN114)</f>
        <v/>
      </c>
      <c r="F114" s="680">
        <f>F108</f>
        <v/>
      </c>
      <c r="G114" s="680">
        <f>G108</f>
        <v/>
      </c>
      <c r="H114" s="680">
        <f>H108</f>
        <v/>
      </c>
      <c r="I114" s="680">
        <f>I108</f>
        <v/>
      </c>
      <c r="J114" s="680">
        <f>J108</f>
        <v/>
      </c>
      <c r="K114" s="680">
        <f>K108</f>
        <v/>
      </c>
      <c r="L114" s="680">
        <f>L108</f>
        <v/>
      </c>
      <c r="M114" s="680">
        <f>M108</f>
        <v/>
      </c>
      <c r="N114" s="680">
        <f>N108</f>
        <v/>
      </c>
      <c r="O114" s="680">
        <f>O108</f>
        <v/>
      </c>
      <c r="P114" s="680">
        <f>P108</f>
        <v/>
      </c>
      <c r="Q114" s="680">
        <f>Q108</f>
        <v/>
      </c>
      <c r="R114" s="680">
        <f>R108</f>
        <v/>
      </c>
      <c r="S114" s="680">
        <f>S108</f>
        <v/>
      </c>
      <c r="T114" s="680">
        <f>T108</f>
        <v/>
      </c>
      <c r="U114" s="680">
        <f>U108</f>
        <v/>
      </c>
      <c r="V114" s="680">
        <f>V108</f>
        <v/>
      </c>
      <c r="W114" s="680">
        <f>W108</f>
        <v/>
      </c>
      <c r="X114" s="680">
        <f>X108</f>
        <v/>
      </c>
      <c r="Y114" s="680">
        <f>Y108</f>
        <v/>
      </c>
      <c r="Z114" s="680">
        <f>Z108</f>
        <v/>
      </c>
      <c r="AA114" s="680">
        <f>AA108</f>
        <v/>
      </c>
      <c r="AB114" s="680">
        <f>AB108</f>
        <v/>
      </c>
      <c r="AC114" s="680">
        <f>AC108</f>
        <v/>
      </c>
      <c r="AD114" s="680">
        <f>AD108</f>
        <v/>
      </c>
      <c r="AE114" s="680">
        <f>AE108</f>
        <v/>
      </c>
      <c r="AF114" s="680">
        <f>AF108</f>
        <v/>
      </c>
      <c r="AG114" s="680">
        <f>AG108</f>
        <v/>
      </c>
      <c r="AH114" s="680">
        <f>AH108</f>
        <v/>
      </c>
      <c r="AI114" s="680">
        <f>AI108</f>
        <v/>
      </c>
      <c r="AJ114" s="680">
        <f>AJ108</f>
        <v/>
      </c>
      <c r="AK114" s="680">
        <f>AK108</f>
        <v/>
      </c>
      <c r="AL114" s="680">
        <f>AL108</f>
        <v/>
      </c>
      <c r="AM114" s="680">
        <f>AM108</f>
        <v/>
      </c>
      <c r="AN114" s="680">
        <f>AN108</f>
        <v/>
      </c>
      <c r="AO114" s="680">
        <f>AO108</f>
        <v/>
      </c>
      <c r="AP114" s="680">
        <f>AP108</f>
        <v/>
      </c>
      <c r="AQ114" s="680">
        <f>AQ108</f>
        <v/>
      </c>
      <c r="AR114" s="680">
        <f>AR108</f>
        <v/>
      </c>
      <c r="AS114" s="680">
        <f>AS108</f>
        <v/>
      </c>
      <c r="AT114" s="680">
        <f>AT108</f>
        <v/>
      </c>
      <c r="AU114" s="680">
        <f>AU108</f>
        <v/>
      </c>
      <c r="AV114" s="680">
        <f>AV108</f>
        <v/>
      </c>
      <c r="AW114" s="680">
        <f>AW108</f>
        <v/>
      </c>
      <c r="AX114" s="680">
        <f>AX108</f>
        <v/>
      </c>
      <c r="AY114" s="680">
        <f>AY108</f>
        <v/>
      </c>
      <c r="AZ114" s="680">
        <f>AZ108</f>
        <v/>
      </c>
      <c r="BA114" s="680">
        <f>BA108</f>
        <v/>
      </c>
      <c r="BB114" s="680">
        <f>BB108</f>
        <v/>
      </c>
      <c r="BC114" s="680">
        <f>BC108</f>
        <v/>
      </c>
      <c r="BD114" s="680">
        <f>BD108</f>
        <v/>
      </c>
      <c r="BE114" s="680">
        <f>BE108</f>
        <v/>
      </c>
      <c r="BF114" s="680">
        <f>BF108</f>
        <v/>
      </c>
      <c r="BG114" s="680">
        <f>BG108</f>
        <v/>
      </c>
      <c r="BH114" s="680">
        <f>BH108</f>
        <v/>
      </c>
      <c r="BI114" s="680">
        <f>BI108</f>
        <v/>
      </c>
      <c r="BJ114" s="680">
        <f>BJ108</f>
        <v/>
      </c>
      <c r="BK114" s="680">
        <f>BK108</f>
        <v/>
      </c>
      <c r="BL114" s="680">
        <f>BL108</f>
        <v/>
      </c>
      <c r="BM114" s="680">
        <f>BM108</f>
        <v/>
      </c>
      <c r="BN114" s="680">
        <f>BN108</f>
        <v/>
      </c>
      <c r="BO114" s="680">
        <f>BO108</f>
        <v/>
      </c>
      <c r="BP114" s="680">
        <f>BP108</f>
        <v/>
      </c>
      <c r="BQ114" s="680">
        <f>BQ108</f>
        <v/>
      </c>
      <c r="BR114" s="680">
        <f>BR108</f>
        <v/>
      </c>
      <c r="BS114" s="680">
        <f>BS108</f>
        <v/>
      </c>
      <c r="BT114" s="680">
        <f>BT108</f>
        <v/>
      </c>
      <c r="BU114" s="680">
        <f>BU108</f>
        <v/>
      </c>
      <c r="BV114" s="680">
        <f>BV108</f>
        <v/>
      </c>
      <c r="BW114" s="680">
        <f>BW108</f>
        <v/>
      </c>
      <c r="BX114" s="680">
        <f>BX108</f>
        <v/>
      </c>
      <c r="BY114" s="680">
        <f>BY108</f>
        <v/>
      </c>
      <c r="BZ114" s="680">
        <f>BZ108</f>
        <v/>
      </c>
      <c r="CA114" s="680">
        <f>CA108</f>
        <v/>
      </c>
      <c r="CB114" s="680">
        <f>CB108</f>
        <v/>
      </c>
      <c r="CC114" s="680">
        <f>CC108</f>
        <v/>
      </c>
      <c r="CD114" s="680">
        <f>CD108</f>
        <v/>
      </c>
      <c r="CE114" s="680">
        <f>CE108</f>
        <v/>
      </c>
      <c r="CF114" s="680">
        <f>CF108</f>
        <v/>
      </c>
      <c r="CG114" s="680">
        <f>CG108</f>
        <v/>
      </c>
      <c r="CH114" s="680">
        <f>CH108</f>
        <v/>
      </c>
      <c r="CI114" s="680">
        <f>CI108</f>
        <v/>
      </c>
      <c r="CJ114" s="680">
        <f>CJ108</f>
        <v/>
      </c>
      <c r="CK114" s="680">
        <f>CK108</f>
        <v/>
      </c>
      <c r="CL114" s="680">
        <f>CL108</f>
        <v/>
      </c>
      <c r="CM114" s="680">
        <f>CM108</f>
        <v/>
      </c>
      <c r="CN114" s="680">
        <f>CN108</f>
        <v/>
      </c>
      <c r="CO114" s="680">
        <f>CO108</f>
        <v/>
      </c>
      <c r="CP114" s="680">
        <f>CP108</f>
        <v/>
      </c>
      <c r="CQ114" s="680">
        <f>CQ108</f>
        <v/>
      </c>
      <c r="CR114" s="680">
        <f>CR108</f>
        <v/>
      </c>
      <c r="CS114" s="680">
        <f>CS108</f>
        <v/>
      </c>
      <c r="CT114" s="680">
        <f>CT108</f>
        <v/>
      </c>
      <c r="CU114" s="680">
        <f>CU108</f>
        <v/>
      </c>
      <c r="CV114" s="680">
        <f>CV108</f>
        <v/>
      </c>
      <c r="CW114" s="680">
        <f>CW108</f>
        <v/>
      </c>
      <c r="CX114" s="680">
        <f>CX108</f>
        <v/>
      </c>
      <c r="CY114" s="680">
        <f>CY108</f>
        <v/>
      </c>
      <c r="CZ114" s="680">
        <f>CZ108</f>
        <v/>
      </c>
      <c r="DA114" s="680">
        <f>DA108</f>
        <v/>
      </c>
      <c r="DB114" s="680">
        <f>DB108</f>
        <v/>
      </c>
      <c r="DC114" s="680">
        <f>DC108</f>
        <v/>
      </c>
      <c r="DD114" s="680">
        <f>DD108</f>
        <v/>
      </c>
      <c r="DE114" s="680">
        <f>DE108</f>
        <v/>
      </c>
      <c r="DF114" s="680">
        <f>DF108</f>
        <v/>
      </c>
      <c r="DG114" s="680">
        <f>DG108</f>
        <v/>
      </c>
      <c r="DH114" s="680">
        <f>DH108</f>
        <v/>
      </c>
      <c r="DI114" s="680">
        <f>DI108</f>
        <v/>
      </c>
      <c r="DJ114" s="680">
        <f>DJ108</f>
        <v/>
      </c>
      <c r="DK114" s="680">
        <f>DK108</f>
        <v/>
      </c>
      <c r="DL114" s="680">
        <f>DL108</f>
        <v/>
      </c>
      <c r="DM114" s="680">
        <f>DM108</f>
        <v/>
      </c>
      <c r="DN114" s="680">
        <f>DN108</f>
        <v/>
      </c>
      <c r="DO114" s="680">
        <f>DO108</f>
        <v/>
      </c>
      <c r="DP114" s="680">
        <f>DP108</f>
        <v/>
      </c>
      <c r="DQ114" s="680">
        <f>DQ108</f>
        <v/>
      </c>
      <c r="DR114" s="680">
        <f>DR108</f>
        <v/>
      </c>
      <c r="DS114" s="680">
        <f>DS108</f>
        <v/>
      </c>
      <c r="DT114" s="680">
        <f>DT108</f>
        <v/>
      </c>
      <c r="DU114" s="680">
        <f>DU108</f>
        <v/>
      </c>
      <c r="DV114" s="680">
        <f>DV108</f>
        <v/>
      </c>
      <c r="DW114" s="322" t="inlineStr">
        <is>
          <t>x</t>
        </is>
      </c>
    </row>
    <row r="115" hidden="1" outlineLevel="1">
      <c r="C115" s="374" t="inlineStr">
        <is>
          <t>Beginning Balance</t>
        </is>
      </c>
      <c r="D115" s="484" t="n"/>
      <c r="E115" s="463">
        <f>SUM(F115:BN115)</f>
        <v/>
      </c>
      <c r="F115" s="683" t="n">
        <v>0</v>
      </c>
      <c r="G115" s="681">
        <f>F118</f>
        <v/>
      </c>
      <c r="H115" s="681">
        <f>G118</f>
        <v/>
      </c>
      <c r="I115" s="681">
        <f>H118</f>
        <v/>
      </c>
      <c r="J115" s="681">
        <f>I118</f>
        <v/>
      </c>
      <c r="K115" s="681">
        <f>J118</f>
        <v/>
      </c>
      <c r="L115" s="681">
        <f>K118</f>
        <v/>
      </c>
      <c r="M115" s="681">
        <f>L118</f>
        <v/>
      </c>
      <c r="N115" s="681">
        <f>M118</f>
        <v/>
      </c>
      <c r="O115" s="681">
        <f>N118</f>
        <v/>
      </c>
      <c r="P115" s="681">
        <f>O118</f>
        <v/>
      </c>
      <c r="Q115" s="681">
        <f>P118</f>
        <v/>
      </c>
      <c r="R115" s="681">
        <f>Q118</f>
        <v/>
      </c>
      <c r="S115" s="681">
        <f>R118</f>
        <v/>
      </c>
      <c r="T115" s="681">
        <f>S118</f>
        <v/>
      </c>
      <c r="U115" s="681">
        <f>T118</f>
        <v/>
      </c>
      <c r="V115" s="681">
        <f>U118</f>
        <v/>
      </c>
      <c r="W115" s="681">
        <f>V118</f>
        <v/>
      </c>
      <c r="X115" s="681">
        <f>W118</f>
        <v/>
      </c>
      <c r="Y115" s="681">
        <f>X118</f>
        <v/>
      </c>
      <c r="Z115" s="681">
        <f>Y118</f>
        <v/>
      </c>
      <c r="AA115" s="681">
        <f>Z118</f>
        <v/>
      </c>
      <c r="AB115" s="681">
        <f>AA118</f>
        <v/>
      </c>
      <c r="AC115" s="681">
        <f>AB118</f>
        <v/>
      </c>
      <c r="AD115" s="681">
        <f>AC118</f>
        <v/>
      </c>
      <c r="AE115" s="681">
        <f>AD118</f>
        <v/>
      </c>
      <c r="AF115" s="681">
        <f>AE118</f>
        <v/>
      </c>
      <c r="AG115" s="681">
        <f>AF118</f>
        <v/>
      </c>
      <c r="AH115" s="681">
        <f>AG118</f>
        <v/>
      </c>
      <c r="AI115" s="681">
        <f>AH118</f>
        <v/>
      </c>
      <c r="AJ115" s="681">
        <f>AI118</f>
        <v/>
      </c>
      <c r="AK115" s="681">
        <f>AJ118</f>
        <v/>
      </c>
      <c r="AL115" s="681">
        <f>AK118</f>
        <v/>
      </c>
      <c r="AM115" s="681">
        <f>AL118</f>
        <v/>
      </c>
      <c r="AN115" s="681">
        <f>AM118</f>
        <v/>
      </c>
      <c r="AO115" s="681">
        <f>AN118</f>
        <v/>
      </c>
      <c r="AP115" s="681">
        <f>AO118</f>
        <v/>
      </c>
      <c r="AQ115" s="681">
        <f>AP118</f>
        <v/>
      </c>
      <c r="AR115" s="681">
        <f>AQ118</f>
        <v/>
      </c>
      <c r="AS115" s="681">
        <f>AR118</f>
        <v/>
      </c>
      <c r="AT115" s="681">
        <f>AS118</f>
        <v/>
      </c>
      <c r="AU115" s="681">
        <f>AT118</f>
        <v/>
      </c>
      <c r="AV115" s="681">
        <f>AU118</f>
        <v/>
      </c>
      <c r="AW115" s="681">
        <f>AV118</f>
        <v/>
      </c>
      <c r="AX115" s="681">
        <f>AW118</f>
        <v/>
      </c>
      <c r="AY115" s="681">
        <f>AX118</f>
        <v/>
      </c>
      <c r="AZ115" s="681">
        <f>AY118</f>
        <v/>
      </c>
      <c r="BA115" s="681">
        <f>AZ118</f>
        <v/>
      </c>
      <c r="BB115" s="681">
        <f>BA118</f>
        <v/>
      </c>
      <c r="BC115" s="681">
        <f>BB118</f>
        <v/>
      </c>
      <c r="BD115" s="681">
        <f>BC118</f>
        <v/>
      </c>
      <c r="BE115" s="681">
        <f>BD118</f>
        <v/>
      </c>
      <c r="BF115" s="681">
        <f>BE118</f>
        <v/>
      </c>
      <c r="BG115" s="681">
        <f>BF118</f>
        <v/>
      </c>
      <c r="BH115" s="681">
        <f>BG118</f>
        <v/>
      </c>
      <c r="BI115" s="681">
        <f>BH118</f>
        <v/>
      </c>
      <c r="BJ115" s="681">
        <f>BI118</f>
        <v/>
      </c>
      <c r="BK115" s="681">
        <f>BJ118</f>
        <v/>
      </c>
      <c r="BL115" s="681">
        <f>BK118</f>
        <v/>
      </c>
      <c r="BM115" s="681">
        <f>BL118</f>
        <v/>
      </c>
      <c r="BN115" s="681">
        <f>BM118</f>
        <v/>
      </c>
      <c r="BO115" s="681">
        <f>BN118</f>
        <v/>
      </c>
      <c r="BP115" s="681">
        <f>BO118</f>
        <v/>
      </c>
      <c r="BQ115" s="681">
        <f>BP118</f>
        <v/>
      </c>
      <c r="BR115" s="681">
        <f>BQ118</f>
        <v/>
      </c>
      <c r="BS115" s="681">
        <f>BR118</f>
        <v/>
      </c>
      <c r="BT115" s="681">
        <f>BS118</f>
        <v/>
      </c>
      <c r="BU115" s="681">
        <f>BT118</f>
        <v/>
      </c>
      <c r="BV115" s="681">
        <f>BU118</f>
        <v/>
      </c>
      <c r="BW115" s="681">
        <f>BV118</f>
        <v/>
      </c>
      <c r="BX115" s="681">
        <f>BW118</f>
        <v/>
      </c>
      <c r="BY115" s="681">
        <f>BX118</f>
        <v/>
      </c>
      <c r="BZ115" s="681">
        <f>BY118</f>
        <v/>
      </c>
      <c r="CA115" s="681">
        <f>BZ118</f>
        <v/>
      </c>
      <c r="CB115" s="681">
        <f>CA118</f>
        <v/>
      </c>
      <c r="CC115" s="681">
        <f>CB118</f>
        <v/>
      </c>
      <c r="CD115" s="681">
        <f>CC118</f>
        <v/>
      </c>
      <c r="CE115" s="681">
        <f>CD118</f>
        <v/>
      </c>
      <c r="CF115" s="681">
        <f>CE118</f>
        <v/>
      </c>
      <c r="CG115" s="681">
        <f>CF118</f>
        <v/>
      </c>
      <c r="CH115" s="681">
        <f>CG118</f>
        <v/>
      </c>
      <c r="CI115" s="681">
        <f>CH118</f>
        <v/>
      </c>
      <c r="CJ115" s="681">
        <f>CI118</f>
        <v/>
      </c>
      <c r="CK115" s="681">
        <f>CJ118</f>
        <v/>
      </c>
      <c r="CL115" s="681">
        <f>CK118</f>
        <v/>
      </c>
      <c r="CM115" s="681">
        <f>CL118</f>
        <v/>
      </c>
      <c r="CN115" s="681">
        <f>CM118</f>
        <v/>
      </c>
      <c r="CO115" s="681">
        <f>CN118</f>
        <v/>
      </c>
      <c r="CP115" s="681">
        <f>CO118</f>
        <v/>
      </c>
      <c r="CQ115" s="681">
        <f>CP118</f>
        <v/>
      </c>
      <c r="CR115" s="681">
        <f>CQ118</f>
        <v/>
      </c>
      <c r="CS115" s="681">
        <f>CR118</f>
        <v/>
      </c>
      <c r="CT115" s="681">
        <f>CS118</f>
        <v/>
      </c>
      <c r="CU115" s="681">
        <f>CT118</f>
        <v/>
      </c>
      <c r="CV115" s="681">
        <f>CU118</f>
        <v/>
      </c>
      <c r="CW115" s="681">
        <f>CV118</f>
        <v/>
      </c>
      <c r="CX115" s="681">
        <f>CW118</f>
        <v/>
      </c>
      <c r="CY115" s="681">
        <f>CX118</f>
        <v/>
      </c>
      <c r="CZ115" s="681">
        <f>CY118</f>
        <v/>
      </c>
      <c r="DA115" s="681">
        <f>CZ118</f>
        <v/>
      </c>
      <c r="DB115" s="681">
        <f>DA118</f>
        <v/>
      </c>
      <c r="DC115" s="681">
        <f>DB118</f>
        <v/>
      </c>
      <c r="DD115" s="681">
        <f>DC118</f>
        <v/>
      </c>
      <c r="DE115" s="681">
        <f>DD118</f>
        <v/>
      </c>
      <c r="DF115" s="681">
        <f>DE118</f>
        <v/>
      </c>
      <c r="DG115" s="681">
        <f>DF118</f>
        <v/>
      </c>
      <c r="DH115" s="681">
        <f>DG118</f>
        <v/>
      </c>
      <c r="DI115" s="681">
        <f>DH118</f>
        <v/>
      </c>
      <c r="DJ115" s="681">
        <f>DI118</f>
        <v/>
      </c>
      <c r="DK115" s="681">
        <f>DJ118</f>
        <v/>
      </c>
      <c r="DL115" s="681">
        <f>DK118</f>
        <v/>
      </c>
      <c r="DM115" s="681">
        <f>DL118</f>
        <v/>
      </c>
      <c r="DN115" s="681">
        <f>DM118</f>
        <v/>
      </c>
      <c r="DO115" s="681">
        <f>DN118</f>
        <v/>
      </c>
      <c r="DP115" s="681">
        <f>DO118</f>
        <v/>
      </c>
      <c r="DQ115" s="681">
        <f>DP118</f>
        <v/>
      </c>
      <c r="DR115" s="681">
        <f>DQ118</f>
        <v/>
      </c>
      <c r="DS115" s="681">
        <f>DR118</f>
        <v/>
      </c>
      <c r="DT115" s="681">
        <f>DS118</f>
        <v/>
      </c>
      <c r="DU115" s="681">
        <f>DT118</f>
        <v/>
      </c>
      <c r="DV115" s="681">
        <f>DU118</f>
        <v/>
      </c>
      <c r="DW115" s="322" t="inlineStr">
        <is>
          <t>x</t>
        </is>
      </c>
    </row>
    <row r="116" hidden="1" outlineLevel="1">
      <c r="C116" s="476" t="inlineStr">
        <is>
          <t>Investor Accrual</t>
        </is>
      </c>
      <c r="D116" s="477">
        <f>F38</f>
        <v/>
      </c>
      <c r="E116" s="463">
        <f>SUM(F116:BN116)</f>
        <v/>
      </c>
      <c r="F116" s="468">
        <f>F114*$D$96</f>
        <v/>
      </c>
      <c r="G116" s="468">
        <f>G114*$D$96</f>
        <v/>
      </c>
      <c r="H116" s="468">
        <f>H114*$D$96</f>
        <v/>
      </c>
      <c r="I116" s="468">
        <f>I114*$D$96</f>
        <v/>
      </c>
      <c r="J116" s="468">
        <f>J114*$D$96</f>
        <v/>
      </c>
      <c r="K116" s="468">
        <f>K114*$D$96</f>
        <v/>
      </c>
      <c r="L116" s="468">
        <f>L114*$D$96</f>
        <v/>
      </c>
      <c r="M116" s="468">
        <f>M114*$D$96</f>
        <v/>
      </c>
      <c r="N116" s="468">
        <f>N114*$D$96</f>
        <v/>
      </c>
      <c r="O116" s="468">
        <f>O114*$D$96</f>
        <v/>
      </c>
      <c r="P116" s="468">
        <f>P114*$D$96</f>
        <v/>
      </c>
      <c r="Q116" s="468">
        <f>Q114*$D$96</f>
        <v/>
      </c>
      <c r="R116" s="468">
        <f>R114*$D$96</f>
        <v/>
      </c>
      <c r="S116" s="468">
        <f>S114*$D$96</f>
        <v/>
      </c>
      <c r="T116" s="468">
        <f>T114*$D$96</f>
        <v/>
      </c>
      <c r="U116" s="468">
        <f>U114*$D$96</f>
        <v/>
      </c>
      <c r="V116" s="468">
        <f>V114*$D$96</f>
        <v/>
      </c>
      <c r="W116" s="468">
        <f>W114*$D$96</f>
        <v/>
      </c>
      <c r="X116" s="468">
        <f>X114*$D$96</f>
        <v/>
      </c>
      <c r="Y116" s="468">
        <f>Y114*$D$96</f>
        <v/>
      </c>
      <c r="Z116" s="468">
        <f>Z114*$D$96</f>
        <v/>
      </c>
      <c r="AA116" s="468">
        <f>AA114*$D$96</f>
        <v/>
      </c>
      <c r="AB116" s="468">
        <f>AB114*$D$96</f>
        <v/>
      </c>
      <c r="AC116" s="468">
        <f>AC114*$D$96</f>
        <v/>
      </c>
      <c r="AD116" s="468">
        <f>AD114*$D$96</f>
        <v/>
      </c>
      <c r="AE116" s="468">
        <f>AE114*$D$96</f>
        <v/>
      </c>
      <c r="AF116" s="468">
        <f>AF114*$D$96</f>
        <v/>
      </c>
      <c r="AG116" s="468">
        <f>AG114*$D$96</f>
        <v/>
      </c>
      <c r="AH116" s="468">
        <f>AH114*$D$96</f>
        <v/>
      </c>
      <c r="AI116" s="468">
        <f>AI114*$D$96</f>
        <v/>
      </c>
      <c r="AJ116" s="468">
        <f>AJ114*$D$96</f>
        <v/>
      </c>
      <c r="AK116" s="468">
        <f>AK114*$D$96</f>
        <v/>
      </c>
      <c r="AL116" s="468">
        <f>AL114*$D$96</f>
        <v/>
      </c>
      <c r="AM116" s="468">
        <f>AM114*$D$96</f>
        <v/>
      </c>
      <c r="AN116" s="468">
        <f>AN114*$D$96</f>
        <v/>
      </c>
      <c r="AO116" s="468">
        <f>AO114*$D$96</f>
        <v/>
      </c>
      <c r="AP116" s="468">
        <f>AP114*$D$96</f>
        <v/>
      </c>
      <c r="AQ116" s="468">
        <f>AQ114*$D$96</f>
        <v/>
      </c>
      <c r="AR116" s="468">
        <f>AR114*$D$96</f>
        <v/>
      </c>
      <c r="AS116" s="468">
        <f>AS114*$D$96</f>
        <v/>
      </c>
      <c r="AT116" s="468">
        <f>AT114*$D$96</f>
        <v/>
      </c>
      <c r="AU116" s="468">
        <f>AU114*$D$96</f>
        <v/>
      </c>
      <c r="AV116" s="468">
        <f>AV114*$D$96</f>
        <v/>
      </c>
      <c r="AW116" s="468">
        <f>AW114*$D$96</f>
        <v/>
      </c>
      <c r="AX116" s="468">
        <f>AX114*$D$96</f>
        <v/>
      </c>
      <c r="AY116" s="468">
        <f>AY114*$D$96</f>
        <v/>
      </c>
      <c r="AZ116" s="468">
        <f>AZ114*$D$96</f>
        <v/>
      </c>
      <c r="BA116" s="468">
        <f>BA114*$D$96</f>
        <v/>
      </c>
      <c r="BB116" s="468">
        <f>BB114*$D$96</f>
        <v/>
      </c>
      <c r="BC116" s="468">
        <f>BC114*$D$96</f>
        <v/>
      </c>
      <c r="BD116" s="468">
        <f>BD114*$D$96</f>
        <v/>
      </c>
      <c r="BE116" s="468">
        <f>BE114*$D$96</f>
        <v/>
      </c>
      <c r="BF116" s="468">
        <f>BF114*$D$96</f>
        <v/>
      </c>
      <c r="BG116" s="468">
        <f>BG114*$D$96</f>
        <v/>
      </c>
      <c r="BH116" s="468">
        <f>BH114*$D$96</f>
        <v/>
      </c>
      <c r="BI116" s="468">
        <f>BI114*$D$96</f>
        <v/>
      </c>
      <c r="BJ116" s="468">
        <f>BJ114*$D$96</f>
        <v/>
      </c>
      <c r="BK116" s="468">
        <f>BK114*$D$96</f>
        <v/>
      </c>
      <c r="BL116" s="468">
        <f>BL114*$D$96</f>
        <v/>
      </c>
      <c r="BM116" s="468">
        <f>BM114*$D$96</f>
        <v/>
      </c>
      <c r="BN116" s="468">
        <f>BN114*$D$96</f>
        <v/>
      </c>
      <c r="BO116" s="468">
        <f>BO114*$D$96</f>
        <v/>
      </c>
      <c r="BP116" s="468">
        <f>BP114*$D$96</f>
        <v/>
      </c>
      <c r="BQ116" s="468">
        <f>BQ114*$D$96</f>
        <v/>
      </c>
      <c r="BR116" s="468">
        <f>BR114*$D$96</f>
        <v/>
      </c>
      <c r="BS116" s="468">
        <f>BS114*$D$96</f>
        <v/>
      </c>
      <c r="BT116" s="468">
        <f>BT114*$D$96</f>
        <v/>
      </c>
      <c r="BU116" s="468">
        <f>BU114*$D$96</f>
        <v/>
      </c>
      <c r="BV116" s="468">
        <f>BV114*$D$96</f>
        <v/>
      </c>
      <c r="BW116" s="468">
        <f>BW114*$D$96</f>
        <v/>
      </c>
      <c r="BX116" s="468">
        <f>BX114*$D$96</f>
        <v/>
      </c>
      <c r="BY116" s="468">
        <f>BY114*$D$96</f>
        <v/>
      </c>
      <c r="BZ116" s="468">
        <f>BZ114*$D$96</f>
        <v/>
      </c>
      <c r="CA116" s="468">
        <f>CA114*$D$96</f>
        <v/>
      </c>
      <c r="CB116" s="468">
        <f>CB114*$D$96</f>
        <v/>
      </c>
      <c r="CC116" s="468">
        <f>CC114*$D$96</f>
        <v/>
      </c>
      <c r="CD116" s="468">
        <f>CD114*$D$96</f>
        <v/>
      </c>
      <c r="CE116" s="468">
        <f>CE114*$D$96</f>
        <v/>
      </c>
      <c r="CF116" s="468">
        <f>CF114*$D$96</f>
        <v/>
      </c>
      <c r="CG116" s="468">
        <f>CG114*$D$96</f>
        <v/>
      </c>
      <c r="CH116" s="468">
        <f>CH114*$D$96</f>
        <v/>
      </c>
      <c r="CI116" s="468">
        <f>CI114*$D$96</f>
        <v/>
      </c>
      <c r="CJ116" s="468">
        <f>CJ114*$D$96</f>
        <v/>
      </c>
      <c r="CK116" s="468">
        <f>CK114*$D$96</f>
        <v/>
      </c>
      <c r="CL116" s="468">
        <f>CL114*$D$96</f>
        <v/>
      </c>
      <c r="CM116" s="468">
        <f>CM114*$D$96</f>
        <v/>
      </c>
      <c r="CN116" s="468">
        <f>CN114*$D$96</f>
        <v/>
      </c>
      <c r="CO116" s="468">
        <f>CO114*$D$96</f>
        <v/>
      </c>
      <c r="CP116" s="468">
        <f>CP114*$D$96</f>
        <v/>
      </c>
      <c r="CQ116" s="468">
        <f>CQ114*$D$96</f>
        <v/>
      </c>
      <c r="CR116" s="468">
        <f>CR114*$D$96</f>
        <v/>
      </c>
      <c r="CS116" s="468">
        <f>CS114*$D$96</f>
        <v/>
      </c>
      <c r="CT116" s="468">
        <f>CT114*$D$96</f>
        <v/>
      </c>
      <c r="CU116" s="468">
        <f>CU114*$D$96</f>
        <v/>
      </c>
      <c r="CV116" s="468">
        <f>CV114*$D$96</f>
        <v/>
      </c>
      <c r="CW116" s="468">
        <f>CW114*$D$96</f>
        <v/>
      </c>
      <c r="CX116" s="468">
        <f>CX114*$D$96</f>
        <v/>
      </c>
      <c r="CY116" s="468">
        <f>CY114*$D$96</f>
        <v/>
      </c>
      <c r="CZ116" s="468">
        <f>CZ114*$D$96</f>
        <v/>
      </c>
      <c r="DA116" s="468">
        <f>DA114*$D$96</f>
        <v/>
      </c>
      <c r="DB116" s="468">
        <f>DB114*$D$96</f>
        <v/>
      </c>
      <c r="DC116" s="468">
        <f>DC114*$D$96</f>
        <v/>
      </c>
      <c r="DD116" s="468">
        <f>DD114*$D$96</f>
        <v/>
      </c>
      <c r="DE116" s="468">
        <f>DE114*$D$96</f>
        <v/>
      </c>
      <c r="DF116" s="468">
        <f>DF114*$D$96</f>
        <v/>
      </c>
      <c r="DG116" s="468">
        <f>DG114*$D$96</f>
        <v/>
      </c>
      <c r="DH116" s="468">
        <f>DH114*$D$96</f>
        <v/>
      </c>
      <c r="DI116" s="468">
        <f>DI114*$D$96</f>
        <v/>
      </c>
      <c r="DJ116" s="468">
        <f>DJ114*$D$96</f>
        <v/>
      </c>
      <c r="DK116" s="468">
        <f>DK114*$D$96</f>
        <v/>
      </c>
      <c r="DL116" s="468">
        <f>DL114*$D$96</f>
        <v/>
      </c>
      <c r="DM116" s="468">
        <f>DM114*$D$96</f>
        <v/>
      </c>
      <c r="DN116" s="468">
        <f>DN114*$D$96</f>
        <v/>
      </c>
      <c r="DO116" s="468">
        <f>DO114*$D$96</f>
        <v/>
      </c>
      <c r="DP116" s="468">
        <f>DP114*$D$96</f>
        <v/>
      </c>
      <c r="DQ116" s="468">
        <f>DQ114*$D$96</f>
        <v/>
      </c>
      <c r="DR116" s="468">
        <f>DR114*$D$96</f>
        <v/>
      </c>
      <c r="DS116" s="468">
        <f>DS114*$D$96</f>
        <v/>
      </c>
      <c r="DT116" s="468">
        <f>DT114*$D$96</f>
        <v/>
      </c>
      <c r="DU116" s="468">
        <f>DU114*$D$96</f>
        <v/>
      </c>
      <c r="DV116" s="468">
        <f>DV114*$D$96</f>
        <v/>
      </c>
      <c r="DW116" s="322" t="inlineStr">
        <is>
          <t>x</t>
        </is>
      </c>
    </row>
    <row r="117" hidden="1" outlineLevel="1">
      <c r="C117" s="682">
        <f>C110</f>
        <v/>
      </c>
      <c r="D117" s="478" t="n"/>
      <c r="E117" s="463">
        <f>SUM(F117:BN117)</f>
        <v/>
      </c>
      <c r="F117" s="468">
        <f>F110</f>
        <v/>
      </c>
      <c r="G117" s="468">
        <f>G110</f>
        <v/>
      </c>
      <c r="H117" s="468">
        <f>H110</f>
        <v/>
      </c>
      <c r="I117" s="468">
        <f>I110</f>
        <v/>
      </c>
      <c r="J117" s="468">
        <f>J110</f>
        <v/>
      </c>
      <c r="K117" s="468">
        <f>K110</f>
        <v/>
      </c>
      <c r="L117" s="468">
        <f>L110</f>
        <v/>
      </c>
      <c r="M117" s="468">
        <f>M110</f>
        <v/>
      </c>
      <c r="N117" s="468">
        <f>N110</f>
        <v/>
      </c>
      <c r="O117" s="468">
        <f>O110</f>
        <v/>
      </c>
      <c r="P117" s="468">
        <f>P110</f>
        <v/>
      </c>
      <c r="Q117" s="468">
        <f>Q110</f>
        <v/>
      </c>
      <c r="R117" s="468">
        <f>R110</f>
        <v/>
      </c>
      <c r="S117" s="468">
        <f>S110</f>
        <v/>
      </c>
      <c r="T117" s="468">
        <f>T110</f>
        <v/>
      </c>
      <c r="U117" s="468">
        <f>U110</f>
        <v/>
      </c>
      <c r="V117" s="468">
        <f>V110</f>
        <v/>
      </c>
      <c r="W117" s="468">
        <f>W110</f>
        <v/>
      </c>
      <c r="X117" s="468">
        <f>X110</f>
        <v/>
      </c>
      <c r="Y117" s="468">
        <f>Y110</f>
        <v/>
      </c>
      <c r="Z117" s="468">
        <f>Z110</f>
        <v/>
      </c>
      <c r="AA117" s="468">
        <f>AA110</f>
        <v/>
      </c>
      <c r="AB117" s="468">
        <f>AB110</f>
        <v/>
      </c>
      <c r="AC117" s="468">
        <f>AC110</f>
        <v/>
      </c>
      <c r="AD117" s="468">
        <f>AD110</f>
        <v/>
      </c>
      <c r="AE117" s="468">
        <f>AE110</f>
        <v/>
      </c>
      <c r="AF117" s="468">
        <f>AF110</f>
        <v/>
      </c>
      <c r="AG117" s="468">
        <f>AG110</f>
        <v/>
      </c>
      <c r="AH117" s="468">
        <f>AH110</f>
        <v/>
      </c>
      <c r="AI117" s="468">
        <f>AI110</f>
        <v/>
      </c>
      <c r="AJ117" s="468">
        <f>AJ110</f>
        <v/>
      </c>
      <c r="AK117" s="468">
        <f>AK110</f>
        <v/>
      </c>
      <c r="AL117" s="468">
        <f>AL110</f>
        <v/>
      </c>
      <c r="AM117" s="468">
        <f>AM110</f>
        <v/>
      </c>
      <c r="AN117" s="468">
        <f>AN110</f>
        <v/>
      </c>
      <c r="AO117" s="468">
        <f>AO110</f>
        <v/>
      </c>
      <c r="AP117" s="468">
        <f>AP110</f>
        <v/>
      </c>
      <c r="AQ117" s="468">
        <f>AQ110</f>
        <v/>
      </c>
      <c r="AR117" s="468">
        <f>AR110</f>
        <v/>
      </c>
      <c r="AS117" s="468">
        <f>AS110</f>
        <v/>
      </c>
      <c r="AT117" s="468">
        <f>AT110</f>
        <v/>
      </c>
      <c r="AU117" s="468">
        <f>AU110</f>
        <v/>
      </c>
      <c r="AV117" s="468">
        <f>AV110</f>
        <v/>
      </c>
      <c r="AW117" s="468">
        <f>AW110</f>
        <v/>
      </c>
      <c r="AX117" s="468">
        <f>AX110</f>
        <v/>
      </c>
      <c r="AY117" s="468">
        <f>AY110</f>
        <v/>
      </c>
      <c r="AZ117" s="468">
        <f>AZ110</f>
        <v/>
      </c>
      <c r="BA117" s="468">
        <f>BA110</f>
        <v/>
      </c>
      <c r="BB117" s="468">
        <f>BB110</f>
        <v/>
      </c>
      <c r="BC117" s="468">
        <f>BC110</f>
        <v/>
      </c>
      <c r="BD117" s="468">
        <f>BD110</f>
        <v/>
      </c>
      <c r="BE117" s="468">
        <f>BE110</f>
        <v/>
      </c>
      <c r="BF117" s="468">
        <f>BF110</f>
        <v/>
      </c>
      <c r="BG117" s="468">
        <f>BG110</f>
        <v/>
      </c>
      <c r="BH117" s="468">
        <f>BH110</f>
        <v/>
      </c>
      <c r="BI117" s="468">
        <f>BI110</f>
        <v/>
      </c>
      <c r="BJ117" s="468">
        <f>BJ110</f>
        <v/>
      </c>
      <c r="BK117" s="468">
        <f>BK110</f>
        <v/>
      </c>
      <c r="BL117" s="468">
        <f>BL110</f>
        <v/>
      </c>
      <c r="BM117" s="468">
        <f>BM110</f>
        <v/>
      </c>
      <c r="BN117" s="468">
        <f>BN110</f>
        <v/>
      </c>
      <c r="BO117" s="468">
        <f>BO110</f>
        <v/>
      </c>
      <c r="BP117" s="468">
        <f>BP110</f>
        <v/>
      </c>
      <c r="BQ117" s="468">
        <f>BQ110</f>
        <v/>
      </c>
      <c r="BR117" s="468">
        <f>BR110</f>
        <v/>
      </c>
      <c r="BS117" s="468">
        <f>BS110</f>
        <v/>
      </c>
      <c r="BT117" s="468">
        <f>BT110</f>
        <v/>
      </c>
      <c r="BU117" s="468">
        <f>BU110</f>
        <v/>
      </c>
      <c r="BV117" s="468">
        <f>BV110</f>
        <v/>
      </c>
      <c r="BW117" s="468">
        <f>BW110</f>
        <v/>
      </c>
      <c r="BX117" s="468">
        <f>BX110</f>
        <v/>
      </c>
      <c r="BY117" s="468">
        <f>BY110</f>
        <v/>
      </c>
      <c r="BZ117" s="468">
        <f>BZ110</f>
        <v/>
      </c>
      <c r="CA117" s="468">
        <f>CA110</f>
        <v/>
      </c>
      <c r="CB117" s="468">
        <f>CB110</f>
        <v/>
      </c>
      <c r="CC117" s="468">
        <f>CC110</f>
        <v/>
      </c>
      <c r="CD117" s="468">
        <f>CD110</f>
        <v/>
      </c>
      <c r="CE117" s="468">
        <f>CE110</f>
        <v/>
      </c>
      <c r="CF117" s="468">
        <f>CF110</f>
        <v/>
      </c>
      <c r="CG117" s="468">
        <f>CG110</f>
        <v/>
      </c>
      <c r="CH117" s="468">
        <f>CH110</f>
        <v/>
      </c>
      <c r="CI117" s="468">
        <f>CI110</f>
        <v/>
      </c>
      <c r="CJ117" s="468">
        <f>CJ110</f>
        <v/>
      </c>
      <c r="CK117" s="468">
        <f>CK110</f>
        <v/>
      </c>
      <c r="CL117" s="468">
        <f>CL110</f>
        <v/>
      </c>
      <c r="CM117" s="468">
        <f>CM110</f>
        <v/>
      </c>
      <c r="CN117" s="468">
        <f>CN110</f>
        <v/>
      </c>
      <c r="CO117" s="468">
        <f>CO110</f>
        <v/>
      </c>
      <c r="CP117" s="468">
        <f>CP110</f>
        <v/>
      </c>
      <c r="CQ117" s="468">
        <f>CQ110</f>
        <v/>
      </c>
      <c r="CR117" s="468">
        <f>CR110</f>
        <v/>
      </c>
      <c r="CS117" s="468">
        <f>CS110</f>
        <v/>
      </c>
      <c r="CT117" s="468">
        <f>CT110</f>
        <v/>
      </c>
      <c r="CU117" s="468">
        <f>CU110</f>
        <v/>
      </c>
      <c r="CV117" s="468">
        <f>CV110</f>
        <v/>
      </c>
      <c r="CW117" s="468">
        <f>CW110</f>
        <v/>
      </c>
      <c r="CX117" s="468">
        <f>CX110</f>
        <v/>
      </c>
      <c r="CY117" s="468">
        <f>CY110</f>
        <v/>
      </c>
      <c r="CZ117" s="468">
        <f>CZ110</f>
        <v/>
      </c>
      <c r="DA117" s="468">
        <f>DA110</f>
        <v/>
      </c>
      <c r="DB117" s="468">
        <f>DB110</f>
        <v/>
      </c>
      <c r="DC117" s="468">
        <f>DC110</f>
        <v/>
      </c>
      <c r="DD117" s="468">
        <f>DD110</f>
        <v/>
      </c>
      <c r="DE117" s="468">
        <f>DE110</f>
        <v/>
      </c>
      <c r="DF117" s="468">
        <f>DF110</f>
        <v/>
      </c>
      <c r="DG117" s="468">
        <f>DG110</f>
        <v/>
      </c>
      <c r="DH117" s="468">
        <f>DH110</f>
        <v/>
      </c>
      <c r="DI117" s="468">
        <f>DI110</f>
        <v/>
      </c>
      <c r="DJ117" s="468">
        <f>DJ110</f>
        <v/>
      </c>
      <c r="DK117" s="468">
        <f>DK110</f>
        <v/>
      </c>
      <c r="DL117" s="468">
        <f>DL110</f>
        <v/>
      </c>
      <c r="DM117" s="468">
        <f>DM110</f>
        <v/>
      </c>
      <c r="DN117" s="468">
        <f>DN110</f>
        <v/>
      </c>
      <c r="DO117" s="468">
        <f>DO110</f>
        <v/>
      </c>
      <c r="DP117" s="468">
        <f>DP110</f>
        <v/>
      </c>
      <c r="DQ117" s="468">
        <f>DQ110</f>
        <v/>
      </c>
      <c r="DR117" s="468">
        <f>DR110</f>
        <v/>
      </c>
      <c r="DS117" s="468">
        <f>DS110</f>
        <v/>
      </c>
      <c r="DT117" s="468">
        <f>DT110</f>
        <v/>
      </c>
      <c r="DU117" s="468">
        <f>DU110</f>
        <v/>
      </c>
      <c r="DV117" s="468">
        <f>DV110</f>
        <v/>
      </c>
      <c r="DW117" s="322" t="inlineStr">
        <is>
          <t>x</t>
        </is>
      </c>
    </row>
    <row r="118" hidden="1" outlineLevel="1" ht="17.25" customHeight="1" thickBot="1">
      <c r="C118" s="365" t="inlineStr">
        <is>
          <t>Ending Balance</t>
        </is>
      </c>
      <c r="D118" s="484" t="n"/>
      <c r="E118" s="657" t="n">
        <v>0</v>
      </c>
      <c r="F118" s="657">
        <f>SUM(F115:F117)</f>
        <v/>
      </c>
      <c r="G118" s="657">
        <f>SUM(G115:G117)</f>
        <v/>
      </c>
      <c r="H118" s="657">
        <f>SUM(H115:H117)</f>
        <v/>
      </c>
      <c r="I118" s="657">
        <f>SUM(I115:I117)</f>
        <v/>
      </c>
      <c r="J118" s="657">
        <f>SUM(J115:J117)</f>
        <v/>
      </c>
      <c r="K118" s="657">
        <f>SUM(K115:K117)</f>
        <v/>
      </c>
      <c r="L118" s="657">
        <f>SUM(L115:L117)</f>
        <v/>
      </c>
      <c r="M118" s="657">
        <f>SUM(M115:M117)</f>
        <v/>
      </c>
      <c r="N118" s="657">
        <f>SUM(N115:N117)</f>
        <v/>
      </c>
      <c r="O118" s="657">
        <f>SUM(O115:O117)</f>
        <v/>
      </c>
      <c r="P118" s="657">
        <f>SUM(P115:P117)</f>
        <v/>
      </c>
      <c r="Q118" s="657">
        <f>SUM(Q115:Q117)</f>
        <v/>
      </c>
      <c r="R118" s="657">
        <f>SUM(R115:R117)</f>
        <v/>
      </c>
      <c r="S118" s="657">
        <f>SUM(S115:S117)</f>
        <v/>
      </c>
      <c r="T118" s="657">
        <f>SUM(T115:T117)</f>
        <v/>
      </c>
      <c r="U118" s="657">
        <f>SUM(U115:U117)</f>
        <v/>
      </c>
      <c r="V118" s="657">
        <f>SUM(V115:V117)</f>
        <v/>
      </c>
      <c r="W118" s="657">
        <f>SUM(W115:W117)</f>
        <v/>
      </c>
      <c r="X118" s="657">
        <f>SUM(X115:X117)</f>
        <v/>
      </c>
      <c r="Y118" s="657">
        <f>SUM(Y115:Y117)</f>
        <v/>
      </c>
      <c r="Z118" s="657">
        <f>SUM(Z115:Z117)</f>
        <v/>
      </c>
      <c r="AA118" s="657">
        <f>SUM(AA115:AA117)</f>
        <v/>
      </c>
      <c r="AB118" s="657">
        <f>SUM(AB115:AB117)</f>
        <v/>
      </c>
      <c r="AC118" s="657">
        <f>SUM(AC115:AC117)</f>
        <v/>
      </c>
      <c r="AD118" s="657">
        <f>SUM(AD115:AD117)</f>
        <v/>
      </c>
      <c r="AE118" s="657">
        <f>SUM(AE115:AE117)</f>
        <v/>
      </c>
      <c r="AF118" s="657">
        <f>SUM(AF115:AF117)</f>
        <v/>
      </c>
      <c r="AG118" s="657">
        <f>SUM(AG115:AG117)</f>
        <v/>
      </c>
      <c r="AH118" s="657">
        <f>SUM(AH115:AH117)</f>
        <v/>
      </c>
      <c r="AI118" s="657">
        <f>SUM(AI115:AI117)</f>
        <v/>
      </c>
      <c r="AJ118" s="657">
        <f>SUM(AJ115:AJ117)</f>
        <v/>
      </c>
      <c r="AK118" s="657">
        <f>SUM(AK115:AK117)</f>
        <v/>
      </c>
      <c r="AL118" s="657">
        <f>SUM(AL115:AL117)</f>
        <v/>
      </c>
      <c r="AM118" s="657">
        <f>SUM(AM115:AM117)</f>
        <v/>
      </c>
      <c r="AN118" s="657">
        <f>SUM(AN115:AN117)</f>
        <v/>
      </c>
      <c r="AO118" s="657">
        <f>SUM(AO115:AO117)</f>
        <v/>
      </c>
      <c r="AP118" s="657">
        <f>SUM(AP115:AP117)</f>
        <v/>
      </c>
      <c r="AQ118" s="657">
        <f>SUM(AQ115:AQ117)</f>
        <v/>
      </c>
      <c r="AR118" s="657">
        <f>SUM(AR115:AR117)</f>
        <v/>
      </c>
      <c r="AS118" s="657">
        <f>SUM(AS115:AS117)</f>
        <v/>
      </c>
      <c r="AT118" s="657">
        <f>SUM(AT115:AT117)</f>
        <v/>
      </c>
      <c r="AU118" s="657">
        <f>SUM(AU115:AU117)</f>
        <v/>
      </c>
      <c r="AV118" s="657">
        <f>SUM(AV115:AV117)</f>
        <v/>
      </c>
      <c r="AW118" s="657">
        <f>SUM(AW115:AW117)</f>
        <v/>
      </c>
      <c r="AX118" s="657">
        <f>SUM(AX115:AX117)</f>
        <v/>
      </c>
      <c r="AY118" s="657">
        <f>SUM(AY115:AY117)</f>
        <v/>
      </c>
      <c r="AZ118" s="657">
        <f>SUM(AZ115:AZ117)</f>
        <v/>
      </c>
      <c r="BA118" s="657">
        <f>SUM(BA115:BA117)</f>
        <v/>
      </c>
      <c r="BB118" s="657">
        <f>SUM(BB115:BB117)</f>
        <v/>
      </c>
      <c r="BC118" s="657">
        <f>SUM(BC115:BC117)</f>
        <v/>
      </c>
      <c r="BD118" s="657">
        <f>SUM(BD115:BD117)</f>
        <v/>
      </c>
      <c r="BE118" s="657">
        <f>SUM(BE115:BE117)</f>
        <v/>
      </c>
      <c r="BF118" s="657">
        <f>SUM(BF115:BF117)</f>
        <v/>
      </c>
      <c r="BG118" s="657">
        <f>SUM(BG115:BG117)</f>
        <v/>
      </c>
      <c r="BH118" s="657">
        <f>SUM(BH115:BH117)</f>
        <v/>
      </c>
      <c r="BI118" s="657">
        <f>SUM(BI115:BI117)</f>
        <v/>
      </c>
      <c r="BJ118" s="657">
        <f>SUM(BJ115:BJ117)</f>
        <v/>
      </c>
      <c r="BK118" s="657">
        <f>SUM(BK115:BK117)</f>
        <v/>
      </c>
      <c r="BL118" s="657">
        <f>SUM(BL115:BL117)</f>
        <v/>
      </c>
      <c r="BM118" s="657">
        <f>SUM(BM115:BM117)</f>
        <v/>
      </c>
      <c r="BN118" s="657">
        <f>SUM(BN115:BN117)</f>
        <v/>
      </c>
      <c r="BO118" s="657">
        <f>SUM(BO115:BO117)</f>
        <v/>
      </c>
      <c r="BP118" s="657">
        <f>SUM(BP115:BP117)</f>
        <v/>
      </c>
      <c r="BQ118" s="657">
        <f>SUM(BQ115:BQ117)</f>
        <v/>
      </c>
      <c r="BR118" s="657">
        <f>SUM(BR115:BR117)</f>
        <v/>
      </c>
      <c r="BS118" s="657">
        <f>SUM(BS115:BS117)</f>
        <v/>
      </c>
      <c r="BT118" s="657">
        <f>SUM(BT115:BT117)</f>
        <v/>
      </c>
      <c r="BU118" s="657">
        <f>SUM(BU115:BU117)</f>
        <v/>
      </c>
      <c r="BV118" s="657">
        <f>SUM(BV115:BV117)</f>
        <v/>
      </c>
      <c r="BW118" s="657">
        <f>SUM(BW115:BW117)</f>
        <v/>
      </c>
      <c r="BX118" s="657">
        <f>SUM(BX115:BX117)</f>
        <v/>
      </c>
      <c r="BY118" s="657">
        <f>SUM(BY115:BY117)</f>
        <v/>
      </c>
      <c r="BZ118" s="657">
        <f>SUM(BZ115:BZ117)</f>
        <v/>
      </c>
      <c r="CA118" s="657">
        <f>SUM(CA115:CA117)</f>
        <v/>
      </c>
      <c r="CB118" s="657">
        <f>SUM(CB115:CB117)</f>
        <v/>
      </c>
      <c r="CC118" s="657">
        <f>SUM(CC115:CC117)</f>
        <v/>
      </c>
      <c r="CD118" s="657">
        <f>SUM(CD115:CD117)</f>
        <v/>
      </c>
      <c r="CE118" s="657">
        <f>SUM(CE115:CE117)</f>
        <v/>
      </c>
      <c r="CF118" s="657">
        <f>SUM(CF115:CF117)</f>
        <v/>
      </c>
      <c r="CG118" s="657">
        <f>SUM(CG115:CG117)</f>
        <v/>
      </c>
      <c r="CH118" s="657">
        <f>SUM(CH115:CH117)</f>
        <v/>
      </c>
      <c r="CI118" s="657">
        <f>SUM(CI115:CI117)</f>
        <v/>
      </c>
      <c r="CJ118" s="657">
        <f>SUM(CJ115:CJ117)</f>
        <v/>
      </c>
      <c r="CK118" s="657">
        <f>SUM(CK115:CK117)</f>
        <v/>
      </c>
      <c r="CL118" s="657">
        <f>SUM(CL115:CL117)</f>
        <v/>
      </c>
      <c r="CM118" s="657">
        <f>SUM(CM115:CM117)</f>
        <v/>
      </c>
      <c r="CN118" s="657">
        <f>SUM(CN115:CN117)</f>
        <v/>
      </c>
      <c r="CO118" s="657">
        <f>SUM(CO115:CO117)</f>
        <v/>
      </c>
      <c r="CP118" s="657">
        <f>SUM(CP115:CP117)</f>
        <v/>
      </c>
      <c r="CQ118" s="657">
        <f>SUM(CQ115:CQ117)</f>
        <v/>
      </c>
      <c r="CR118" s="657">
        <f>SUM(CR115:CR117)</f>
        <v/>
      </c>
      <c r="CS118" s="657">
        <f>SUM(CS115:CS117)</f>
        <v/>
      </c>
      <c r="CT118" s="657">
        <f>SUM(CT115:CT117)</f>
        <v/>
      </c>
      <c r="CU118" s="657">
        <f>SUM(CU115:CU117)</f>
        <v/>
      </c>
      <c r="CV118" s="657">
        <f>SUM(CV115:CV117)</f>
        <v/>
      </c>
      <c r="CW118" s="657">
        <f>SUM(CW115:CW117)</f>
        <v/>
      </c>
      <c r="CX118" s="657">
        <f>SUM(CX115:CX117)</f>
        <v/>
      </c>
      <c r="CY118" s="657">
        <f>SUM(CY115:CY117)</f>
        <v/>
      </c>
      <c r="CZ118" s="657">
        <f>SUM(CZ115:CZ117)</f>
        <v/>
      </c>
      <c r="DA118" s="657">
        <f>SUM(DA115:DA117)</f>
        <v/>
      </c>
      <c r="DB118" s="657">
        <f>SUM(DB115:DB117)</f>
        <v/>
      </c>
      <c r="DC118" s="657">
        <f>SUM(DC115:DC117)</f>
        <v/>
      </c>
      <c r="DD118" s="657">
        <f>SUM(DD115:DD117)</f>
        <v/>
      </c>
      <c r="DE118" s="657">
        <f>SUM(DE115:DE117)</f>
        <v/>
      </c>
      <c r="DF118" s="657">
        <f>SUM(DF115:DF117)</f>
        <v/>
      </c>
      <c r="DG118" s="657">
        <f>SUM(DG115:DG117)</f>
        <v/>
      </c>
      <c r="DH118" s="657">
        <f>SUM(DH115:DH117)</f>
        <v/>
      </c>
      <c r="DI118" s="657">
        <f>SUM(DI115:DI117)</f>
        <v/>
      </c>
      <c r="DJ118" s="657">
        <f>SUM(DJ115:DJ117)</f>
        <v/>
      </c>
      <c r="DK118" s="657">
        <f>SUM(DK115:DK117)</f>
        <v/>
      </c>
      <c r="DL118" s="657">
        <f>SUM(DL115:DL117)</f>
        <v/>
      </c>
      <c r="DM118" s="657">
        <f>SUM(DM115:DM117)</f>
        <v/>
      </c>
      <c r="DN118" s="657">
        <f>SUM(DN115:DN117)</f>
        <v/>
      </c>
      <c r="DO118" s="657">
        <f>SUM(DO115:DO117)</f>
        <v/>
      </c>
      <c r="DP118" s="657">
        <f>SUM(DP115:DP117)</f>
        <v/>
      </c>
      <c r="DQ118" s="657">
        <f>SUM(DQ115:DQ117)</f>
        <v/>
      </c>
      <c r="DR118" s="657">
        <f>SUM(DR115:DR117)</f>
        <v/>
      </c>
      <c r="DS118" s="657">
        <f>SUM(DS115:DS117)</f>
        <v/>
      </c>
      <c r="DT118" s="657">
        <f>SUM(DT115:DT117)</f>
        <v/>
      </c>
      <c r="DU118" s="657">
        <f>SUM(DU115:DU117)</f>
        <v/>
      </c>
      <c r="DV118" s="657">
        <f>SUM(DV115:DV117)</f>
        <v/>
      </c>
      <c r="DW118" s="322" t="inlineStr">
        <is>
          <t>x</t>
        </is>
      </c>
    </row>
    <row r="119" hidden="1" outlineLevel="1" ht="17.25" customHeight="1" thickTop="1">
      <c r="C119" s="365" t="n"/>
      <c r="D119" s="484" t="n"/>
      <c r="E119" s="654" t="n"/>
      <c r="F119" s="654" t="n"/>
      <c r="G119" s="654" t="n"/>
      <c r="H119" s="654" t="n"/>
      <c r="I119" s="654" t="n"/>
      <c r="J119" s="654" t="n"/>
      <c r="K119" s="654" t="n"/>
      <c r="L119" s="654" t="n"/>
      <c r="M119" s="654" t="n"/>
      <c r="N119" s="654" t="n"/>
      <c r="O119" s="654" t="n"/>
      <c r="P119" s="654" t="n"/>
      <c r="Q119" s="654" t="n"/>
      <c r="R119" s="654" t="n"/>
      <c r="S119" s="654" t="n"/>
      <c r="T119" s="654" t="n"/>
      <c r="U119" s="654" t="n"/>
      <c r="V119" s="654" t="n"/>
      <c r="W119" s="654" t="n"/>
      <c r="X119" s="654" t="n"/>
      <c r="Y119" s="654" t="n"/>
      <c r="Z119" s="654" t="n"/>
      <c r="AA119" s="654" t="n"/>
      <c r="AB119" s="654" t="n"/>
      <c r="AC119" s="654" t="n"/>
      <c r="AD119" s="654" t="n"/>
      <c r="AE119" s="654" t="n"/>
      <c r="AF119" s="654" t="n"/>
      <c r="AG119" s="654" t="n"/>
      <c r="AH119" s="654" t="n"/>
      <c r="AI119" s="654" t="n"/>
      <c r="AJ119" s="654" t="n"/>
      <c r="AK119" s="654" t="n"/>
      <c r="AL119" s="654" t="n"/>
      <c r="AM119" s="374" t="n"/>
      <c r="AN119" s="374" t="n"/>
      <c r="AO119" s="374" t="n"/>
      <c r="AP119" s="472" t="n"/>
      <c r="AQ119" s="472" t="n"/>
      <c r="AR119" s="472" t="n"/>
      <c r="AS119" s="472" t="n"/>
      <c r="AT119" s="472" t="n"/>
      <c r="AU119" s="472" t="n"/>
      <c r="AV119" s="473" t="n"/>
      <c r="AW119" s="360" t="n"/>
      <c r="AX119" s="360" t="n"/>
      <c r="AY119" s="360" t="n"/>
      <c r="AZ119" s="360" t="n"/>
      <c r="BA119" s="360" t="n"/>
      <c r="BB119" s="360" t="n"/>
      <c r="BC119" s="360" t="n"/>
      <c r="BD119" s="360" t="n"/>
      <c r="BE119" s="360" t="n"/>
      <c r="BF119" s="360" t="n"/>
      <c r="BG119" s="360" t="n"/>
      <c r="BH119" s="360" t="n"/>
      <c r="BI119" s="360" t="n"/>
      <c r="BJ119" s="360" t="n"/>
      <c r="BK119" s="360" t="n"/>
      <c r="BL119" s="360" t="n"/>
      <c r="BM119" s="360" t="n"/>
      <c r="BN119" s="360" t="n"/>
      <c r="BO119" s="360" t="n"/>
      <c r="BP119" s="360" t="n"/>
      <c r="BQ119" s="360" t="n"/>
      <c r="BR119" s="360" t="n"/>
      <c r="BS119" s="360" t="n"/>
      <c r="BT119" s="360" t="n"/>
      <c r="BU119" s="360" t="n"/>
      <c r="BV119" s="360" t="n"/>
      <c r="BW119" s="360" t="n"/>
      <c r="BX119" s="360" t="n"/>
      <c r="BY119" s="360" t="n"/>
      <c r="BZ119" s="360" t="n"/>
      <c r="CA119" s="360" t="n"/>
      <c r="CB119" s="360" t="n"/>
      <c r="CC119" s="360" t="n"/>
      <c r="CD119" s="360" t="n"/>
      <c r="CE119" s="360" t="n"/>
      <c r="CF119" s="360" t="n"/>
      <c r="CG119" s="360" t="n"/>
      <c r="CH119" s="360" t="n"/>
      <c r="CI119" s="360" t="n"/>
      <c r="CJ119" s="360" t="n"/>
      <c r="CK119" s="360" t="n"/>
      <c r="CL119" s="360" t="n"/>
      <c r="CM119" s="360" t="n"/>
      <c r="CN119" s="360" t="n"/>
      <c r="CO119" s="360" t="n"/>
      <c r="CP119" s="360" t="n"/>
      <c r="CQ119" s="360" t="n"/>
      <c r="CR119" s="360" t="n"/>
      <c r="CS119" s="360" t="n"/>
      <c r="CT119" s="360" t="n"/>
      <c r="CU119" s="360" t="n"/>
      <c r="CV119" s="360" t="n"/>
      <c r="CW119" s="360" t="n"/>
      <c r="CX119" s="360" t="n"/>
      <c r="CY119" s="360" t="n"/>
      <c r="CZ119" s="360" t="n"/>
      <c r="DA119" s="360" t="n"/>
      <c r="DB119" s="360" t="n"/>
      <c r="DC119" s="360" t="n"/>
      <c r="DD119" s="360" t="n"/>
      <c r="DE119" s="360" t="n"/>
      <c r="DF119" s="360" t="n"/>
      <c r="DG119" s="360" t="n"/>
      <c r="DH119" s="360" t="n"/>
      <c r="DI119" s="360" t="n"/>
      <c r="DJ119" s="360" t="n"/>
      <c r="DK119" s="360" t="n"/>
      <c r="DL119" s="360" t="n"/>
      <c r="DM119" s="360" t="n"/>
      <c r="DN119" s="360" t="n"/>
      <c r="DO119" s="360" t="n"/>
      <c r="DP119" s="360" t="n"/>
      <c r="DQ119" s="360" t="n"/>
      <c r="DR119" s="360" t="n"/>
      <c r="DS119" s="360" t="n"/>
      <c r="DT119" s="360" t="n"/>
      <c r="DU119" s="360" t="n"/>
      <c r="DV119" s="360" t="n"/>
      <c r="DW119" s="322" t="inlineStr">
        <is>
          <t>x</t>
        </is>
      </c>
    </row>
    <row r="120" hidden="1" outlineLevel="1">
      <c r="C120" s="479" t="inlineStr">
        <is>
          <t xml:space="preserve">Amount Required to Satisfy greater of </t>
        </is>
      </c>
      <c r="D120" s="480" t="n"/>
      <c r="E120" s="481" t="n"/>
      <c r="F120" s="481" t="n"/>
      <c r="G120" s="481" t="n"/>
      <c r="H120" s="481" t="n"/>
      <c r="I120" s="481" t="n"/>
      <c r="J120" s="481" t="n"/>
      <c r="K120" s="481" t="n"/>
      <c r="L120" s="481" t="n"/>
      <c r="M120" s="481" t="n"/>
      <c r="N120" s="481" t="n"/>
      <c r="O120" s="481" t="n"/>
      <c r="P120" s="481" t="n"/>
      <c r="Q120" s="481" t="n"/>
      <c r="R120" s="481" t="n"/>
      <c r="S120" s="481" t="n"/>
      <c r="T120" s="481" t="n"/>
      <c r="U120" s="481" t="n"/>
      <c r="V120" s="481" t="n"/>
      <c r="W120" s="481" t="n"/>
      <c r="X120" s="481" t="n"/>
      <c r="Y120" s="481" t="n"/>
      <c r="Z120" s="481" t="n"/>
      <c r="AA120" s="481" t="n"/>
      <c r="AB120" s="481" t="n"/>
      <c r="AC120" s="481" t="n"/>
      <c r="AD120" s="481" t="n"/>
      <c r="AE120" s="481" t="n"/>
      <c r="AF120" s="481" t="n"/>
      <c r="AG120" s="481" t="n"/>
      <c r="AH120" s="481" t="n"/>
      <c r="AI120" s="481" t="n"/>
      <c r="AJ120" s="481" t="n"/>
      <c r="AK120" s="481" t="n"/>
      <c r="AL120" s="481" t="n"/>
      <c r="AM120" s="481" t="n"/>
      <c r="AN120" s="481" t="n"/>
      <c r="AO120" s="481" t="n"/>
      <c r="AP120" s="481" t="n"/>
      <c r="AQ120" s="481" t="n"/>
      <c r="AR120" s="481" t="n"/>
      <c r="AS120" s="481" t="n"/>
      <c r="AT120" s="481" t="n"/>
      <c r="AU120" s="481" t="n"/>
      <c r="AV120" s="481" t="n"/>
      <c r="AW120" s="481" t="n"/>
      <c r="AX120" s="481" t="n"/>
      <c r="AY120" s="481" t="n"/>
      <c r="AZ120" s="481" t="n"/>
      <c r="BA120" s="481" t="n"/>
      <c r="BB120" s="481" t="n"/>
      <c r="BC120" s="481" t="n"/>
      <c r="BD120" s="481" t="n"/>
      <c r="BE120" s="481" t="n"/>
      <c r="BF120" s="481" t="n"/>
      <c r="BG120" s="481" t="n"/>
      <c r="BH120" s="481" t="n"/>
      <c r="BI120" s="481" t="n"/>
      <c r="BJ120" s="481" t="n"/>
      <c r="BK120" s="481" t="n"/>
      <c r="BL120" s="481" t="n"/>
      <c r="BM120" s="481" t="n"/>
      <c r="BN120" s="481" t="n"/>
      <c r="BO120" s="481" t="n"/>
      <c r="BP120" s="481" t="n"/>
      <c r="BQ120" s="481" t="n"/>
      <c r="BR120" s="481" t="n"/>
      <c r="BS120" s="481" t="n"/>
      <c r="BT120" s="481" t="n"/>
      <c r="BU120" s="481" t="n"/>
      <c r="BV120" s="481" t="n"/>
      <c r="BW120" s="481" t="n"/>
      <c r="BX120" s="481" t="n"/>
      <c r="BY120" s="481" t="n"/>
      <c r="BZ120" s="481" t="n"/>
      <c r="CA120" s="481" t="n"/>
      <c r="CB120" s="481" t="n"/>
      <c r="CC120" s="481" t="n"/>
      <c r="CD120" s="481" t="n"/>
      <c r="CE120" s="481" t="n"/>
      <c r="CF120" s="481" t="n"/>
      <c r="CG120" s="481" t="n"/>
      <c r="CH120" s="481" t="n"/>
      <c r="CI120" s="481" t="n"/>
      <c r="CJ120" s="481" t="n"/>
      <c r="CK120" s="481" t="n"/>
      <c r="CL120" s="481" t="n"/>
      <c r="CM120" s="481" t="n"/>
      <c r="CN120" s="481" t="n"/>
      <c r="CO120" s="481" t="n"/>
      <c r="CP120" s="481" t="n"/>
      <c r="CQ120" s="481" t="n"/>
      <c r="CR120" s="481" t="n"/>
      <c r="CS120" s="481" t="n"/>
      <c r="CT120" s="481" t="n"/>
      <c r="CU120" s="481" t="n"/>
      <c r="CV120" s="481" t="n"/>
      <c r="CW120" s="481" t="n"/>
      <c r="CX120" s="481" t="n"/>
      <c r="CY120" s="481" t="n"/>
      <c r="CZ120" s="481" t="n"/>
      <c r="DA120" s="481" t="n"/>
      <c r="DB120" s="481" t="n"/>
      <c r="DC120" s="481" t="n"/>
      <c r="DD120" s="481" t="n"/>
      <c r="DE120" s="481" t="n"/>
      <c r="DF120" s="481" t="n"/>
      <c r="DG120" s="481" t="n"/>
      <c r="DH120" s="481" t="n"/>
      <c r="DI120" s="481" t="n"/>
      <c r="DJ120" s="481" t="n"/>
      <c r="DK120" s="481" t="n"/>
      <c r="DL120" s="481" t="n"/>
      <c r="DM120" s="481" t="n"/>
      <c r="DN120" s="481" t="n"/>
      <c r="DO120" s="481" t="n"/>
      <c r="DP120" s="481" t="n"/>
      <c r="DQ120" s="481" t="n"/>
      <c r="DR120" s="481" t="n"/>
      <c r="DS120" s="481" t="n"/>
      <c r="DT120" s="481" t="n"/>
      <c r="DU120" s="481" t="n"/>
      <c r="DV120" s="481" t="n"/>
      <c r="DW120" s="322" t="inlineStr">
        <is>
          <t>x</t>
        </is>
      </c>
    </row>
    <row r="121" hidden="1" outlineLevel="1">
      <c r="C121" s="479">
        <f>"IRR and Equity Multiple Test for "&amp;C106</f>
        <v/>
      </c>
      <c r="D121" s="480" t="n"/>
      <c r="E121" s="481" t="n"/>
      <c r="F121" s="481">
        <f>MAX(SUM(F107:F109),SUM(F115:F116))</f>
        <v/>
      </c>
      <c r="G121" s="481">
        <f>MAX(SUM(G107:G109),SUM(G115:G116))</f>
        <v/>
      </c>
      <c r="H121" s="481">
        <f>MAX(SUM(H107:H109),SUM(H115:H116))</f>
        <v/>
      </c>
      <c r="I121" s="481">
        <f>MAX(SUM(I107:I109),SUM(I115:I116))</f>
        <v/>
      </c>
      <c r="J121" s="481">
        <f>MAX(SUM(J107:J109),SUM(J115:J116))</f>
        <v/>
      </c>
      <c r="K121" s="481">
        <f>MAX(SUM(K107:K109),SUM(K115:K116))</f>
        <v/>
      </c>
      <c r="L121" s="481">
        <f>MAX(SUM(L107:L109),SUM(L115:L116))</f>
        <v/>
      </c>
      <c r="M121" s="481">
        <f>MAX(SUM(M107:M109),SUM(M115:M116))</f>
        <v/>
      </c>
      <c r="N121" s="481">
        <f>MAX(SUM(N107:N109),SUM(N115:N116))</f>
        <v/>
      </c>
      <c r="O121" s="481">
        <f>MAX(SUM(O107:O109),SUM(O115:O116))</f>
        <v/>
      </c>
      <c r="P121" s="481">
        <f>MAX(SUM(P107:P109),SUM(P115:P116))</f>
        <v/>
      </c>
      <c r="Q121" s="481">
        <f>MAX(SUM(Q107:Q109),SUM(Q115:Q116))</f>
        <v/>
      </c>
      <c r="R121" s="481">
        <f>MAX(SUM(R107:R109),SUM(R115:R116))</f>
        <v/>
      </c>
      <c r="S121" s="481">
        <f>MAX(SUM(S107:S109),SUM(S115:S116))</f>
        <v/>
      </c>
      <c r="T121" s="481">
        <f>MAX(SUM(T107:T109),SUM(T115:T116))</f>
        <v/>
      </c>
      <c r="U121" s="481">
        <f>MAX(SUM(U107:U109),SUM(U115:U116))</f>
        <v/>
      </c>
      <c r="V121" s="481">
        <f>MAX(SUM(V107:V109),SUM(V115:V116))</f>
        <v/>
      </c>
      <c r="W121" s="481">
        <f>MAX(SUM(W107:W109),SUM(W115:W116))</f>
        <v/>
      </c>
      <c r="X121" s="481">
        <f>MAX(SUM(X107:X109),SUM(X115:X116))</f>
        <v/>
      </c>
      <c r="Y121" s="481">
        <f>MAX(SUM(Y107:Y109),SUM(Y115:Y116))</f>
        <v/>
      </c>
      <c r="Z121" s="481">
        <f>MAX(SUM(Z107:Z109),SUM(Z115:Z116))</f>
        <v/>
      </c>
      <c r="AA121" s="481">
        <f>MAX(SUM(AA107:AA109),SUM(AA115:AA116))</f>
        <v/>
      </c>
      <c r="AB121" s="481">
        <f>MAX(SUM(AB107:AB109),SUM(AB115:AB116))</f>
        <v/>
      </c>
      <c r="AC121" s="481">
        <f>MAX(SUM(AC107:AC109),SUM(AC115:AC116))</f>
        <v/>
      </c>
      <c r="AD121" s="481">
        <f>MAX(SUM(AD107:AD109),SUM(AD115:AD116))</f>
        <v/>
      </c>
      <c r="AE121" s="481">
        <f>MAX(SUM(AE107:AE109),SUM(AE115:AE116))</f>
        <v/>
      </c>
      <c r="AF121" s="481">
        <f>MAX(SUM(AF107:AF109),SUM(AF115:AF116))</f>
        <v/>
      </c>
      <c r="AG121" s="481">
        <f>MAX(SUM(AG107:AG109),SUM(AG115:AG116))</f>
        <v/>
      </c>
      <c r="AH121" s="481">
        <f>MAX(SUM(AH107:AH109),SUM(AH115:AH116))</f>
        <v/>
      </c>
      <c r="AI121" s="481">
        <f>MAX(SUM(AI107:AI109),SUM(AI115:AI116))</f>
        <v/>
      </c>
      <c r="AJ121" s="481">
        <f>MAX(SUM(AJ107:AJ109),SUM(AJ115:AJ116))</f>
        <v/>
      </c>
      <c r="AK121" s="481">
        <f>MAX(SUM(AK107:AK109),SUM(AK115:AK116))</f>
        <v/>
      </c>
      <c r="AL121" s="481">
        <f>MAX(SUM(AL107:AL109),SUM(AL115:AL116))</f>
        <v/>
      </c>
      <c r="AM121" s="481">
        <f>MAX(SUM(AM107:AM109),SUM(AM115:AM116))</f>
        <v/>
      </c>
      <c r="AN121" s="481">
        <f>MAX(SUM(AN107:AN109),SUM(AN115:AN116))</f>
        <v/>
      </c>
      <c r="AO121" s="481">
        <f>MAX(SUM(AO107:AO109),SUM(AO115:AO116))</f>
        <v/>
      </c>
      <c r="AP121" s="481">
        <f>MAX(SUM(AP107:AP109),SUM(AP115:AP116))</f>
        <v/>
      </c>
      <c r="AQ121" s="481">
        <f>MAX(SUM(AQ107:AQ109),SUM(AQ115:AQ116))</f>
        <v/>
      </c>
      <c r="AR121" s="481">
        <f>MAX(SUM(AR107:AR109),SUM(AR115:AR116))</f>
        <v/>
      </c>
      <c r="AS121" s="481">
        <f>MAX(SUM(AS107:AS109),SUM(AS115:AS116))</f>
        <v/>
      </c>
      <c r="AT121" s="481">
        <f>MAX(SUM(AT107:AT109),SUM(AT115:AT116))</f>
        <v/>
      </c>
      <c r="AU121" s="481">
        <f>MAX(SUM(AU107:AU109),SUM(AU115:AU116))</f>
        <v/>
      </c>
      <c r="AV121" s="481">
        <f>MAX(SUM(AV107:AV109),SUM(AV115:AV116))</f>
        <v/>
      </c>
      <c r="AW121" s="481">
        <f>MAX(SUM(AW107:AW109),SUM(AW115:AW116))</f>
        <v/>
      </c>
      <c r="AX121" s="481">
        <f>MAX(SUM(AX107:AX109),SUM(AX115:AX116))</f>
        <v/>
      </c>
      <c r="AY121" s="481">
        <f>MAX(SUM(AY107:AY109),SUM(AY115:AY116))</f>
        <v/>
      </c>
      <c r="AZ121" s="481">
        <f>MAX(SUM(AZ107:AZ109),SUM(AZ115:AZ116))</f>
        <v/>
      </c>
      <c r="BA121" s="481">
        <f>MAX(SUM(BA107:BA109),SUM(BA115:BA116))</f>
        <v/>
      </c>
      <c r="BB121" s="481">
        <f>MAX(SUM(BB107:BB109),SUM(BB115:BB116))</f>
        <v/>
      </c>
      <c r="BC121" s="481">
        <f>MAX(SUM(BC107:BC109),SUM(BC115:BC116))</f>
        <v/>
      </c>
      <c r="BD121" s="481">
        <f>MAX(SUM(BD107:BD109),SUM(BD115:BD116))</f>
        <v/>
      </c>
      <c r="BE121" s="481">
        <f>MAX(SUM(BE107:BE109),SUM(BE115:BE116))</f>
        <v/>
      </c>
      <c r="BF121" s="481">
        <f>MAX(SUM(BF107:BF109),SUM(BF115:BF116))</f>
        <v/>
      </c>
      <c r="BG121" s="481">
        <f>MAX(SUM(BG107:BG109),SUM(BG115:BG116))</f>
        <v/>
      </c>
      <c r="BH121" s="481">
        <f>MAX(SUM(BH107:BH109),SUM(BH115:BH116))</f>
        <v/>
      </c>
      <c r="BI121" s="481">
        <f>MAX(SUM(BI107:BI109),SUM(BI115:BI116))</f>
        <v/>
      </c>
      <c r="BJ121" s="481">
        <f>MAX(SUM(BJ107:BJ109),SUM(BJ115:BJ116))</f>
        <v/>
      </c>
      <c r="BK121" s="481">
        <f>MAX(SUM(BK107:BK109),SUM(BK115:BK116))</f>
        <v/>
      </c>
      <c r="BL121" s="481">
        <f>MAX(SUM(BL107:BL109),SUM(BL115:BL116))</f>
        <v/>
      </c>
      <c r="BM121" s="481">
        <f>MAX(SUM(BM107:BM109),SUM(BM115:BM116))</f>
        <v/>
      </c>
      <c r="BN121" s="481">
        <f>MAX(SUM(BN107:BN109),SUM(BN115:BN116))</f>
        <v/>
      </c>
      <c r="BO121" s="481">
        <f>MAX(SUM(BO107:BO109),SUM(BO115:BO116))</f>
        <v/>
      </c>
      <c r="BP121" s="481">
        <f>MAX(SUM(BP107:BP109),SUM(BP115:BP116))</f>
        <v/>
      </c>
      <c r="BQ121" s="481">
        <f>MAX(SUM(BQ107:BQ109),SUM(BQ115:BQ116))</f>
        <v/>
      </c>
      <c r="BR121" s="481">
        <f>MAX(SUM(BR107:BR109),SUM(BR115:BR116))</f>
        <v/>
      </c>
      <c r="BS121" s="481">
        <f>MAX(SUM(BS107:BS109),SUM(BS115:BS116))</f>
        <v/>
      </c>
      <c r="BT121" s="481">
        <f>MAX(SUM(BT107:BT109),SUM(BT115:BT116))</f>
        <v/>
      </c>
      <c r="BU121" s="481">
        <f>MAX(SUM(BU107:BU109),SUM(BU115:BU116))</f>
        <v/>
      </c>
      <c r="BV121" s="481">
        <f>MAX(SUM(BV107:BV109),SUM(BV115:BV116))</f>
        <v/>
      </c>
      <c r="BW121" s="481">
        <f>MAX(SUM(BW107:BW109),SUM(BW115:BW116))</f>
        <v/>
      </c>
      <c r="BX121" s="481">
        <f>MAX(SUM(BX107:BX109),SUM(BX115:BX116))</f>
        <v/>
      </c>
      <c r="BY121" s="481">
        <f>MAX(SUM(BY107:BY109),SUM(BY115:BY116))</f>
        <v/>
      </c>
      <c r="BZ121" s="481">
        <f>MAX(SUM(BZ107:BZ109),SUM(BZ115:BZ116))</f>
        <v/>
      </c>
      <c r="CA121" s="481">
        <f>MAX(SUM(CA107:CA109),SUM(CA115:CA116))</f>
        <v/>
      </c>
      <c r="CB121" s="481">
        <f>MAX(SUM(CB107:CB109),SUM(CB115:CB116))</f>
        <v/>
      </c>
      <c r="CC121" s="481">
        <f>MAX(SUM(CC107:CC109),SUM(CC115:CC116))</f>
        <v/>
      </c>
      <c r="CD121" s="481">
        <f>MAX(SUM(CD107:CD109),SUM(CD115:CD116))</f>
        <v/>
      </c>
      <c r="CE121" s="481">
        <f>MAX(SUM(CE107:CE109),SUM(CE115:CE116))</f>
        <v/>
      </c>
      <c r="CF121" s="481">
        <f>MAX(SUM(CF107:CF109),SUM(CF115:CF116))</f>
        <v/>
      </c>
      <c r="CG121" s="481">
        <f>MAX(SUM(CG107:CG109),SUM(CG115:CG116))</f>
        <v/>
      </c>
      <c r="CH121" s="481">
        <f>MAX(SUM(CH107:CH109),SUM(CH115:CH116))</f>
        <v/>
      </c>
      <c r="CI121" s="481">
        <f>MAX(SUM(CI107:CI109),SUM(CI115:CI116))</f>
        <v/>
      </c>
      <c r="CJ121" s="481">
        <f>MAX(SUM(CJ107:CJ109),SUM(CJ115:CJ116))</f>
        <v/>
      </c>
      <c r="CK121" s="481">
        <f>MAX(SUM(CK107:CK109),SUM(CK115:CK116))</f>
        <v/>
      </c>
      <c r="CL121" s="481">
        <f>MAX(SUM(CL107:CL109),SUM(CL115:CL116))</f>
        <v/>
      </c>
      <c r="CM121" s="481">
        <f>MAX(SUM(CM107:CM109),SUM(CM115:CM116))</f>
        <v/>
      </c>
      <c r="CN121" s="481">
        <f>MAX(SUM(CN107:CN109),SUM(CN115:CN116))</f>
        <v/>
      </c>
      <c r="CO121" s="481">
        <f>MAX(SUM(CO107:CO109),SUM(CO115:CO116))</f>
        <v/>
      </c>
      <c r="CP121" s="481">
        <f>MAX(SUM(CP107:CP109),SUM(CP115:CP116))</f>
        <v/>
      </c>
      <c r="CQ121" s="481">
        <f>MAX(SUM(CQ107:CQ109),SUM(CQ115:CQ116))</f>
        <v/>
      </c>
      <c r="CR121" s="481">
        <f>MAX(SUM(CR107:CR109),SUM(CR115:CR116))</f>
        <v/>
      </c>
      <c r="CS121" s="481">
        <f>MAX(SUM(CS107:CS109),SUM(CS115:CS116))</f>
        <v/>
      </c>
      <c r="CT121" s="481">
        <f>MAX(SUM(CT107:CT109),SUM(CT115:CT116))</f>
        <v/>
      </c>
      <c r="CU121" s="481">
        <f>MAX(SUM(CU107:CU109),SUM(CU115:CU116))</f>
        <v/>
      </c>
      <c r="CV121" s="481">
        <f>MAX(SUM(CV107:CV109),SUM(CV115:CV116))</f>
        <v/>
      </c>
      <c r="CW121" s="481">
        <f>MAX(SUM(CW107:CW109),SUM(CW115:CW116))</f>
        <v/>
      </c>
      <c r="CX121" s="481">
        <f>MAX(SUM(CX107:CX109),SUM(CX115:CX116))</f>
        <v/>
      </c>
      <c r="CY121" s="481">
        <f>MAX(SUM(CY107:CY109),SUM(CY115:CY116))</f>
        <v/>
      </c>
      <c r="CZ121" s="481">
        <f>MAX(SUM(CZ107:CZ109),SUM(CZ115:CZ116))</f>
        <v/>
      </c>
      <c r="DA121" s="481">
        <f>MAX(SUM(DA107:DA109),SUM(DA115:DA116))</f>
        <v/>
      </c>
      <c r="DB121" s="481">
        <f>MAX(SUM(DB107:DB109),SUM(DB115:DB116))</f>
        <v/>
      </c>
      <c r="DC121" s="481">
        <f>MAX(SUM(DC107:DC109),SUM(DC115:DC116))</f>
        <v/>
      </c>
      <c r="DD121" s="481">
        <f>MAX(SUM(DD107:DD109),SUM(DD115:DD116))</f>
        <v/>
      </c>
      <c r="DE121" s="481">
        <f>MAX(SUM(DE107:DE109),SUM(DE115:DE116))</f>
        <v/>
      </c>
      <c r="DF121" s="481">
        <f>MAX(SUM(DF107:DF109),SUM(DF115:DF116))</f>
        <v/>
      </c>
      <c r="DG121" s="481">
        <f>MAX(SUM(DG107:DG109),SUM(DG115:DG116))</f>
        <v/>
      </c>
      <c r="DH121" s="481">
        <f>MAX(SUM(DH107:DH109),SUM(DH115:DH116))</f>
        <v/>
      </c>
      <c r="DI121" s="481">
        <f>MAX(SUM(DI107:DI109),SUM(DI115:DI116))</f>
        <v/>
      </c>
      <c r="DJ121" s="481">
        <f>MAX(SUM(DJ107:DJ109),SUM(DJ115:DJ116))</f>
        <v/>
      </c>
      <c r="DK121" s="481">
        <f>MAX(SUM(DK107:DK109),SUM(DK115:DK116))</f>
        <v/>
      </c>
      <c r="DL121" s="481">
        <f>MAX(SUM(DL107:DL109),SUM(DL115:DL116))</f>
        <v/>
      </c>
      <c r="DM121" s="481">
        <f>MAX(SUM(DM107:DM109),SUM(DM115:DM116))</f>
        <v/>
      </c>
      <c r="DN121" s="481">
        <f>MAX(SUM(DN107:DN109),SUM(DN115:DN116))</f>
        <v/>
      </c>
      <c r="DO121" s="481">
        <f>MAX(SUM(DO107:DO109),SUM(DO115:DO116))</f>
        <v/>
      </c>
      <c r="DP121" s="481">
        <f>MAX(SUM(DP107:DP109),SUM(DP115:DP116))</f>
        <v/>
      </c>
      <c r="DQ121" s="481">
        <f>MAX(SUM(DQ107:DQ109),SUM(DQ115:DQ116))</f>
        <v/>
      </c>
      <c r="DR121" s="481">
        <f>MAX(SUM(DR107:DR109),SUM(DR115:DR116))</f>
        <v/>
      </c>
      <c r="DS121" s="481">
        <f>MAX(SUM(DS107:DS109),SUM(DS115:DS116))</f>
        <v/>
      </c>
      <c r="DT121" s="481">
        <f>MAX(SUM(DT107:DT109),SUM(DT115:DT116))</f>
        <v/>
      </c>
      <c r="DU121" s="481">
        <f>MAX(SUM(DU107:DU109),SUM(DU115:DU116))</f>
        <v/>
      </c>
      <c r="DV121" s="481">
        <f>MAX(SUM(DV107:DV109),SUM(DV115:DV116))</f>
        <v/>
      </c>
      <c r="DW121" s="322" t="inlineStr">
        <is>
          <t>x</t>
        </is>
      </c>
    </row>
    <row r="122" hidden="1" outlineLevel="1">
      <c r="C122" s="479" t="n"/>
      <c r="D122" s="480" t="n"/>
      <c r="E122" s="481" t="n"/>
      <c r="F122" s="481" t="n"/>
      <c r="G122" s="481" t="n"/>
      <c r="H122" s="481" t="n"/>
      <c r="I122" s="481" t="n"/>
      <c r="J122" s="481" t="n"/>
      <c r="K122" s="481" t="n"/>
      <c r="L122" s="481" t="n"/>
      <c r="M122" s="481" t="n"/>
      <c r="N122" s="481" t="n"/>
      <c r="O122" s="481" t="n"/>
      <c r="P122" s="481" t="n"/>
      <c r="Q122" s="481" t="n"/>
      <c r="R122" s="481" t="n"/>
      <c r="S122" s="481" t="n"/>
      <c r="T122" s="481" t="n"/>
      <c r="U122" s="481" t="n"/>
      <c r="V122" s="481" t="n"/>
      <c r="W122" s="481" t="n"/>
      <c r="X122" s="481" t="n"/>
      <c r="Y122" s="481" t="n"/>
      <c r="Z122" s="481" t="n"/>
      <c r="AA122" s="481" t="n"/>
      <c r="AB122" s="481" t="n"/>
      <c r="AC122" s="481" t="n"/>
      <c r="AD122" s="481" t="n"/>
      <c r="AE122" s="481" t="n"/>
      <c r="AF122" s="481" t="n"/>
      <c r="AG122" s="481" t="n"/>
      <c r="AH122" s="481" t="n"/>
      <c r="AI122" s="481" t="n"/>
      <c r="AJ122" s="481" t="n"/>
      <c r="AK122" s="481" t="n"/>
      <c r="AL122" s="481" t="n"/>
      <c r="AM122" s="481" t="n"/>
      <c r="AN122" s="481" t="n"/>
      <c r="AO122" s="481" t="n"/>
      <c r="AP122" s="481" t="n"/>
      <c r="AQ122" s="481" t="n"/>
      <c r="AR122" s="481" t="n"/>
      <c r="AS122" s="481" t="n"/>
      <c r="AT122" s="481" t="n"/>
      <c r="AU122" s="481" t="n"/>
      <c r="AV122" s="481" t="n"/>
      <c r="AW122" s="481" t="n"/>
      <c r="AX122" s="481" t="n"/>
      <c r="AY122" s="481" t="n"/>
      <c r="AZ122" s="481" t="n"/>
      <c r="BA122" s="481" t="n"/>
      <c r="BB122" s="481" t="n"/>
      <c r="BC122" s="481" t="n"/>
      <c r="BD122" s="481" t="n"/>
      <c r="BE122" s="481" t="n"/>
      <c r="BF122" s="481" t="n"/>
      <c r="BG122" s="481" t="n"/>
      <c r="BH122" s="481" t="n"/>
      <c r="BI122" s="481" t="n"/>
      <c r="BJ122" s="481" t="n"/>
      <c r="BK122" s="481" t="n"/>
      <c r="BL122" s="481" t="n"/>
      <c r="BM122" s="481" t="n"/>
      <c r="BN122" s="481" t="n"/>
      <c r="BO122" s="481" t="n"/>
      <c r="BP122" s="481" t="n"/>
      <c r="BQ122" s="481" t="n"/>
      <c r="BR122" s="481" t="n"/>
      <c r="BS122" s="481" t="n"/>
      <c r="BT122" s="481" t="n"/>
      <c r="BU122" s="481" t="n"/>
      <c r="BV122" s="481" t="n"/>
      <c r="BW122" s="481" t="n"/>
      <c r="BX122" s="481" t="n"/>
      <c r="BY122" s="481" t="n"/>
      <c r="BZ122" s="481" t="n"/>
      <c r="CA122" s="481" t="n"/>
      <c r="CB122" s="481" t="n"/>
      <c r="CC122" s="481" t="n"/>
      <c r="CD122" s="481" t="n"/>
      <c r="CE122" s="481" t="n"/>
      <c r="CF122" s="481" t="n"/>
      <c r="CG122" s="481" t="n"/>
      <c r="CH122" s="481" t="n"/>
      <c r="CI122" s="481" t="n"/>
      <c r="CJ122" s="481" t="n"/>
      <c r="CK122" s="481" t="n"/>
      <c r="CL122" s="481" t="n"/>
      <c r="CM122" s="481" t="n"/>
      <c r="CN122" s="481" t="n"/>
      <c r="CO122" s="481" t="n"/>
      <c r="CP122" s="481" t="n"/>
      <c r="CQ122" s="481" t="n"/>
      <c r="CR122" s="481" t="n"/>
      <c r="CS122" s="481" t="n"/>
      <c r="CT122" s="481" t="n"/>
      <c r="CU122" s="481" t="n"/>
      <c r="CV122" s="481" t="n"/>
      <c r="CW122" s="481" t="n"/>
      <c r="CX122" s="481" t="n"/>
      <c r="CY122" s="481" t="n"/>
      <c r="CZ122" s="481" t="n"/>
      <c r="DA122" s="481" t="n"/>
      <c r="DB122" s="481" t="n"/>
      <c r="DC122" s="481" t="n"/>
      <c r="DD122" s="481" t="n"/>
      <c r="DE122" s="481" t="n"/>
      <c r="DF122" s="481" t="n"/>
      <c r="DG122" s="481" t="n"/>
      <c r="DH122" s="481" t="n"/>
      <c r="DI122" s="481" t="n"/>
      <c r="DJ122" s="481" t="n"/>
      <c r="DK122" s="481" t="n"/>
      <c r="DL122" s="481" t="n"/>
      <c r="DM122" s="481" t="n"/>
      <c r="DN122" s="481" t="n"/>
      <c r="DO122" s="481" t="n"/>
      <c r="DP122" s="481" t="n"/>
      <c r="DQ122" s="481" t="n"/>
      <c r="DR122" s="481" t="n"/>
      <c r="DS122" s="481" t="n"/>
      <c r="DT122" s="481" t="n"/>
      <c r="DU122" s="481" t="n"/>
      <c r="DV122" s="481" t="n"/>
      <c r="DW122" s="322" t="inlineStr">
        <is>
          <t>x</t>
        </is>
      </c>
    </row>
    <row r="123" hidden="1" outlineLevel="1" ht="17.25" customHeight="1" thickBot="1">
      <c r="C123" s="480">
        <f>"Total Distribution Per Tier I to "&amp;C106</f>
        <v/>
      </c>
      <c r="D123" s="480" t="n"/>
      <c r="E123" s="482" t="n">
        <v>-2077334.382751219</v>
      </c>
      <c r="F123" s="483">
        <f>-MAX(MIN(F121,F81*$D$127),0)</f>
        <v/>
      </c>
      <c r="G123" s="483">
        <f>-MAX(MIN(G121,G81*$D$127),0)</f>
        <v/>
      </c>
      <c r="H123" s="483">
        <f>-MAX(MIN(H121,H81*$D$127),0)</f>
        <v/>
      </c>
      <c r="I123" s="483">
        <f>-MAX(MIN(I121,I81*$D$127),0)</f>
        <v/>
      </c>
      <c r="J123" s="483">
        <f>-MAX(MIN(J121,J81*$D$127),0)</f>
        <v/>
      </c>
      <c r="K123" s="483">
        <f>-MAX(MIN(K121,K81*$D$127),0)</f>
        <v/>
      </c>
      <c r="L123" s="483">
        <f>-MAX(MIN(L121,L81*$D$127),0)</f>
        <v/>
      </c>
      <c r="M123" s="483">
        <f>-MAX(MIN(M121,M81*$D$127),0)</f>
        <v/>
      </c>
      <c r="N123" s="483">
        <f>-MAX(MIN(N121,N81*$D$127),0)</f>
        <v/>
      </c>
      <c r="O123" s="483">
        <f>-MAX(MIN(O121,O81*$D$127),0)</f>
        <v/>
      </c>
      <c r="P123" s="483">
        <f>-MAX(MIN(P121,P81*$D$127),0)</f>
        <v/>
      </c>
      <c r="Q123" s="483">
        <f>-MAX(MIN(Q121,Q81*$D$127),0)</f>
        <v/>
      </c>
      <c r="R123" s="483">
        <f>-MAX(MIN(R121,R81*$D$127),0)</f>
        <v/>
      </c>
      <c r="S123" s="483">
        <f>-MAX(MIN(S121,S81*$D$127),0)</f>
        <v/>
      </c>
      <c r="T123" s="483">
        <f>-MAX(MIN(T121,T81*$D$127),0)</f>
        <v/>
      </c>
      <c r="U123" s="483">
        <f>-MAX(MIN(U121,U81*$D$127),0)</f>
        <v/>
      </c>
      <c r="V123" s="483">
        <f>-MAX(MIN(V121,V81*$D$127),0)</f>
        <v/>
      </c>
      <c r="W123" s="483">
        <f>-MAX(MIN(W121,W81*$D$127),0)</f>
        <v/>
      </c>
      <c r="X123" s="483">
        <f>-MAX(MIN(X121,X81*$D$127),0)</f>
        <v/>
      </c>
      <c r="Y123" s="483">
        <f>-MAX(MIN(Y121,Y81*$D$127),0)</f>
        <v/>
      </c>
      <c r="Z123" s="483">
        <f>-MAX(MIN(Z121,Z81*$D$127),0)</f>
        <v/>
      </c>
      <c r="AA123" s="483">
        <f>-MAX(MIN(AA121,AA81*$D$127),0)</f>
        <v/>
      </c>
      <c r="AB123" s="483">
        <f>-MAX(MIN(AB121,AB81*$D$127),0)</f>
        <v/>
      </c>
      <c r="AC123" s="483">
        <f>-MAX(MIN(AC121,AC81*$D$127),0)</f>
        <v/>
      </c>
      <c r="AD123" s="483">
        <f>-MAX(MIN(AD121,AD81*$D$127),0)</f>
        <v/>
      </c>
      <c r="AE123" s="483">
        <f>-MAX(MIN(AE121,AE81*$D$127),0)</f>
        <v/>
      </c>
      <c r="AF123" s="483">
        <f>-MAX(MIN(AF121,AF81*$D$127),0)</f>
        <v/>
      </c>
      <c r="AG123" s="483">
        <f>-MAX(MIN(AG121,AG81*$D$127),0)</f>
        <v/>
      </c>
      <c r="AH123" s="483">
        <f>-MAX(MIN(AH121,AH81*$D$127),0)</f>
        <v/>
      </c>
      <c r="AI123" s="483">
        <f>-MAX(MIN(AI121,AI81*$D$127),0)</f>
        <v/>
      </c>
      <c r="AJ123" s="483">
        <f>-MAX(MIN(AJ121,AJ81*$D$127),0)</f>
        <v/>
      </c>
      <c r="AK123" s="483">
        <f>-MAX(MIN(AK121,AK81*$D$127),0)</f>
        <v/>
      </c>
      <c r="AL123" s="483">
        <f>-MAX(MIN(AL121,AL81*$D$127),0)</f>
        <v/>
      </c>
      <c r="AM123" s="483">
        <f>-MAX(MIN(AM121,AM81*$D$127),0)</f>
        <v/>
      </c>
      <c r="AN123" s="483">
        <f>-MAX(MIN(AN121,AN81*$D$127),0)</f>
        <v/>
      </c>
      <c r="AO123" s="483">
        <f>-MAX(MIN(AO121,AO81*$D$127),0)</f>
        <v/>
      </c>
      <c r="AP123" s="483">
        <f>-MAX(MIN(AP121,AP81*$D$127),0)</f>
        <v/>
      </c>
      <c r="AQ123" s="483">
        <f>-MAX(MIN(AQ121,AQ81*$D$127),0)</f>
        <v/>
      </c>
      <c r="AR123" s="483">
        <f>-MAX(MIN(AR121,AR81*$D$127),0)</f>
        <v/>
      </c>
      <c r="AS123" s="483">
        <f>-MAX(MIN(AS121,AS81*$D$127),0)</f>
        <v/>
      </c>
      <c r="AT123" s="483">
        <f>-MAX(MIN(AT121,AT81*$D$127),0)</f>
        <v/>
      </c>
      <c r="AU123" s="483">
        <f>-MAX(MIN(AU121,AU81*$D$127),0)</f>
        <v/>
      </c>
      <c r="AV123" s="483">
        <f>-MAX(MIN(AV121,AV81*$D$127),0)</f>
        <v/>
      </c>
      <c r="AW123" s="483">
        <f>-MAX(MIN(AW121,AW81*$D$127),0)</f>
        <v/>
      </c>
      <c r="AX123" s="483">
        <f>-MAX(MIN(AX121,AX81*$D$127),0)</f>
        <v/>
      </c>
      <c r="AY123" s="483">
        <f>-MAX(MIN(AY121,AY81*$D$127),0)</f>
        <v/>
      </c>
      <c r="AZ123" s="483">
        <f>-MAX(MIN(AZ121,AZ81*$D$127),0)</f>
        <v/>
      </c>
      <c r="BA123" s="483">
        <f>-MAX(MIN(BA121,BA81*$D$127),0)</f>
        <v/>
      </c>
      <c r="BB123" s="483">
        <f>-MAX(MIN(BB121,BB81*$D$127),0)</f>
        <v/>
      </c>
      <c r="BC123" s="483">
        <f>-MAX(MIN(BC121,BC81*$D$127),0)</f>
        <v/>
      </c>
      <c r="BD123" s="483">
        <f>-MAX(MIN(BD121,BD81*$D$127),0)</f>
        <v/>
      </c>
      <c r="BE123" s="483">
        <f>-MAX(MIN(BE121,BE81*$D$127),0)</f>
        <v/>
      </c>
      <c r="BF123" s="483">
        <f>-MAX(MIN(BF121,BF81*$D$127),0)</f>
        <v/>
      </c>
      <c r="BG123" s="483">
        <f>-MAX(MIN(BG121,BG81*$D$127),0)</f>
        <v/>
      </c>
      <c r="BH123" s="483">
        <f>-MAX(MIN(BH121,BH81*$D$127),0)</f>
        <v/>
      </c>
      <c r="BI123" s="483">
        <f>-MAX(MIN(BI121,BI81*$D$127),0)</f>
        <v/>
      </c>
      <c r="BJ123" s="483">
        <f>-MAX(MIN(BJ121,BJ81*$D$127),0)</f>
        <v/>
      </c>
      <c r="BK123" s="483">
        <f>-MAX(MIN(BK121,BK81*$D$127),0)</f>
        <v/>
      </c>
      <c r="BL123" s="483">
        <f>-MAX(MIN(BL121,BL81*$D$127),0)</f>
        <v/>
      </c>
      <c r="BM123" s="483">
        <f>-MAX(MIN(BM121,BM81*$D$127),0)</f>
        <v/>
      </c>
      <c r="BN123" s="483">
        <f>-MAX(MIN(BN121,BN81*$D$127),0)</f>
        <v/>
      </c>
      <c r="BO123" s="483">
        <f>-MAX(MIN(BO121,BO81*$D$127),0)</f>
        <v/>
      </c>
      <c r="BP123" s="483">
        <f>-MAX(MIN(BP121,BP81*$D$127),0)</f>
        <v/>
      </c>
      <c r="BQ123" s="483">
        <f>-MAX(MIN(BQ121,BQ81*$D$127),0)</f>
        <v/>
      </c>
      <c r="BR123" s="483">
        <f>-MAX(MIN(BR121,BR81*$D$127),0)</f>
        <v/>
      </c>
      <c r="BS123" s="483">
        <f>-MAX(MIN(BS121,BS81*$D$127),0)</f>
        <v/>
      </c>
      <c r="BT123" s="483">
        <f>-MAX(MIN(BT121,BT81*$D$127),0)</f>
        <v/>
      </c>
      <c r="BU123" s="483">
        <f>-MAX(MIN(BU121,BU81*$D$127),0)</f>
        <v/>
      </c>
      <c r="BV123" s="483">
        <f>-MAX(MIN(BV121,BV81*$D$127),0)</f>
        <v/>
      </c>
      <c r="BW123" s="483">
        <f>-MAX(MIN(BW121,BW81*$D$127),0)</f>
        <v/>
      </c>
      <c r="BX123" s="483">
        <f>-MAX(MIN(BX121,BX81*$D$127),0)</f>
        <v/>
      </c>
      <c r="BY123" s="483">
        <f>-MAX(MIN(BY121,BY81*$D$127),0)</f>
        <v/>
      </c>
      <c r="BZ123" s="483">
        <f>-MAX(MIN(BZ121,BZ81*$D$127),0)</f>
        <v/>
      </c>
      <c r="CA123" s="483">
        <f>-MAX(MIN(CA121,CA81*$D$127),0)</f>
        <v/>
      </c>
      <c r="CB123" s="483">
        <f>-MAX(MIN(CB121,CB81*$D$127),0)</f>
        <v/>
      </c>
      <c r="CC123" s="483">
        <f>-MAX(MIN(CC121,CC81*$D$127),0)</f>
        <v/>
      </c>
      <c r="CD123" s="483">
        <f>-MAX(MIN(CD121,CD81*$D$127),0)</f>
        <v/>
      </c>
      <c r="CE123" s="483">
        <f>-MAX(MIN(CE121,CE81*$D$127),0)</f>
        <v/>
      </c>
      <c r="CF123" s="483">
        <f>-MAX(MIN(CF121,CF81*$D$127),0)</f>
        <v/>
      </c>
      <c r="CG123" s="483">
        <f>-MAX(MIN(CG121,CG81*$D$127),0)</f>
        <v/>
      </c>
      <c r="CH123" s="483">
        <f>-MAX(MIN(CH121,CH81*$D$127),0)</f>
        <v/>
      </c>
      <c r="CI123" s="483">
        <f>-MAX(MIN(CI121,CI81*$D$127),0)</f>
        <v/>
      </c>
      <c r="CJ123" s="483">
        <f>-MAX(MIN(CJ121,CJ81*$D$127),0)</f>
        <v/>
      </c>
      <c r="CK123" s="483">
        <f>-MAX(MIN(CK121,CK81*$D$127),0)</f>
        <v/>
      </c>
      <c r="CL123" s="483">
        <f>-MAX(MIN(CL121,CL81*$D$127),0)</f>
        <v/>
      </c>
      <c r="CM123" s="483">
        <f>-MAX(MIN(CM121,CM81*$D$127),0)</f>
        <v/>
      </c>
      <c r="CN123" s="483">
        <f>-MAX(MIN(CN121,CN81*$D$127),0)</f>
        <v/>
      </c>
      <c r="CO123" s="483">
        <f>-MAX(MIN(CO121,CO81*$D$127),0)</f>
        <v/>
      </c>
      <c r="CP123" s="483">
        <f>-MAX(MIN(CP121,CP81*$D$127),0)</f>
        <v/>
      </c>
      <c r="CQ123" s="483">
        <f>-MAX(MIN(CQ121,CQ81*$D$127),0)</f>
        <v/>
      </c>
      <c r="CR123" s="483">
        <f>-MAX(MIN(CR121,CR81*$D$127),0)</f>
        <v/>
      </c>
      <c r="CS123" s="483">
        <f>-MAX(MIN(CS121,CS81*$D$127),0)</f>
        <v/>
      </c>
      <c r="CT123" s="483">
        <f>-MAX(MIN(CT121,CT81*$D$127),0)</f>
        <v/>
      </c>
      <c r="CU123" s="483">
        <f>-MAX(MIN(CU121,CU81*$D$127),0)</f>
        <v/>
      </c>
      <c r="CV123" s="483">
        <f>-MAX(MIN(CV121,CV81*$D$127),0)</f>
        <v/>
      </c>
      <c r="CW123" s="483">
        <f>-MAX(MIN(CW121,CW81*$D$127),0)</f>
        <v/>
      </c>
      <c r="CX123" s="483">
        <f>-MAX(MIN(CX121,CX81*$D$127),0)</f>
        <v/>
      </c>
      <c r="CY123" s="483">
        <f>-MAX(MIN(CY121,CY81*$D$127),0)</f>
        <v/>
      </c>
      <c r="CZ123" s="483">
        <f>-MAX(MIN(CZ121,CZ81*$D$127),0)</f>
        <v/>
      </c>
      <c r="DA123" s="483">
        <f>-MAX(MIN(DA121,DA81*$D$127),0)</f>
        <v/>
      </c>
      <c r="DB123" s="483">
        <f>-MAX(MIN(DB121,DB81*$D$127),0)</f>
        <v/>
      </c>
      <c r="DC123" s="483">
        <f>-MAX(MIN(DC121,DC81*$D$127),0)</f>
        <v/>
      </c>
      <c r="DD123" s="483">
        <f>-MAX(MIN(DD121,DD81*$D$127),0)</f>
        <v/>
      </c>
      <c r="DE123" s="483">
        <f>-MAX(MIN(DE121,DE81*$D$127),0)</f>
        <v/>
      </c>
      <c r="DF123" s="483">
        <f>-MAX(MIN(DF121,DF81*$D$127),0)</f>
        <v/>
      </c>
      <c r="DG123" s="483">
        <f>-MAX(MIN(DG121,DG81*$D$127),0)</f>
        <v/>
      </c>
      <c r="DH123" s="483">
        <f>-MAX(MIN(DH121,DH81*$D$127),0)</f>
        <v/>
      </c>
      <c r="DI123" s="483">
        <f>-MAX(MIN(DI121,DI81*$D$127),0)</f>
        <v/>
      </c>
      <c r="DJ123" s="483">
        <f>-MAX(MIN(DJ121,DJ81*$D$127),0)</f>
        <v/>
      </c>
      <c r="DK123" s="483">
        <f>-MAX(MIN(DK121,DK81*$D$127),0)</f>
        <v/>
      </c>
      <c r="DL123" s="483">
        <f>-MAX(MIN(DL121,DL81*$D$127),0)</f>
        <v/>
      </c>
      <c r="DM123" s="483">
        <f>-MAX(MIN(DM121,DM81*$D$127),0)</f>
        <v/>
      </c>
      <c r="DN123" s="483">
        <f>-MAX(MIN(DN121,DN81*$D$127),0)</f>
        <v/>
      </c>
      <c r="DO123" s="483">
        <f>-MAX(MIN(DO121,DO81*$D$127),0)</f>
        <v/>
      </c>
      <c r="DP123" s="483">
        <f>-MAX(MIN(DP121,DP81*$D$127),0)</f>
        <v/>
      </c>
      <c r="DQ123" s="483">
        <f>-MAX(MIN(DQ121,DQ81*$D$127),0)</f>
        <v/>
      </c>
      <c r="DR123" s="483">
        <f>-MAX(MIN(DR121,DR81*$D$127),0)</f>
        <v/>
      </c>
      <c r="DS123" s="483">
        <f>-MAX(MIN(DS121,DS81*$D$127),0)</f>
        <v/>
      </c>
      <c r="DT123" s="483">
        <f>-MAX(MIN(DT121,DT81*$D$127),0)</f>
        <v/>
      </c>
      <c r="DU123" s="483">
        <f>-MAX(MIN(DU121,DU81*$D$127),0)</f>
        <v/>
      </c>
      <c r="DV123" s="483">
        <f>-MAX(MIN(DV121,DV81*$D$127),0)</f>
        <v/>
      </c>
      <c r="DW123" s="322" t="inlineStr">
        <is>
          <t>x</t>
        </is>
      </c>
    </row>
    <row r="124" hidden="1" outlineLevel="1" ht="17.25" customHeight="1" thickTop="1">
      <c r="C124" s="365" t="n"/>
      <c r="D124" s="484" t="n"/>
      <c r="E124" s="463" t="n"/>
      <c r="F124" s="374" t="n"/>
      <c r="G124" s="374" t="n"/>
      <c r="H124" s="463" t="n"/>
      <c r="I124" s="463" t="n"/>
      <c r="J124" s="463" t="n"/>
      <c r="K124" s="463" t="n"/>
      <c r="L124" s="463" t="n"/>
      <c r="M124" s="463" t="n"/>
      <c r="N124" s="463" t="n"/>
      <c r="O124" s="463" t="n"/>
      <c r="P124" s="463" t="n"/>
      <c r="Q124" s="463" t="n"/>
      <c r="R124" s="463" t="n"/>
      <c r="S124" s="463" t="n"/>
      <c r="T124" s="463" t="n"/>
      <c r="U124" s="463" t="n"/>
      <c r="V124" s="463" t="n"/>
      <c r="W124" s="463" t="n"/>
      <c r="X124" s="463" t="n"/>
      <c r="Y124" s="463" t="n"/>
      <c r="Z124" s="463" t="n"/>
      <c r="AA124" s="463" t="n"/>
      <c r="AB124" s="463" t="n"/>
      <c r="AC124" s="463" t="n"/>
      <c r="AD124" s="463" t="n"/>
      <c r="AE124" s="463" t="n"/>
      <c r="AF124" s="463" t="n"/>
      <c r="AG124" s="463" t="n"/>
      <c r="AH124" s="463" t="n"/>
      <c r="AI124" s="463" t="n"/>
      <c r="AJ124" s="463" t="n"/>
      <c r="AK124" s="463" t="n"/>
      <c r="AL124" s="463" t="n"/>
      <c r="AM124" s="463" t="n"/>
      <c r="AN124" s="463" t="n"/>
      <c r="AO124" s="463" t="n"/>
      <c r="AP124" s="463" t="n"/>
      <c r="AQ124" s="463" t="n"/>
      <c r="AR124" s="463" t="n"/>
      <c r="AS124" s="463" t="n"/>
      <c r="AT124" s="463" t="n"/>
      <c r="AU124" s="463" t="n"/>
      <c r="AV124" s="463" t="n"/>
      <c r="AW124" s="463" t="n"/>
      <c r="AX124" s="463" t="n"/>
      <c r="AY124" s="463" t="n"/>
      <c r="AZ124" s="463" t="n"/>
      <c r="BA124" s="463" t="n"/>
      <c r="BB124" s="463" t="n"/>
      <c r="BC124" s="463" t="n"/>
      <c r="BD124" s="463" t="n"/>
      <c r="BE124" s="463" t="n"/>
      <c r="BF124" s="463" t="n"/>
      <c r="BG124" s="463" t="n"/>
      <c r="BH124" s="463" t="n"/>
      <c r="BI124" s="463" t="n"/>
      <c r="BJ124" s="463" t="n"/>
      <c r="BK124" s="463" t="n"/>
      <c r="BL124" s="463" t="n"/>
      <c r="BM124" s="463" t="n"/>
      <c r="BN124" s="463" t="n"/>
      <c r="BO124" s="463" t="n"/>
      <c r="BP124" s="463" t="n"/>
      <c r="BQ124" s="463" t="n"/>
      <c r="BR124" s="463" t="n"/>
      <c r="BS124" s="463" t="n"/>
      <c r="BT124" s="463" t="n"/>
      <c r="BU124" s="463" t="n"/>
      <c r="BV124" s="463" t="n"/>
      <c r="BW124" s="463" t="n"/>
      <c r="BX124" s="463" t="n"/>
      <c r="BY124" s="463" t="n"/>
      <c r="BZ124" s="463" t="n"/>
      <c r="CA124" s="463" t="n"/>
      <c r="CB124" s="463" t="n"/>
      <c r="CC124" s="463" t="n"/>
      <c r="CD124" s="463" t="n"/>
      <c r="CE124" s="463" t="n"/>
      <c r="CF124" s="463" t="n"/>
      <c r="CG124" s="463" t="n"/>
      <c r="CH124" s="463" t="n"/>
      <c r="CI124" s="463" t="n"/>
      <c r="CJ124" s="463" t="n"/>
      <c r="CK124" s="463" t="n"/>
      <c r="CL124" s="463" t="n"/>
      <c r="CM124" s="463" t="n"/>
      <c r="CN124" s="463" t="n"/>
      <c r="CO124" s="463" t="n"/>
      <c r="CP124" s="463" t="n"/>
      <c r="CQ124" s="463" t="n"/>
      <c r="CR124" s="463" t="n"/>
      <c r="CS124" s="463" t="n"/>
      <c r="CT124" s="463" t="n"/>
      <c r="CU124" s="463" t="n"/>
      <c r="CV124" s="463" t="n"/>
      <c r="CW124" s="463" t="n"/>
      <c r="CX124" s="463" t="n"/>
      <c r="CY124" s="463" t="n"/>
      <c r="CZ124" s="463" t="n"/>
      <c r="DA124" s="463" t="n"/>
      <c r="DB124" s="463" t="n"/>
      <c r="DC124" s="463" t="n"/>
      <c r="DD124" s="463" t="n"/>
      <c r="DE124" s="463" t="n"/>
      <c r="DF124" s="463" t="n"/>
      <c r="DG124" s="463" t="n"/>
      <c r="DH124" s="463" t="n"/>
      <c r="DI124" s="463" t="n"/>
      <c r="DJ124" s="463" t="n"/>
      <c r="DK124" s="463" t="n"/>
      <c r="DL124" s="463" t="n"/>
      <c r="DM124" s="463" t="n"/>
      <c r="DN124" s="463" t="n"/>
      <c r="DO124" s="463" t="n"/>
      <c r="DP124" s="463" t="n"/>
      <c r="DQ124" s="463" t="n"/>
      <c r="DR124" s="463" t="n"/>
      <c r="DS124" s="463" t="n"/>
      <c r="DT124" s="463" t="n"/>
      <c r="DU124" s="463" t="n"/>
      <c r="DV124" s="463" t="n"/>
      <c r="DW124" s="322" t="inlineStr">
        <is>
          <t>x</t>
        </is>
      </c>
    </row>
    <row r="125" hidden="1" outlineLevel="1">
      <c r="C125" s="485" t="inlineStr">
        <is>
          <t>Splits</t>
        </is>
      </c>
      <c r="D125" s="374" t="n"/>
      <c r="E125" s="463" t="n"/>
      <c r="F125" s="374" t="n"/>
      <c r="G125" s="374" t="n"/>
      <c r="H125" s="463" t="n"/>
      <c r="I125" s="463" t="n"/>
      <c r="J125" s="463" t="n"/>
      <c r="K125" s="463" t="n"/>
      <c r="L125" s="463" t="n"/>
      <c r="M125" s="463" t="n"/>
      <c r="N125" s="463" t="n"/>
      <c r="O125" s="463" t="n"/>
      <c r="P125" s="463" t="n"/>
      <c r="Q125" s="463" t="n"/>
      <c r="R125" s="463" t="n"/>
      <c r="S125" s="463" t="n"/>
      <c r="T125" s="463" t="n"/>
      <c r="U125" s="463" t="n"/>
      <c r="V125" s="463" t="n"/>
      <c r="W125" s="463" t="n"/>
      <c r="X125" s="463" t="n"/>
      <c r="Y125" s="463" t="n"/>
      <c r="Z125" s="463" t="n"/>
      <c r="AA125" s="463" t="n"/>
      <c r="AB125" s="463" t="n"/>
      <c r="AC125" s="463" t="n"/>
      <c r="AD125" s="463" t="n"/>
      <c r="AE125" s="463" t="n"/>
      <c r="AF125" s="463" t="n"/>
      <c r="AG125" s="463" t="n"/>
      <c r="AH125" s="463" t="n"/>
      <c r="AI125" s="463" t="n"/>
      <c r="AJ125" s="463" t="n"/>
      <c r="AK125" s="463" t="n"/>
      <c r="AL125" s="463" t="n"/>
      <c r="AM125" s="463" t="n"/>
      <c r="AN125" s="463" t="n"/>
      <c r="AO125" s="463" t="n"/>
      <c r="AP125" s="463" t="n"/>
      <c r="AQ125" s="463" t="n"/>
      <c r="AR125" s="463" t="n"/>
      <c r="AS125" s="463" t="n"/>
      <c r="AT125" s="463" t="n"/>
      <c r="AU125" s="463" t="n"/>
      <c r="AV125" s="463" t="n"/>
      <c r="AW125" s="463" t="n"/>
      <c r="AX125" s="463" t="n"/>
      <c r="AY125" s="463" t="n"/>
      <c r="AZ125" s="463" t="n"/>
      <c r="BA125" s="463" t="n"/>
      <c r="BB125" s="463" t="n"/>
      <c r="BC125" s="463" t="n"/>
      <c r="BD125" s="463" t="n"/>
      <c r="BE125" s="463" t="n"/>
      <c r="BF125" s="463" t="n"/>
      <c r="BG125" s="463" t="n"/>
      <c r="BH125" s="463" t="n"/>
      <c r="BI125" s="463" t="n"/>
      <c r="BJ125" s="463" t="n"/>
      <c r="BK125" s="463" t="n"/>
      <c r="BL125" s="463" t="n"/>
      <c r="BM125" s="463" t="n"/>
      <c r="BN125" s="463" t="n"/>
      <c r="BO125" s="463" t="n"/>
      <c r="BP125" s="463" t="n"/>
      <c r="BQ125" s="463" t="n"/>
      <c r="BR125" s="463" t="n"/>
      <c r="BS125" s="463" t="n"/>
      <c r="BT125" s="463" t="n"/>
      <c r="BU125" s="463" t="n"/>
      <c r="BV125" s="463" t="n"/>
      <c r="BW125" s="463" t="n"/>
      <c r="BX125" s="463" t="n"/>
      <c r="BY125" s="463" t="n"/>
      <c r="BZ125" s="463" t="n"/>
      <c r="CA125" s="463" t="n"/>
      <c r="CB125" s="463" t="n"/>
      <c r="CC125" s="463" t="n"/>
      <c r="CD125" s="463" t="n"/>
      <c r="CE125" s="463" t="n"/>
      <c r="CF125" s="463" t="n"/>
      <c r="CG125" s="463" t="n"/>
      <c r="CH125" s="463" t="n"/>
      <c r="CI125" s="463" t="n"/>
      <c r="CJ125" s="463" t="n"/>
      <c r="CK125" s="463" t="n"/>
      <c r="CL125" s="463" t="n"/>
      <c r="CM125" s="463" t="n"/>
      <c r="CN125" s="463" t="n"/>
      <c r="CO125" s="463" t="n"/>
      <c r="CP125" s="463" t="n"/>
      <c r="CQ125" s="463" t="n"/>
      <c r="CR125" s="463" t="n"/>
      <c r="CS125" s="463" t="n"/>
      <c r="CT125" s="463" t="n"/>
      <c r="CU125" s="463" t="n"/>
      <c r="CV125" s="463" t="n"/>
      <c r="CW125" s="463" t="n"/>
      <c r="CX125" s="463" t="n"/>
      <c r="CY125" s="463" t="n"/>
      <c r="CZ125" s="463" t="n"/>
      <c r="DA125" s="463" t="n"/>
      <c r="DB125" s="463" t="n"/>
      <c r="DC125" s="463" t="n"/>
      <c r="DD125" s="463" t="n"/>
      <c r="DE125" s="463" t="n"/>
      <c r="DF125" s="463" t="n"/>
      <c r="DG125" s="463" t="n"/>
      <c r="DH125" s="463" t="n"/>
      <c r="DI125" s="463" t="n"/>
      <c r="DJ125" s="463" t="n"/>
      <c r="DK125" s="463" t="n"/>
      <c r="DL125" s="463" t="n"/>
      <c r="DM125" s="463" t="n"/>
      <c r="DN125" s="463" t="n"/>
      <c r="DO125" s="463" t="n"/>
      <c r="DP125" s="463" t="n"/>
      <c r="DQ125" s="463" t="n"/>
      <c r="DR125" s="463" t="n"/>
      <c r="DS125" s="463" t="n"/>
      <c r="DT125" s="463" t="n"/>
      <c r="DU125" s="463" t="n"/>
      <c r="DV125" s="463" t="n"/>
      <c r="DW125" s="322" t="inlineStr">
        <is>
          <t>x</t>
        </is>
      </c>
    </row>
    <row r="126" hidden="1" outlineLevel="1">
      <c r="C126" s="374">
        <f>C86&amp; " Equity"</f>
        <v/>
      </c>
      <c r="D126" s="486">
        <f>H38</f>
        <v/>
      </c>
      <c r="E126" s="681">
        <f>SUM(F126:DV126)</f>
        <v/>
      </c>
      <c r="F126" s="680">
        <f>-F88-F103</f>
        <v/>
      </c>
      <c r="G126" s="680">
        <f>-G88-G103</f>
        <v/>
      </c>
      <c r="H126" s="680">
        <f>-H88-H103</f>
        <v/>
      </c>
      <c r="I126" s="680">
        <f>-I88-I103</f>
        <v/>
      </c>
      <c r="J126" s="680">
        <f>-J88-J103</f>
        <v/>
      </c>
      <c r="K126" s="680">
        <f>-K88-K103</f>
        <v/>
      </c>
      <c r="L126" s="680">
        <f>-L88-L103</f>
        <v/>
      </c>
      <c r="M126" s="680">
        <f>-M88-M103</f>
        <v/>
      </c>
      <c r="N126" s="680">
        <f>-N88-N103</f>
        <v/>
      </c>
      <c r="O126" s="680">
        <f>-O88-O103</f>
        <v/>
      </c>
      <c r="P126" s="680">
        <f>-P88-P103</f>
        <v/>
      </c>
      <c r="Q126" s="680">
        <f>-Q88-Q103</f>
        <v/>
      </c>
      <c r="R126" s="680">
        <f>-R88-R103</f>
        <v/>
      </c>
      <c r="S126" s="680">
        <f>-S88-S103</f>
        <v/>
      </c>
      <c r="T126" s="680">
        <f>-T88-T103</f>
        <v/>
      </c>
      <c r="U126" s="680">
        <f>-U88-U103</f>
        <v/>
      </c>
      <c r="V126" s="680">
        <f>-V88-V103</f>
        <v/>
      </c>
      <c r="W126" s="680">
        <f>-W88-W103</f>
        <v/>
      </c>
      <c r="X126" s="680">
        <f>-X88-X103</f>
        <v/>
      </c>
      <c r="Y126" s="680">
        <f>-Y88-Y103</f>
        <v/>
      </c>
      <c r="Z126" s="680">
        <f>-Z88-Z103</f>
        <v/>
      </c>
      <c r="AA126" s="680">
        <f>-AA88-AA103</f>
        <v/>
      </c>
      <c r="AB126" s="680">
        <f>-AB88-AB103</f>
        <v/>
      </c>
      <c r="AC126" s="680">
        <f>-AC88-AC103</f>
        <v/>
      </c>
      <c r="AD126" s="680">
        <f>-AD88-AD103</f>
        <v/>
      </c>
      <c r="AE126" s="680">
        <f>-AE88-AE103</f>
        <v/>
      </c>
      <c r="AF126" s="680">
        <f>-AF88-AF103</f>
        <v/>
      </c>
      <c r="AG126" s="680">
        <f>-AG88-AG103</f>
        <v/>
      </c>
      <c r="AH126" s="680">
        <f>-AH88-AH103</f>
        <v/>
      </c>
      <c r="AI126" s="680">
        <f>-AI88-AI103</f>
        <v/>
      </c>
      <c r="AJ126" s="680">
        <f>-AJ88-AJ103</f>
        <v/>
      </c>
      <c r="AK126" s="680">
        <f>-AK88-AK103</f>
        <v/>
      </c>
      <c r="AL126" s="680">
        <f>-AL88-AL103</f>
        <v/>
      </c>
      <c r="AM126" s="680">
        <f>-AM88-AM103</f>
        <v/>
      </c>
      <c r="AN126" s="680">
        <f>-AN88-AN103</f>
        <v/>
      </c>
      <c r="AO126" s="680">
        <f>-AO88-AO103</f>
        <v/>
      </c>
      <c r="AP126" s="680">
        <f>-AP88-AP103</f>
        <v/>
      </c>
      <c r="AQ126" s="680">
        <f>-AQ88-AQ103</f>
        <v/>
      </c>
      <c r="AR126" s="680">
        <f>-AR88-AR103</f>
        <v/>
      </c>
      <c r="AS126" s="680">
        <f>-AS88-AS103</f>
        <v/>
      </c>
      <c r="AT126" s="680">
        <f>-AT88-AT103</f>
        <v/>
      </c>
      <c r="AU126" s="680">
        <f>-AU88-AU103</f>
        <v/>
      </c>
      <c r="AV126" s="680">
        <f>-AV88-AV103</f>
        <v/>
      </c>
      <c r="AW126" s="680">
        <f>-AW88-AW103</f>
        <v/>
      </c>
      <c r="AX126" s="680">
        <f>-AX88-AX103</f>
        <v/>
      </c>
      <c r="AY126" s="680">
        <f>-AY88-AY103</f>
        <v/>
      </c>
      <c r="AZ126" s="680">
        <f>-AZ88-AZ103</f>
        <v/>
      </c>
      <c r="BA126" s="680">
        <f>-BA88-BA103</f>
        <v/>
      </c>
      <c r="BB126" s="680">
        <f>-BB88-BB103</f>
        <v/>
      </c>
      <c r="BC126" s="680">
        <f>-BC88-BC103</f>
        <v/>
      </c>
      <c r="BD126" s="680">
        <f>-BD88-BD103</f>
        <v/>
      </c>
      <c r="BE126" s="680">
        <f>-BE88-BE103</f>
        <v/>
      </c>
      <c r="BF126" s="680">
        <f>-BF88-BF103</f>
        <v/>
      </c>
      <c r="BG126" s="680">
        <f>-BG88-BG103</f>
        <v/>
      </c>
      <c r="BH126" s="680">
        <f>-BH88-BH103</f>
        <v/>
      </c>
      <c r="BI126" s="680">
        <f>-BI88-BI103</f>
        <v/>
      </c>
      <c r="BJ126" s="680">
        <f>-BJ88-BJ103</f>
        <v/>
      </c>
      <c r="BK126" s="680">
        <f>-BK88-BK103</f>
        <v/>
      </c>
      <c r="BL126" s="680">
        <f>-BL88-BL103</f>
        <v/>
      </c>
      <c r="BM126" s="680">
        <f>-BM88-BM103</f>
        <v/>
      </c>
      <c r="BN126" s="680">
        <f>-BN88-BN103</f>
        <v/>
      </c>
      <c r="BO126" s="680">
        <f>-BO88-BO103</f>
        <v/>
      </c>
      <c r="BP126" s="680">
        <f>-BP88-BP103</f>
        <v/>
      </c>
      <c r="BQ126" s="680">
        <f>-BQ88-BQ103</f>
        <v/>
      </c>
      <c r="BR126" s="680">
        <f>-BR88-BR103</f>
        <v/>
      </c>
      <c r="BS126" s="680">
        <f>-BS88-BS103</f>
        <v/>
      </c>
      <c r="BT126" s="680">
        <f>-BT88-BT103</f>
        <v/>
      </c>
      <c r="BU126" s="680">
        <f>-BU88-BU103</f>
        <v/>
      </c>
      <c r="BV126" s="680">
        <f>-BV88-BV103</f>
        <v/>
      </c>
      <c r="BW126" s="680">
        <f>-BW88-BW103</f>
        <v/>
      </c>
      <c r="BX126" s="680">
        <f>-BX88-BX103</f>
        <v/>
      </c>
      <c r="BY126" s="680">
        <f>-BY88-BY103</f>
        <v/>
      </c>
      <c r="BZ126" s="680">
        <f>-BZ88-BZ103</f>
        <v/>
      </c>
      <c r="CA126" s="680">
        <f>-CA88-CA103</f>
        <v/>
      </c>
      <c r="CB126" s="680">
        <f>-CB88-CB103</f>
        <v/>
      </c>
      <c r="CC126" s="680">
        <f>-CC88-CC103</f>
        <v/>
      </c>
      <c r="CD126" s="680">
        <f>-CD88-CD103</f>
        <v/>
      </c>
      <c r="CE126" s="680">
        <f>-CE88-CE103</f>
        <v/>
      </c>
      <c r="CF126" s="680">
        <f>-CF88-CF103</f>
        <v/>
      </c>
      <c r="CG126" s="680">
        <f>-CG88-CG103</f>
        <v/>
      </c>
      <c r="CH126" s="680">
        <f>-CH88-CH103</f>
        <v/>
      </c>
      <c r="CI126" s="680">
        <f>-CI88-CI103</f>
        <v/>
      </c>
      <c r="CJ126" s="680">
        <f>-CJ88-CJ103</f>
        <v/>
      </c>
      <c r="CK126" s="680">
        <f>-CK88-CK103</f>
        <v/>
      </c>
      <c r="CL126" s="680">
        <f>-CL88-CL103</f>
        <v/>
      </c>
      <c r="CM126" s="680">
        <f>-CM88-CM103</f>
        <v/>
      </c>
      <c r="CN126" s="680">
        <f>-CN88-CN103</f>
        <v/>
      </c>
      <c r="CO126" s="680">
        <f>-CO88-CO103</f>
        <v/>
      </c>
      <c r="CP126" s="680">
        <f>-CP88-CP103</f>
        <v/>
      </c>
      <c r="CQ126" s="680">
        <f>-CQ88-CQ103</f>
        <v/>
      </c>
      <c r="CR126" s="680">
        <f>-CR88-CR103</f>
        <v/>
      </c>
      <c r="CS126" s="680">
        <f>-CS88-CS103</f>
        <v/>
      </c>
      <c r="CT126" s="680">
        <f>-CT88-CT103</f>
        <v/>
      </c>
      <c r="CU126" s="680">
        <f>-CU88-CU103</f>
        <v/>
      </c>
      <c r="CV126" s="680">
        <f>-CV88-CV103</f>
        <v/>
      </c>
      <c r="CW126" s="680">
        <f>-CW88-CW103</f>
        <v/>
      </c>
      <c r="CX126" s="680">
        <f>-CX88-CX103</f>
        <v/>
      </c>
      <c r="CY126" s="680">
        <f>-CY88-CY103</f>
        <v/>
      </c>
      <c r="CZ126" s="680">
        <f>-CZ88-CZ103</f>
        <v/>
      </c>
      <c r="DA126" s="680">
        <f>-DA88-DA103</f>
        <v/>
      </c>
      <c r="DB126" s="680">
        <f>-DB88-DB103</f>
        <v/>
      </c>
      <c r="DC126" s="680">
        <f>-DC88-DC103</f>
        <v/>
      </c>
      <c r="DD126" s="680">
        <f>-DD88-DD103</f>
        <v/>
      </c>
      <c r="DE126" s="680">
        <f>-DE88-DE103</f>
        <v/>
      </c>
      <c r="DF126" s="680">
        <f>-DF88-DF103</f>
        <v/>
      </c>
      <c r="DG126" s="680">
        <f>-DG88-DG103</f>
        <v/>
      </c>
      <c r="DH126" s="680">
        <f>-DH88-DH103</f>
        <v/>
      </c>
      <c r="DI126" s="680">
        <f>-DI88-DI103</f>
        <v/>
      </c>
      <c r="DJ126" s="680">
        <f>-DJ88-DJ103</f>
        <v/>
      </c>
      <c r="DK126" s="680">
        <f>-DK88-DK103</f>
        <v/>
      </c>
      <c r="DL126" s="680">
        <f>-DL88-DL103</f>
        <v/>
      </c>
      <c r="DM126" s="680">
        <f>-DM88-DM103</f>
        <v/>
      </c>
      <c r="DN126" s="680">
        <f>-DN88-DN103</f>
        <v/>
      </c>
      <c r="DO126" s="680">
        <f>-DO88-DO103</f>
        <v/>
      </c>
      <c r="DP126" s="680">
        <f>-DP88-DP103</f>
        <v/>
      </c>
      <c r="DQ126" s="680">
        <f>-DQ88-DQ103</f>
        <v/>
      </c>
      <c r="DR126" s="680">
        <f>-DR88-DR103</f>
        <v/>
      </c>
      <c r="DS126" s="680">
        <f>-DS88-DS103</f>
        <v/>
      </c>
      <c r="DT126" s="680">
        <f>-DT88-DT103</f>
        <v/>
      </c>
      <c r="DU126" s="680">
        <f>-DU88-DU103</f>
        <v/>
      </c>
      <c r="DV126" s="680">
        <f>-DV88-DV103</f>
        <v/>
      </c>
      <c r="DW126" s="322" t="inlineStr">
        <is>
          <t>x</t>
        </is>
      </c>
    </row>
    <row r="127" hidden="1" outlineLevel="1">
      <c r="C127" s="374">
        <f>C106&amp; " Equity"</f>
        <v/>
      </c>
      <c r="D127" s="486">
        <f>1-D126</f>
        <v/>
      </c>
      <c r="E127" s="463">
        <f>SUM(F127:DV127)</f>
        <v/>
      </c>
      <c r="F127" s="468">
        <f>-F108-F123</f>
        <v/>
      </c>
      <c r="G127" s="468">
        <f>-G108-G123</f>
        <v/>
      </c>
      <c r="H127" s="468">
        <f>-H108-H123</f>
        <v/>
      </c>
      <c r="I127" s="468">
        <f>-I108-I123</f>
        <v/>
      </c>
      <c r="J127" s="468">
        <f>-J108-J123</f>
        <v/>
      </c>
      <c r="K127" s="468">
        <f>-K108-K123</f>
        <v/>
      </c>
      <c r="L127" s="468">
        <f>-L108-L123</f>
        <v/>
      </c>
      <c r="M127" s="468">
        <f>-M108-M123</f>
        <v/>
      </c>
      <c r="N127" s="468">
        <f>-N108-N123</f>
        <v/>
      </c>
      <c r="O127" s="468">
        <f>-O108-O123</f>
        <v/>
      </c>
      <c r="P127" s="468">
        <f>-P108-P123</f>
        <v/>
      </c>
      <c r="Q127" s="468">
        <f>-Q108-Q123</f>
        <v/>
      </c>
      <c r="R127" s="468">
        <f>-R108-R123</f>
        <v/>
      </c>
      <c r="S127" s="468">
        <f>-S108-S123</f>
        <v/>
      </c>
      <c r="T127" s="468">
        <f>-T108-T123</f>
        <v/>
      </c>
      <c r="U127" s="468">
        <f>-U108-U123</f>
        <v/>
      </c>
      <c r="V127" s="468">
        <f>-V108-V123</f>
        <v/>
      </c>
      <c r="W127" s="468">
        <f>-W108-W123</f>
        <v/>
      </c>
      <c r="X127" s="468">
        <f>-X108-X123</f>
        <v/>
      </c>
      <c r="Y127" s="468">
        <f>-Y108-Y123</f>
        <v/>
      </c>
      <c r="Z127" s="468">
        <f>-Z108-Z123</f>
        <v/>
      </c>
      <c r="AA127" s="468">
        <f>-AA108-AA123</f>
        <v/>
      </c>
      <c r="AB127" s="468">
        <f>-AB108-AB123</f>
        <v/>
      </c>
      <c r="AC127" s="468">
        <f>-AC108-AC123</f>
        <v/>
      </c>
      <c r="AD127" s="468">
        <f>-AD108-AD123</f>
        <v/>
      </c>
      <c r="AE127" s="468">
        <f>-AE108-AE123</f>
        <v/>
      </c>
      <c r="AF127" s="468">
        <f>-AF108-AF123</f>
        <v/>
      </c>
      <c r="AG127" s="468">
        <f>-AG108-AG123</f>
        <v/>
      </c>
      <c r="AH127" s="468">
        <f>-AH108-AH123</f>
        <v/>
      </c>
      <c r="AI127" s="468">
        <f>-AI108-AI123</f>
        <v/>
      </c>
      <c r="AJ127" s="468">
        <f>-AJ108-AJ123</f>
        <v/>
      </c>
      <c r="AK127" s="468">
        <f>-AK108-AK123</f>
        <v/>
      </c>
      <c r="AL127" s="468">
        <f>-AL108-AL123</f>
        <v/>
      </c>
      <c r="AM127" s="468">
        <f>-AM108-AM123</f>
        <v/>
      </c>
      <c r="AN127" s="468">
        <f>-AN108-AN123</f>
        <v/>
      </c>
      <c r="AO127" s="468">
        <f>-AO108-AO123</f>
        <v/>
      </c>
      <c r="AP127" s="468">
        <f>-AP108-AP123</f>
        <v/>
      </c>
      <c r="AQ127" s="468">
        <f>-AQ108-AQ123</f>
        <v/>
      </c>
      <c r="AR127" s="468">
        <f>-AR108-AR123</f>
        <v/>
      </c>
      <c r="AS127" s="468">
        <f>-AS108-AS123</f>
        <v/>
      </c>
      <c r="AT127" s="468">
        <f>-AT108-AT123</f>
        <v/>
      </c>
      <c r="AU127" s="468">
        <f>-AU108-AU123</f>
        <v/>
      </c>
      <c r="AV127" s="468">
        <f>-AV108-AV123</f>
        <v/>
      </c>
      <c r="AW127" s="468">
        <f>-AW108-AW123</f>
        <v/>
      </c>
      <c r="AX127" s="468">
        <f>-AX108-AX123</f>
        <v/>
      </c>
      <c r="AY127" s="468">
        <f>-AY108-AY123</f>
        <v/>
      </c>
      <c r="AZ127" s="468">
        <f>-AZ108-AZ123</f>
        <v/>
      </c>
      <c r="BA127" s="468">
        <f>-BA108-BA123</f>
        <v/>
      </c>
      <c r="BB127" s="468">
        <f>-BB108-BB123</f>
        <v/>
      </c>
      <c r="BC127" s="468">
        <f>-BC108-BC123</f>
        <v/>
      </c>
      <c r="BD127" s="468">
        <f>-BD108-BD123</f>
        <v/>
      </c>
      <c r="BE127" s="468">
        <f>-BE108-BE123</f>
        <v/>
      </c>
      <c r="BF127" s="468">
        <f>-BF108-BF123</f>
        <v/>
      </c>
      <c r="BG127" s="468">
        <f>-BG108-BG123</f>
        <v/>
      </c>
      <c r="BH127" s="468">
        <f>-BH108-BH123</f>
        <v/>
      </c>
      <c r="BI127" s="468">
        <f>-BI108-BI123</f>
        <v/>
      </c>
      <c r="BJ127" s="468">
        <f>-BJ108-BJ123</f>
        <v/>
      </c>
      <c r="BK127" s="468">
        <f>-BK108-BK123</f>
        <v/>
      </c>
      <c r="BL127" s="468">
        <f>-BL108-BL123</f>
        <v/>
      </c>
      <c r="BM127" s="468">
        <f>-BM108-BM123</f>
        <v/>
      </c>
      <c r="BN127" s="468">
        <f>-BN108-BN123</f>
        <v/>
      </c>
      <c r="BO127" s="468">
        <f>-BO108-BO123</f>
        <v/>
      </c>
      <c r="BP127" s="468">
        <f>-BP108-BP123</f>
        <v/>
      </c>
      <c r="BQ127" s="468">
        <f>-BQ108-BQ123</f>
        <v/>
      </c>
      <c r="BR127" s="468">
        <f>-BR108-BR123</f>
        <v/>
      </c>
      <c r="BS127" s="468">
        <f>-BS108-BS123</f>
        <v/>
      </c>
      <c r="BT127" s="468">
        <f>-BT108-BT123</f>
        <v/>
      </c>
      <c r="BU127" s="468">
        <f>-BU108-BU123</f>
        <v/>
      </c>
      <c r="BV127" s="468">
        <f>-BV108-BV123</f>
        <v/>
      </c>
      <c r="BW127" s="468">
        <f>-BW108-BW123</f>
        <v/>
      </c>
      <c r="BX127" s="468">
        <f>-BX108-BX123</f>
        <v/>
      </c>
      <c r="BY127" s="468">
        <f>-BY108-BY123</f>
        <v/>
      </c>
      <c r="BZ127" s="468">
        <f>-BZ108-BZ123</f>
        <v/>
      </c>
      <c r="CA127" s="468">
        <f>-CA108-CA123</f>
        <v/>
      </c>
      <c r="CB127" s="468">
        <f>-CB108-CB123</f>
        <v/>
      </c>
      <c r="CC127" s="468">
        <f>-CC108-CC123</f>
        <v/>
      </c>
      <c r="CD127" s="468">
        <f>-CD108-CD123</f>
        <v/>
      </c>
      <c r="CE127" s="468">
        <f>-CE108-CE123</f>
        <v/>
      </c>
      <c r="CF127" s="468">
        <f>-CF108-CF123</f>
        <v/>
      </c>
      <c r="CG127" s="468">
        <f>-CG108-CG123</f>
        <v/>
      </c>
      <c r="CH127" s="468">
        <f>-CH108-CH123</f>
        <v/>
      </c>
      <c r="CI127" s="468">
        <f>-CI108-CI123</f>
        <v/>
      </c>
      <c r="CJ127" s="468">
        <f>-CJ108-CJ123</f>
        <v/>
      </c>
      <c r="CK127" s="468">
        <f>-CK108-CK123</f>
        <v/>
      </c>
      <c r="CL127" s="468">
        <f>-CL108-CL123</f>
        <v/>
      </c>
      <c r="CM127" s="468">
        <f>-CM108-CM123</f>
        <v/>
      </c>
      <c r="CN127" s="468">
        <f>-CN108-CN123</f>
        <v/>
      </c>
      <c r="CO127" s="468">
        <f>-CO108-CO123</f>
        <v/>
      </c>
      <c r="CP127" s="468">
        <f>-CP108-CP123</f>
        <v/>
      </c>
      <c r="CQ127" s="468">
        <f>-CQ108-CQ123</f>
        <v/>
      </c>
      <c r="CR127" s="468">
        <f>-CR108-CR123</f>
        <v/>
      </c>
      <c r="CS127" s="468">
        <f>-CS108-CS123</f>
        <v/>
      </c>
      <c r="CT127" s="468">
        <f>-CT108-CT123</f>
        <v/>
      </c>
      <c r="CU127" s="468">
        <f>-CU108-CU123</f>
        <v/>
      </c>
      <c r="CV127" s="468">
        <f>-CV108-CV123</f>
        <v/>
      </c>
      <c r="CW127" s="468">
        <f>-CW108-CW123</f>
        <v/>
      </c>
      <c r="CX127" s="468">
        <f>-CX108-CX123</f>
        <v/>
      </c>
      <c r="CY127" s="468">
        <f>-CY108-CY123</f>
        <v/>
      </c>
      <c r="CZ127" s="468">
        <f>-CZ108-CZ123</f>
        <v/>
      </c>
      <c r="DA127" s="468">
        <f>-DA108-DA123</f>
        <v/>
      </c>
      <c r="DB127" s="468">
        <f>-DB108-DB123</f>
        <v/>
      </c>
      <c r="DC127" s="468">
        <f>-DC108-DC123</f>
        <v/>
      </c>
      <c r="DD127" s="468">
        <f>-DD108-DD123</f>
        <v/>
      </c>
      <c r="DE127" s="468">
        <f>-DE108-DE123</f>
        <v/>
      </c>
      <c r="DF127" s="468">
        <f>-DF108-DF123</f>
        <v/>
      </c>
      <c r="DG127" s="468">
        <f>-DG108-DG123</f>
        <v/>
      </c>
      <c r="DH127" s="468">
        <f>-DH108-DH123</f>
        <v/>
      </c>
      <c r="DI127" s="468">
        <f>-DI108-DI123</f>
        <v/>
      </c>
      <c r="DJ127" s="468">
        <f>-DJ108-DJ123</f>
        <v/>
      </c>
      <c r="DK127" s="468">
        <f>-DK108-DK123</f>
        <v/>
      </c>
      <c r="DL127" s="468">
        <f>-DL108-DL123</f>
        <v/>
      </c>
      <c r="DM127" s="468">
        <f>-DM108-DM123</f>
        <v/>
      </c>
      <c r="DN127" s="468">
        <f>-DN108-DN123</f>
        <v/>
      </c>
      <c r="DO127" s="468">
        <f>-DO108-DO123</f>
        <v/>
      </c>
      <c r="DP127" s="468">
        <f>-DP108-DP123</f>
        <v/>
      </c>
      <c r="DQ127" s="468">
        <f>-DQ108-DQ123</f>
        <v/>
      </c>
      <c r="DR127" s="468">
        <f>-DR108-DR123</f>
        <v/>
      </c>
      <c r="DS127" s="468">
        <f>-DS108-DS123</f>
        <v/>
      </c>
      <c r="DT127" s="468">
        <f>-DT108-DT123</f>
        <v/>
      </c>
      <c r="DU127" s="468">
        <f>-DU108-DU123</f>
        <v/>
      </c>
      <c r="DV127" s="468">
        <f>-DV108-DV123</f>
        <v/>
      </c>
      <c r="DW127" s="322" t="inlineStr">
        <is>
          <t>x</t>
        </is>
      </c>
    </row>
    <row r="128" hidden="1" outlineLevel="1" ht="17.25" customHeight="1" thickBot="1">
      <c r="C128" s="365" t="inlineStr">
        <is>
          <t>Total Splits</t>
        </is>
      </c>
      <c r="D128" s="486" t="n"/>
      <c r="E128" s="657">
        <f>SUM(E126:E127)</f>
        <v/>
      </c>
      <c r="F128" s="658" t="n"/>
      <c r="G128" s="658">
        <f>SUM(G126:G127)</f>
        <v/>
      </c>
      <c r="H128" s="658">
        <f>SUM(H126:H127)</f>
        <v/>
      </c>
      <c r="I128" s="658">
        <f>SUM(I126:I127)</f>
        <v/>
      </c>
      <c r="J128" s="658">
        <f>SUM(J126:J127)</f>
        <v/>
      </c>
      <c r="K128" s="658">
        <f>SUM(K126:K127)</f>
        <v/>
      </c>
      <c r="L128" s="658">
        <f>SUM(L126:L127)</f>
        <v/>
      </c>
      <c r="M128" s="658">
        <f>SUM(M126:M127)</f>
        <v/>
      </c>
      <c r="N128" s="658">
        <f>SUM(N126:N127)</f>
        <v/>
      </c>
      <c r="O128" s="658">
        <f>SUM(O126:O127)</f>
        <v/>
      </c>
      <c r="P128" s="658">
        <f>SUM(P126:P127)</f>
        <v/>
      </c>
      <c r="Q128" s="658">
        <f>SUM(Q126:Q127)</f>
        <v/>
      </c>
      <c r="R128" s="658">
        <f>SUM(R126:R127)</f>
        <v/>
      </c>
      <c r="S128" s="658">
        <f>SUM(S126:S127)</f>
        <v/>
      </c>
      <c r="T128" s="658">
        <f>SUM(T126:T127)</f>
        <v/>
      </c>
      <c r="U128" s="658">
        <f>SUM(U126:U127)</f>
        <v/>
      </c>
      <c r="V128" s="658">
        <f>SUM(V126:V127)</f>
        <v/>
      </c>
      <c r="W128" s="658">
        <f>SUM(W126:W127)</f>
        <v/>
      </c>
      <c r="X128" s="658">
        <f>SUM(X126:X127)</f>
        <v/>
      </c>
      <c r="Y128" s="658">
        <f>SUM(Y126:Y127)</f>
        <v/>
      </c>
      <c r="Z128" s="658">
        <f>SUM(Z126:Z127)</f>
        <v/>
      </c>
      <c r="AA128" s="658">
        <f>SUM(AA126:AA127)</f>
        <v/>
      </c>
      <c r="AB128" s="658">
        <f>SUM(AB126:AB127)</f>
        <v/>
      </c>
      <c r="AC128" s="658">
        <f>SUM(AC126:AC127)</f>
        <v/>
      </c>
      <c r="AD128" s="658">
        <f>SUM(AD126:AD127)</f>
        <v/>
      </c>
      <c r="AE128" s="658">
        <f>SUM(AE126:AE127)</f>
        <v/>
      </c>
      <c r="AF128" s="658">
        <f>SUM(AF126:AF127)</f>
        <v/>
      </c>
      <c r="AG128" s="658">
        <f>SUM(AG126:AG127)</f>
        <v/>
      </c>
      <c r="AH128" s="658">
        <f>SUM(AH126:AH127)</f>
        <v/>
      </c>
      <c r="AI128" s="658">
        <f>SUM(AI126:AI127)</f>
        <v/>
      </c>
      <c r="AJ128" s="658">
        <f>SUM(AJ126:AJ127)</f>
        <v/>
      </c>
      <c r="AK128" s="658">
        <f>SUM(AK126:AK127)</f>
        <v/>
      </c>
      <c r="AL128" s="658">
        <f>SUM(AL126:AL127)</f>
        <v/>
      </c>
      <c r="AM128" s="658">
        <f>SUM(AM126:AM127)</f>
        <v/>
      </c>
      <c r="AN128" s="658">
        <f>SUM(AN126:AN127)</f>
        <v/>
      </c>
      <c r="AO128" s="658">
        <f>SUM(AO126:AO127)</f>
        <v/>
      </c>
      <c r="AP128" s="658">
        <f>SUM(AP126:AP127)</f>
        <v/>
      </c>
      <c r="AQ128" s="658">
        <f>SUM(AQ126:AQ127)</f>
        <v/>
      </c>
      <c r="AR128" s="658">
        <f>SUM(AR126:AR127)</f>
        <v/>
      </c>
      <c r="AS128" s="658">
        <f>SUM(AS126:AS127)</f>
        <v/>
      </c>
      <c r="AT128" s="658">
        <f>SUM(AT126:AT127)</f>
        <v/>
      </c>
      <c r="AU128" s="658">
        <f>SUM(AU126:AU127)</f>
        <v/>
      </c>
      <c r="AV128" s="658">
        <f>SUM(AV126:AV127)</f>
        <v/>
      </c>
      <c r="AW128" s="658">
        <f>SUM(AW126:AW127)</f>
        <v/>
      </c>
      <c r="AX128" s="658">
        <f>SUM(AX126:AX127)</f>
        <v/>
      </c>
      <c r="AY128" s="658">
        <f>SUM(AY126:AY127)</f>
        <v/>
      </c>
      <c r="AZ128" s="658">
        <f>SUM(AZ126:AZ127)</f>
        <v/>
      </c>
      <c r="BA128" s="658">
        <f>SUM(BA126:BA127)</f>
        <v/>
      </c>
      <c r="BB128" s="658">
        <f>SUM(BB126:BB127)</f>
        <v/>
      </c>
      <c r="BC128" s="658">
        <f>SUM(BC126:BC127)</f>
        <v/>
      </c>
      <c r="BD128" s="658">
        <f>SUM(BD126:BD127)</f>
        <v/>
      </c>
      <c r="BE128" s="658">
        <f>SUM(BE126:BE127)</f>
        <v/>
      </c>
      <c r="BF128" s="658">
        <f>SUM(BF126:BF127)</f>
        <v/>
      </c>
      <c r="BG128" s="658">
        <f>SUM(BG126:BG127)</f>
        <v/>
      </c>
      <c r="BH128" s="658">
        <f>SUM(BH126:BH127)</f>
        <v/>
      </c>
      <c r="BI128" s="658">
        <f>SUM(BI126:BI127)</f>
        <v/>
      </c>
      <c r="BJ128" s="658">
        <f>SUM(BJ126:BJ127)</f>
        <v/>
      </c>
      <c r="BK128" s="658">
        <f>SUM(BK126:BK127)</f>
        <v/>
      </c>
      <c r="BL128" s="658">
        <f>SUM(BL126:BL127)</f>
        <v/>
      </c>
      <c r="BM128" s="658">
        <f>SUM(BM126:BM127)</f>
        <v/>
      </c>
      <c r="BN128" s="658">
        <f>SUM(BN126:BN127)</f>
        <v/>
      </c>
      <c r="BO128" s="658">
        <f>SUM(BO126:BO127)</f>
        <v/>
      </c>
      <c r="BP128" s="658">
        <f>SUM(BP126:BP127)</f>
        <v/>
      </c>
      <c r="BQ128" s="658">
        <f>SUM(BQ126:BQ127)</f>
        <v/>
      </c>
      <c r="BR128" s="658">
        <f>SUM(BR126:BR127)</f>
        <v/>
      </c>
      <c r="BS128" s="658">
        <f>SUM(BS126:BS127)</f>
        <v/>
      </c>
      <c r="BT128" s="658">
        <f>SUM(BT126:BT127)</f>
        <v/>
      </c>
      <c r="BU128" s="658">
        <f>SUM(BU126:BU127)</f>
        <v/>
      </c>
      <c r="BV128" s="658">
        <f>SUM(BV126:BV127)</f>
        <v/>
      </c>
      <c r="BW128" s="658">
        <f>SUM(BW126:BW127)</f>
        <v/>
      </c>
      <c r="BX128" s="658">
        <f>SUM(BX126:BX127)</f>
        <v/>
      </c>
      <c r="BY128" s="658">
        <f>SUM(BY126:BY127)</f>
        <v/>
      </c>
      <c r="BZ128" s="658">
        <f>SUM(BZ126:BZ127)</f>
        <v/>
      </c>
      <c r="CA128" s="658">
        <f>SUM(CA126:CA127)</f>
        <v/>
      </c>
      <c r="CB128" s="658">
        <f>SUM(CB126:CB127)</f>
        <v/>
      </c>
      <c r="CC128" s="658">
        <f>SUM(CC126:CC127)</f>
        <v/>
      </c>
      <c r="CD128" s="658">
        <f>SUM(CD126:CD127)</f>
        <v/>
      </c>
      <c r="CE128" s="658">
        <f>SUM(CE126:CE127)</f>
        <v/>
      </c>
      <c r="CF128" s="658">
        <f>SUM(CF126:CF127)</f>
        <v/>
      </c>
      <c r="CG128" s="658">
        <f>SUM(CG126:CG127)</f>
        <v/>
      </c>
      <c r="CH128" s="658">
        <f>SUM(CH126:CH127)</f>
        <v/>
      </c>
      <c r="CI128" s="658">
        <f>SUM(CI126:CI127)</f>
        <v/>
      </c>
      <c r="CJ128" s="658">
        <f>SUM(CJ126:CJ127)</f>
        <v/>
      </c>
      <c r="CK128" s="658">
        <f>SUM(CK126:CK127)</f>
        <v/>
      </c>
      <c r="CL128" s="658">
        <f>SUM(CL126:CL127)</f>
        <v/>
      </c>
      <c r="CM128" s="658">
        <f>SUM(CM126:CM127)</f>
        <v/>
      </c>
      <c r="CN128" s="658">
        <f>SUM(CN126:CN127)</f>
        <v/>
      </c>
      <c r="CO128" s="658">
        <f>SUM(CO126:CO127)</f>
        <v/>
      </c>
      <c r="CP128" s="658">
        <f>SUM(CP126:CP127)</f>
        <v/>
      </c>
      <c r="CQ128" s="658">
        <f>SUM(CQ126:CQ127)</f>
        <v/>
      </c>
      <c r="CR128" s="658">
        <f>SUM(CR126:CR127)</f>
        <v/>
      </c>
      <c r="CS128" s="658">
        <f>SUM(CS126:CS127)</f>
        <v/>
      </c>
      <c r="CT128" s="658">
        <f>SUM(CT126:CT127)</f>
        <v/>
      </c>
      <c r="CU128" s="658">
        <f>SUM(CU126:CU127)</f>
        <v/>
      </c>
      <c r="CV128" s="658">
        <f>SUM(CV126:CV127)</f>
        <v/>
      </c>
      <c r="CW128" s="658">
        <f>SUM(CW126:CW127)</f>
        <v/>
      </c>
      <c r="CX128" s="658">
        <f>SUM(CX126:CX127)</f>
        <v/>
      </c>
      <c r="CY128" s="658">
        <f>SUM(CY126:CY127)</f>
        <v/>
      </c>
      <c r="CZ128" s="658">
        <f>SUM(CZ126:CZ127)</f>
        <v/>
      </c>
      <c r="DA128" s="658">
        <f>SUM(DA126:DA127)</f>
        <v/>
      </c>
      <c r="DB128" s="658">
        <f>SUM(DB126:DB127)</f>
        <v/>
      </c>
      <c r="DC128" s="658">
        <f>SUM(DC126:DC127)</f>
        <v/>
      </c>
      <c r="DD128" s="658">
        <f>SUM(DD126:DD127)</f>
        <v/>
      </c>
      <c r="DE128" s="658">
        <f>SUM(DE126:DE127)</f>
        <v/>
      </c>
      <c r="DF128" s="658">
        <f>SUM(DF126:DF127)</f>
        <v/>
      </c>
      <c r="DG128" s="658">
        <f>SUM(DG126:DG127)</f>
        <v/>
      </c>
      <c r="DH128" s="658">
        <f>SUM(DH126:DH127)</f>
        <v/>
      </c>
      <c r="DI128" s="658">
        <f>SUM(DI126:DI127)</f>
        <v/>
      </c>
      <c r="DJ128" s="658">
        <f>SUM(DJ126:DJ127)</f>
        <v/>
      </c>
      <c r="DK128" s="658">
        <f>SUM(DK126:DK127)</f>
        <v/>
      </c>
      <c r="DL128" s="658">
        <f>SUM(DL126:DL127)</f>
        <v/>
      </c>
      <c r="DM128" s="658">
        <f>SUM(DM126:DM127)</f>
        <v/>
      </c>
      <c r="DN128" s="658">
        <f>SUM(DN126:DN127)</f>
        <v/>
      </c>
      <c r="DO128" s="658">
        <f>SUM(DO126:DO127)</f>
        <v/>
      </c>
      <c r="DP128" s="658">
        <f>SUM(DP126:DP127)</f>
        <v/>
      </c>
      <c r="DQ128" s="658">
        <f>SUM(DQ126:DQ127)</f>
        <v/>
      </c>
      <c r="DR128" s="658">
        <f>SUM(DR126:DR127)</f>
        <v/>
      </c>
      <c r="DS128" s="658">
        <f>SUM(DS126:DS127)</f>
        <v/>
      </c>
      <c r="DT128" s="658">
        <f>SUM(DT126:DT127)</f>
        <v/>
      </c>
      <c r="DU128" s="658">
        <f>SUM(DU126:DU127)</f>
        <v/>
      </c>
      <c r="DV128" s="658">
        <f>SUM(DV126:DV127)</f>
        <v/>
      </c>
      <c r="DW128" s="322" t="inlineStr">
        <is>
          <t>x</t>
        </is>
      </c>
    </row>
    <row r="129" hidden="1" outlineLevel="1" ht="17.25" customHeight="1" thickTop="1">
      <c r="C129" s="374" t="n"/>
      <c r="D129" s="486" t="n"/>
      <c r="E129" s="463" t="n"/>
      <c r="F129" s="374" t="n"/>
      <c r="G129" s="374" t="n"/>
      <c r="H129" s="463" t="n"/>
      <c r="I129" s="463" t="n"/>
      <c r="J129" s="463" t="n"/>
      <c r="K129" s="463" t="n"/>
      <c r="L129" s="463" t="n"/>
      <c r="M129" s="463" t="n"/>
      <c r="N129" s="463" t="n"/>
      <c r="O129" s="463" t="n"/>
      <c r="P129" s="463" t="n"/>
      <c r="Q129" s="463" t="n"/>
      <c r="R129" s="463" t="n"/>
      <c r="S129" s="463" t="n"/>
      <c r="T129" s="463" t="n"/>
      <c r="U129" s="463" t="n"/>
      <c r="V129" s="463" t="n"/>
      <c r="W129" s="463" t="n"/>
      <c r="X129" s="463" t="n"/>
      <c r="Y129" s="463" t="n"/>
      <c r="Z129" s="463" t="n"/>
      <c r="AA129" s="463" t="n"/>
      <c r="AB129" s="463" t="n"/>
      <c r="AC129" s="463" t="n"/>
      <c r="AD129" s="463" t="n"/>
      <c r="AE129" s="463" t="n"/>
      <c r="AF129" s="463" t="n"/>
      <c r="AG129" s="463" t="n"/>
      <c r="AH129" s="463" t="n"/>
      <c r="AI129" s="463" t="n"/>
      <c r="AJ129" s="463" t="n"/>
      <c r="AK129" s="463" t="n"/>
      <c r="AL129" s="463" t="n"/>
      <c r="AM129" s="463" t="n"/>
      <c r="AN129" s="463" t="n"/>
      <c r="AO129" s="463" t="n"/>
      <c r="AP129" s="463" t="n"/>
      <c r="AQ129" s="463" t="n"/>
      <c r="AR129" s="463" t="n"/>
      <c r="AS129" s="463" t="n"/>
      <c r="AT129" s="463" t="n"/>
      <c r="AU129" s="463" t="n"/>
      <c r="AV129" s="463" t="n"/>
      <c r="AW129" s="463" t="n"/>
      <c r="AX129" s="463" t="n"/>
      <c r="AY129" s="463" t="n"/>
      <c r="AZ129" s="463" t="n"/>
      <c r="BA129" s="463" t="n"/>
      <c r="BB129" s="463" t="n"/>
      <c r="BC129" s="463" t="n"/>
      <c r="BD129" s="463" t="n"/>
      <c r="BE129" s="463" t="n"/>
      <c r="BF129" s="463" t="n"/>
      <c r="BG129" s="463" t="n"/>
      <c r="BH129" s="463" t="n"/>
      <c r="BI129" s="463" t="n"/>
      <c r="BJ129" s="463" t="n"/>
      <c r="BK129" s="463" t="n"/>
      <c r="BL129" s="463" t="n"/>
      <c r="BM129" s="463" t="n"/>
      <c r="BN129" s="463" t="n"/>
      <c r="BO129" s="463" t="n"/>
      <c r="BP129" s="463" t="n"/>
      <c r="BQ129" s="463" t="n"/>
      <c r="BR129" s="463" t="n"/>
      <c r="BS129" s="463" t="n"/>
      <c r="BT129" s="463" t="n"/>
      <c r="BU129" s="463" t="n"/>
      <c r="BV129" s="463" t="n"/>
      <c r="BW129" s="463" t="n"/>
      <c r="BX129" s="463" t="n"/>
      <c r="BY129" s="463" t="n"/>
      <c r="BZ129" s="463" t="n"/>
      <c r="CA129" s="463" t="n"/>
      <c r="CB129" s="463" t="n"/>
      <c r="CC129" s="463" t="n"/>
      <c r="CD129" s="463" t="n"/>
      <c r="CE129" s="463" t="n"/>
      <c r="CF129" s="463" t="n"/>
      <c r="CG129" s="463" t="n"/>
      <c r="CH129" s="463" t="n"/>
      <c r="CI129" s="463" t="n"/>
      <c r="CJ129" s="463" t="n"/>
      <c r="CK129" s="463" t="n"/>
      <c r="CL129" s="463" t="n"/>
      <c r="CM129" s="463" t="n"/>
      <c r="CN129" s="463" t="n"/>
      <c r="CO129" s="463" t="n"/>
      <c r="CP129" s="463" t="n"/>
      <c r="CQ129" s="463" t="n"/>
      <c r="CR129" s="463" t="n"/>
      <c r="CS129" s="463" t="n"/>
      <c r="CT129" s="463" t="n"/>
      <c r="CU129" s="463" t="n"/>
      <c r="CV129" s="463" t="n"/>
      <c r="CW129" s="463" t="n"/>
      <c r="CX129" s="463" t="n"/>
      <c r="CY129" s="463" t="n"/>
      <c r="CZ129" s="463" t="n"/>
      <c r="DA129" s="463" t="n"/>
      <c r="DB129" s="463" t="n"/>
      <c r="DC129" s="463" t="n"/>
      <c r="DD129" s="463" t="n"/>
      <c r="DE129" s="463" t="n"/>
      <c r="DF129" s="463" t="n"/>
      <c r="DG129" s="463" t="n"/>
      <c r="DH129" s="463" t="n"/>
      <c r="DI129" s="463" t="n"/>
      <c r="DJ129" s="463" t="n"/>
      <c r="DK129" s="463" t="n"/>
      <c r="DL129" s="463" t="n"/>
      <c r="DM129" s="463" t="n"/>
      <c r="DN129" s="463" t="n"/>
      <c r="DO129" s="463" t="n"/>
      <c r="DP129" s="463" t="n"/>
      <c r="DQ129" s="463" t="n"/>
      <c r="DR129" s="463" t="n"/>
      <c r="DS129" s="463" t="n"/>
      <c r="DT129" s="463" t="n"/>
      <c r="DU129" s="463" t="n"/>
      <c r="DV129" s="463" t="n"/>
      <c r="DW129" s="322" t="inlineStr">
        <is>
          <t>x</t>
        </is>
      </c>
    </row>
    <row r="130" hidden="1" outlineLevel="1" ht="17.25" customHeight="1" thickBot="1">
      <c r="C130" s="365" t="inlineStr">
        <is>
          <t>Remaining Cash to Distribute</t>
        </is>
      </c>
      <c r="D130" s="487" t="n"/>
      <c r="E130" s="684">
        <f>SUM(G130:DV130)</f>
        <v/>
      </c>
      <c r="F130" s="685" t="n"/>
      <c r="G130" s="685">
        <f>IF(G128&lt;0,0,G81-G128)</f>
        <v/>
      </c>
      <c r="H130" s="685">
        <f>IF(H128&lt;0,0,H81-H128)</f>
        <v/>
      </c>
      <c r="I130" s="685">
        <f>IF(I128&lt;0,0,I81-I128)</f>
        <v/>
      </c>
      <c r="J130" s="685">
        <f>IF(J128&lt;0,0,J81-J128)</f>
        <v/>
      </c>
      <c r="K130" s="685">
        <f>IF(K128&lt;0,0,K81-K128)</f>
        <v/>
      </c>
      <c r="L130" s="685">
        <f>IF(L128&lt;0,0,L81-L128)</f>
        <v/>
      </c>
      <c r="M130" s="685">
        <f>IF(M128&lt;0,0,M81-M128)</f>
        <v/>
      </c>
      <c r="N130" s="685">
        <f>IF(N128&lt;0,0,N81-N128)</f>
        <v/>
      </c>
      <c r="O130" s="685">
        <f>IF(O128&lt;0,0,O81-O128)</f>
        <v/>
      </c>
      <c r="P130" s="685">
        <f>IF(P128&lt;0,0,P81-P128)</f>
        <v/>
      </c>
      <c r="Q130" s="685">
        <f>IF(Q128&lt;0,0,Q81-Q128)</f>
        <v/>
      </c>
      <c r="R130" s="685">
        <f>IF(R128&lt;0,0,R81-R128)</f>
        <v/>
      </c>
      <c r="S130" s="685">
        <f>IF(S128&lt;0,0,S81-S128)</f>
        <v/>
      </c>
      <c r="T130" s="685">
        <f>IF(T128&lt;0,0,T81-T128)</f>
        <v/>
      </c>
      <c r="U130" s="685">
        <f>IF(U128&lt;0,0,U81-U128)</f>
        <v/>
      </c>
      <c r="V130" s="685">
        <f>IF(V128&lt;0,0,V81-V128)</f>
        <v/>
      </c>
      <c r="W130" s="685">
        <f>IF(W128&lt;0,0,W81-W128)</f>
        <v/>
      </c>
      <c r="X130" s="685">
        <f>IF(X128&lt;0,0,X81-X128)</f>
        <v/>
      </c>
      <c r="Y130" s="685">
        <f>IF(Y128&lt;0,0,Y81-Y128)</f>
        <v/>
      </c>
      <c r="Z130" s="685">
        <f>IF(Z128&lt;0,0,Z81-Z128)</f>
        <v/>
      </c>
      <c r="AA130" s="685">
        <f>IF(AA128&lt;0,0,AA81-AA128)</f>
        <v/>
      </c>
      <c r="AB130" s="685">
        <f>IF(AB128&lt;0,0,AB81-AB128)</f>
        <v/>
      </c>
      <c r="AC130" s="685">
        <f>IF(AC128&lt;0,0,AC81-AC128)</f>
        <v/>
      </c>
      <c r="AD130" s="685">
        <f>IF(AD128&lt;0,0,AD81-AD128)</f>
        <v/>
      </c>
      <c r="AE130" s="685">
        <f>IF(AE128&lt;0,0,AE81-AE128)</f>
        <v/>
      </c>
      <c r="AF130" s="685">
        <f>IF(AF128&lt;0,0,AF81-AF128)</f>
        <v/>
      </c>
      <c r="AG130" s="685">
        <f>IF(AG128&lt;0,0,AG81-AG128)</f>
        <v/>
      </c>
      <c r="AH130" s="685">
        <f>IF(AH128&lt;0,0,AH81-AH128)</f>
        <v/>
      </c>
      <c r="AI130" s="685">
        <f>IF(AI128&lt;0,0,AI81-AI128)</f>
        <v/>
      </c>
      <c r="AJ130" s="685">
        <f>IF(AJ128&lt;0,0,AJ81-AJ128)</f>
        <v/>
      </c>
      <c r="AK130" s="685">
        <f>IF(AK128&lt;0,0,AK81-AK128)</f>
        <v/>
      </c>
      <c r="AL130" s="685">
        <f>IF(AL128&lt;0,0,AL81-AL128)</f>
        <v/>
      </c>
      <c r="AM130" s="685">
        <f>IF(AM128&lt;0,0,AM81-AM128)</f>
        <v/>
      </c>
      <c r="AN130" s="685">
        <f>IF(AN128&lt;0,0,AN81-AN128)</f>
        <v/>
      </c>
      <c r="AO130" s="685">
        <f>IF(AO128&lt;0,0,AO81-AO128)</f>
        <v/>
      </c>
      <c r="AP130" s="685">
        <f>IF(AP128&lt;0,0,AP81-AP128)</f>
        <v/>
      </c>
      <c r="AQ130" s="685">
        <f>IF(AQ128&lt;0,0,AQ81-AQ128)</f>
        <v/>
      </c>
      <c r="AR130" s="685">
        <f>IF(AR128&lt;0,0,AR81-AR128)</f>
        <v/>
      </c>
      <c r="AS130" s="685">
        <f>IF(AS128&lt;0,0,AS81-AS128)</f>
        <v/>
      </c>
      <c r="AT130" s="685">
        <f>IF(AT128&lt;0,0,AT81-AT128)</f>
        <v/>
      </c>
      <c r="AU130" s="685">
        <f>IF(AU128&lt;0,0,AU81-AU128)</f>
        <v/>
      </c>
      <c r="AV130" s="685">
        <f>IF(AV128&lt;0,0,AV81-AV128)</f>
        <v/>
      </c>
      <c r="AW130" s="685">
        <f>IF(AW128&lt;0,0,AW81-AW128)</f>
        <v/>
      </c>
      <c r="AX130" s="685">
        <f>IF(AX128&lt;0,0,AX81-AX128)</f>
        <v/>
      </c>
      <c r="AY130" s="685">
        <f>IF(AY128&lt;0,0,AY81-AY128)</f>
        <v/>
      </c>
      <c r="AZ130" s="685">
        <f>IF(AZ128&lt;0,0,AZ81-AZ128)</f>
        <v/>
      </c>
      <c r="BA130" s="685">
        <f>IF(BA128&lt;0,0,BA81-BA128)</f>
        <v/>
      </c>
      <c r="BB130" s="685">
        <f>IF(BB128&lt;0,0,BB81-BB128)</f>
        <v/>
      </c>
      <c r="BC130" s="685">
        <f>IF(BC128&lt;0,0,BC81-BC128)</f>
        <v/>
      </c>
      <c r="BD130" s="685">
        <f>IF(BD128&lt;0,0,BD81-BD128)</f>
        <v/>
      </c>
      <c r="BE130" s="685">
        <f>IF(BE128&lt;0,0,BE81-BE128)</f>
        <v/>
      </c>
      <c r="BF130" s="685">
        <f>IF(BF128&lt;0,0,BF81-BF128)</f>
        <v/>
      </c>
      <c r="BG130" s="685">
        <f>IF(BG128&lt;0,0,BG81-BG128)</f>
        <v/>
      </c>
      <c r="BH130" s="685">
        <f>IF(BH128&lt;0,0,BH81-BH128)</f>
        <v/>
      </c>
      <c r="BI130" s="685">
        <f>IF(BI128&lt;0,0,BI81-BI128)</f>
        <v/>
      </c>
      <c r="BJ130" s="685">
        <f>IF(BJ128&lt;0,0,BJ81-BJ128)</f>
        <v/>
      </c>
      <c r="BK130" s="685">
        <f>IF(BK128&lt;0,0,BK81-BK128)</f>
        <v/>
      </c>
      <c r="BL130" s="685">
        <f>IF(BL128&lt;0,0,BL81-BL128)</f>
        <v/>
      </c>
      <c r="BM130" s="685">
        <f>IF(BM128&lt;0,0,BM81-BM128)</f>
        <v/>
      </c>
      <c r="BN130" s="685">
        <f>IF(BN128&lt;0,0,BN81-BN128)</f>
        <v/>
      </c>
      <c r="BO130" s="685">
        <f>IF(BO128&lt;0,0,BO81-BO128)</f>
        <v/>
      </c>
      <c r="BP130" s="685">
        <f>IF(BP128&lt;0,0,BP81-BP128)</f>
        <v/>
      </c>
      <c r="BQ130" s="685">
        <f>IF(BQ128&lt;0,0,BQ81-BQ128)</f>
        <v/>
      </c>
      <c r="BR130" s="685">
        <f>IF(BR128&lt;0,0,BR81-BR128)</f>
        <v/>
      </c>
      <c r="BS130" s="685">
        <f>IF(BS128&lt;0,0,BS81-BS128)</f>
        <v/>
      </c>
      <c r="BT130" s="685">
        <f>IF(BT128&lt;0,0,BT81-BT128)</f>
        <v/>
      </c>
      <c r="BU130" s="685">
        <f>IF(BU128&lt;0,0,BU81-BU128)</f>
        <v/>
      </c>
      <c r="BV130" s="685">
        <f>IF(BV128&lt;0,0,BV81-BV128)</f>
        <v/>
      </c>
      <c r="BW130" s="685">
        <f>IF(BW128&lt;0,0,BW81-BW128)</f>
        <v/>
      </c>
      <c r="BX130" s="685">
        <f>IF(BX128&lt;0,0,BX81-BX128)</f>
        <v/>
      </c>
      <c r="BY130" s="685">
        <f>IF(BY128&lt;0,0,BY81-BY128)</f>
        <v/>
      </c>
      <c r="BZ130" s="685">
        <f>IF(BZ128&lt;0,0,BZ81-BZ128)</f>
        <v/>
      </c>
      <c r="CA130" s="685">
        <f>IF(CA128&lt;0,0,CA81-CA128)</f>
        <v/>
      </c>
      <c r="CB130" s="685">
        <f>IF(CB128&lt;0,0,CB81-CB128)</f>
        <v/>
      </c>
      <c r="CC130" s="685">
        <f>IF(CC128&lt;0,0,CC81-CC128)</f>
        <v/>
      </c>
      <c r="CD130" s="685">
        <f>IF(CD128&lt;0,0,CD81-CD128)</f>
        <v/>
      </c>
      <c r="CE130" s="685">
        <f>IF(CE128&lt;0,0,CE81-CE128)</f>
        <v/>
      </c>
      <c r="CF130" s="685">
        <f>IF(CF128&lt;0,0,CF81-CF128)</f>
        <v/>
      </c>
      <c r="CG130" s="685">
        <f>IF(CG128&lt;0,0,CG81-CG128)</f>
        <v/>
      </c>
      <c r="CH130" s="685">
        <f>IF(CH128&lt;0,0,CH81-CH128)</f>
        <v/>
      </c>
      <c r="CI130" s="685">
        <f>IF(CI128&lt;0,0,CI81-CI128)</f>
        <v/>
      </c>
      <c r="CJ130" s="685">
        <f>IF(CJ128&lt;0,0,CJ81-CJ128)</f>
        <v/>
      </c>
      <c r="CK130" s="685">
        <f>IF(CK128&lt;0,0,CK81-CK128)</f>
        <v/>
      </c>
      <c r="CL130" s="685">
        <f>IF(CL128&lt;0,0,CL81-CL128)</f>
        <v/>
      </c>
      <c r="CM130" s="685">
        <f>IF(CM128&lt;0,0,CM81-CM128)</f>
        <v/>
      </c>
      <c r="CN130" s="685">
        <f>IF(CN128&lt;0,0,CN81-CN128)</f>
        <v/>
      </c>
      <c r="CO130" s="685">
        <f>IF(CO128&lt;0,0,CO81-CO128)</f>
        <v/>
      </c>
      <c r="CP130" s="685">
        <f>IF(CP128&lt;0,0,CP81-CP128)</f>
        <v/>
      </c>
      <c r="CQ130" s="685">
        <f>IF(CQ128&lt;0,0,CQ81-CQ128)</f>
        <v/>
      </c>
      <c r="CR130" s="685">
        <f>IF(CR128&lt;0,0,CR81-CR128)</f>
        <v/>
      </c>
      <c r="CS130" s="685">
        <f>IF(CS128&lt;0,0,CS81-CS128)</f>
        <v/>
      </c>
      <c r="CT130" s="685">
        <f>IF(CT128&lt;0,0,CT81-CT128)</f>
        <v/>
      </c>
      <c r="CU130" s="685">
        <f>IF(CU128&lt;0,0,CU81-CU128)</f>
        <v/>
      </c>
      <c r="CV130" s="685">
        <f>IF(CV128&lt;0,0,CV81-CV128)</f>
        <v/>
      </c>
      <c r="CW130" s="685">
        <f>IF(CW128&lt;0,0,CW81-CW128)</f>
        <v/>
      </c>
      <c r="CX130" s="685">
        <f>IF(CX128&lt;0,0,CX81-CX128)</f>
        <v/>
      </c>
      <c r="CY130" s="685">
        <f>IF(CY128&lt;0,0,CY81-CY128)</f>
        <v/>
      </c>
      <c r="CZ130" s="685">
        <f>IF(CZ128&lt;0,0,CZ81-CZ128)</f>
        <v/>
      </c>
      <c r="DA130" s="685">
        <f>IF(DA128&lt;0,0,DA81-DA128)</f>
        <v/>
      </c>
      <c r="DB130" s="685">
        <f>IF(DB128&lt;0,0,DB81-DB128)</f>
        <v/>
      </c>
      <c r="DC130" s="685">
        <f>IF(DC128&lt;0,0,DC81-DC128)</f>
        <v/>
      </c>
      <c r="DD130" s="685">
        <f>IF(DD128&lt;0,0,DD81-DD128)</f>
        <v/>
      </c>
      <c r="DE130" s="685">
        <f>IF(DE128&lt;0,0,DE81-DE128)</f>
        <v/>
      </c>
      <c r="DF130" s="685">
        <f>IF(DF128&lt;0,0,DF81-DF128)</f>
        <v/>
      </c>
      <c r="DG130" s="685">
        <f>IF(DG128&lt;0,0,DG81-DG128)</f>
        <v/>
      </c>
      <c r="DH130" s="685">
        <f>IF(DH128&lt;0,0,DH81-DH128)</f>
        <v/>
      </c>
      <c r="DI130" s="685">
        <f>IF(DI128&lt;0,0,DI81-DI128)</f>
        <v/>
      </c>
      <c r="DJ130" s="685">
        <f>IF(DJ128&lt;0,0,DJ81-DJ128)</f>
        <v/>
      </c>
      <c r="DK130" s="685">
        <f>IF(DK128&lt;0,0,DK81-DK128)</f>
        <v/>
      </c>
      <c r="DL130" s="685">
        <f>IF(DL128&lt;0,0,DL81-DL128)</f>
        <v/>
      </c>
      <c r="DM130" s="685">
        <f>IF(DM128&lt;0,0,DM81-DM128)</f>
        <v/>
      </c>
      <c r="DN130" s="685">
        <f>IF(DN128&lt;0,0,DN81-DN128)</f>
        <v/>
      </c>
      <c r="DO130" s="685">
        <f>IF(DO128&lt;0,0,DO81-DO128)</f>
        <v/>
      </c>
      <c r="DP130" s="685">
        <f>IF(DP128&lt;0,0,DP81-DP128)</f>
        <v/>
      </c>
      <c r="DQ130" s="685">
        <f>IF(DQ128&lt;0,0,DQ81-DQ128)</f>
        <v/>
      </c>
      <c r="DR130" s="685">
        <f>IF(DR128&lt;0,0,DR81-DR128)</f>
        <v/>
      </c>
      <c r="DS130" s="685">
        <f>IF(DS128&lt;0,0,DS81-DS128)</f>
        <v/>
      </c>
      <c r="DT130" s="685">
        <f>IF(DT128&lt;0,0,DT81-DT128)</f>
        <v/>
      </c>
      <c r="DU130" s="685">
        <f>IF(DU128&lt;0,0,DU81-DU128)</f>
        <v/>
      </c>
      <c r="DV130" s="685">
        <f>IF(DV128&lt;0,0,DV81-DV128)</f>
        <v/>
      </c>
      <c r="DW130" s="322" t="inlineStr">
        <is>
          <t>x</t>
        </is>
      </c>
    </row>
    <row r="131" hidden="1" outlineLevel="1" ht="17.25" customHeight="1" thickTop="1">
      <c r="C131" s="360" t="n"/>
      <c r="D131" s="360" t="n"/>
      <c r="E131" s="360" t="n"/>
      <c r="F131" s="360" t="n"/>
      <c r="G131" s="360" t="n"/>
      <c r="H131" s="360" t="n"/>
      <c r="I131" s="360" t="n"/>
      <c r="J131" s="360" t="n"/>
      <c r="K131" s="360" t="n"/>
      <c r="L131" s="360" t="n"/>
      <c r="M131" s="360" t="n"/>
      <c r="N131" s="360" t="n"/>
      <c r="O131" s="360" t="n"/>
      <c r="P131" s="360" t="n"/>
      <c r="Q131" s="360" t="n"/>
      <c r="R131" s="360" t="n"/>
      <c r="S131" s="360" t="n"/>
      <c r="T131" s="360" t="n"/>
      <c r="U131" s="360" t="n"/>
      <c r="V131" s="360" t="n"/>
      <c r="W131" s="360" t="n"/>
      <c r="X131" s="360" t="n"/>
      <c r="Y131" s="360" t="n"/>
      <c r="Z131" s="360" t="n"/>
      <c r="AA131" s="360" t="n"/>
      <c r="AB131" s="360" t="n"/>
      <c r="AC131" s="360" t="n"/>
      <c r="AD131" s="360" t="n"/>
      <c r="AE131" s="360" t="n"/>
      <c r="AF131" s="360" t="n"/>
      <c r="AG131" s="360" t="n"/>
      <c r="AH131" s="360" t="n"/>
      <c r="AI131" s="360" t="n"/>
      <c r="AJ131" s="360" t="n"/>
      <c r="AK131" s="360" t="n"/>
      <c r="AL131" s="360" t="n"/>
      <c r="AM131" s="360" t="n"/>
      <c r="AN131" s="360" t="n"/>
      <c r="AO131" s="360" t="n"/>
      <c r="AP131" s="360" t="n"/>
      <c r="AQ131" s="360" t="n"/>
      <c r="AR131" s="360" t="n"/>
      <c r="AS131" s="360" t="n"/>
      <c r="AT131" s="360" t="n"/>
      <c r="AU131" s="360" t="n"/>
      <c r="AV131" s="360" t="n"/>
      <c r="AW131" s="360" t="n"/>
      <c r="AX131" s="360" t="n"/>
      <c r="AY131" s="360" t="n"/>
      <c r="AZ131" s="360" t="n"/>
      <c r="BA131" s="360" t="n"/>
      <c r="BB131" s="360" t="n"/>
      <c r="BC131" s="360" t="n"/>
      <c r="BD131" s="360" t="n"/>
      <c r="BE131" s="360" t="n"/>
      <c r="BF131" s="360" t="n"/>
      <c r="BG131" s="360" t="n"/>
      <c r="BH131" s="360" t="n"/>
      <c r="BI131" s="360" t="n"/>
      <c r="BJ131" s="360" t="n"/>
      <c r="BK131" s="360" t="n"/>
      <c r="BL131" s="360" t="n"/>
      <c r="BM131" s="360" t="n"/>
      <c r="BN131" s="360" t="n"/>
      <c r="BO131" s="360" t="n"/>
      <c r="BP131" s="360" t="n"/>
      <c r="BQ131" s="360" t="n"/>
      <c r="BR131" s="360" t="n"/>
      <c r="BS131" s="360" t="n"/>
      <c r="BT131" s="360" t="n"/>
      <c r="BU131" s="360" t="n"/>
      <c r="BV131" s="360" t="n"/>
      <c r="BW131" s="360" t="n"/>
      <c r="BX131" s="360" t="n"/>
      <c r="BY131" s="360" t="n"/>
      <c r="BZ131" s="360" t="n"/>
      <c r="CA131" s="360" t="n"/>
      <c r="CB131" s="360" t="n"/>
      <c r="CC131" s="360" t="n"/>
      <c r="CD131" s="360" t="n"/>
      <c r="CE131" s="360" t="n"/>
      <c r="CF131" s="360" t="n"/>
      <c r="CG131" s="360" t="n"/>
      <c r="CH131" s="360" t="n"/>
      <c r="CI131" s="360" t="n"/>
      <c r="CJ131" s="360" t="n"/>
      <c r="CK131" s="360" t="n"/>
      <c r="CL131" s="360" t="n"/>
      <c r="CM131" s="360" t="n"/>
      <c r="CN131" s="360" t="n"/>
      <c r="CO131" s="360" t="n"/>
      <c r="CP131" s="360" t="n"/>
      <c r="CQ131" s="360" t="n"/>
      <c r="CR131" s="360" t="n"/>
      <c r="CS131" s="360" t="n"/>
      <c r="CT131" s="360" t="n"/>
      <c r="CU131" s="360" t="n"/>
      <c r="CV131" s="360" t="n"/>
      <c r="CW131" s="360" t="n"/>
      <c r="CX131" s="360" t="n"/>
      <c r="CY131" s="360" t="n"/>
      <c r="CZ131" s="360" t="n"/>
      <c r="DA131" s="360" t="n"/>
      <c r="DB131" s="360" t="n"/>
      <c r="DC131" s="360" t="n"/>
      <c r="DD131" s="360" t="n"/>
      <c r="DE131" s="360" t="n"/>
      <c r="DF131" s="360" t="n"/>
      <c r="DG131" s="360" t="n"/>
      <c r="DH131" s="360" t="n"/>
      <c r="DI131" s="360" t="n"/>
      <c r="DJ131" s="360" t="n"/>
      <c r="DK131" s="360" t="n"/>
      <c r="DL131" s="360" t="n"/>
      <c r="DM131" s="360" t="n"/>
      <c r="DN131" s="360" t="n"/>
      <c r="DO131" s="360" t="n"/>
      <c r="DP131" s="360" t="n"/>
      <c r="DQ131" s="360" t="n"/>
      <c r="DR131" s="360" t="n"/>
      <c r="DS131" s="360" t="n"/>
      <c r="DT131" s="360" t="n"/>
      <c r="DU131" s="360" t="n"/>
      <c r="DV131" s="360" t="n"/>
      <c r="DW131" s="322" t="inlineStr">
        <is>
          <t>x</t>
        </is>
      </c>
    </row>
    <row r="132" hidden="1" outlineLevel="1">
      <c r="C132" s="382" t="inlineStr">
        <is>
          <t>Tier II</t>
        </is>
      </c>
      <c r="D132" s="382" t="n"/>
      <c r="E132" s="395" t="n"/>
      <c r="F132" s="458" t="n"/>
      <c r="G132" s="458" t="n"/>
      <c r="H132" s="458" t="n"/>
      <c r="I132" s="458" t="n"/>
      <c r="J132" s="458" t="n"/>
      <c r="K132" s="458" t="n"/>
      <c r="L132" s="458" t="n"/>
      <c r="M132" s="458" t="n"/>
      <c r="N132" s="458" t="n"/>
      <c r="O132" s="458" t="n"/>
      <c r="P132" s="458" t="n"/>
      <c r="Q132" s="458" t="n"/>
      <c r="R132" s="458" t="n"/>
      <c r="S132" s="458" t="n"/>
      <c r="T132" s="458" t="n"/>
      <c r="U132" s="458" t="n"/>
      <c r="V132" s="458" t="n"/>
      <c r="W132" s="458" t="n"/>
      <c r="X132" s="458" t="n"/>
      <c r="Y132" s="458" t="n"/>
      <c r="Z132" s="458" t="n"/>
      <c r="AA132" s="458" t="n"/>
      <c r="AB132" s="458" t="n"/>
      <c r="AC132" s="458" t="n"/>
      <c r="AD132" s="458" t="n"/>
      <c r="AE132" s="458" t="n"/>
      <c r="AF132" s="458" t="n"/>
      <c r="AG132" s="458" t="n"/>
      <c r="AH132" s="458" t="n"/>
      <c r="AI132" s="458" t="n"/>
      <c r="AJ132" s="458" t="n"/>
      <c r="AK132" s="458" t="n"/>
      <c r="AL132" s="458" t="n"/>
      <c r="AM132" s="458" t="n"/>
      <c r="AN132" s="458" t="n"/>
      <c r="AO132" s="458" t="n"/>
      <c r="AP132" s="458" t="n"/>
      <c r="AQ132" s="458" t="n"/>
      <c r="AR132" s="458" t="n"/>
      <c r="AS132" s="458" t="n"/>
      <c r="AT132" s="458" t="n"/>
      <c r="AU132" s="458" t="n"/>
      <c r="AV132" s="458" t="n"/>
      <c r="AW132" s="458" t="n"/>
      <c r="AX132" s="458" t="n"/>
      <c r="AY132" s="458" t="n"/>
      <c r="AZ132" s="458" t="n"/>
      <c r="BA132" s="458" t="n"/>
      <c r="BB132" s="458" t="n"/>
      <c r="BC132" s="458" t="n"/>
      <c r="BD132" s="458" t="n"/>
      <c r="BE132" s="458" t="n"/>
      <c r="BF132" s="458" t="n"/>
      <c r="BG132" s="458" t="n"/>
      <c r="BH132" s="458" t="n"/>
      <c r="BI132" s="458" t="n"/>
      <c r="BJ132" s="458" t="n"/>
      <c r="BK132" s="458" t="n"/>
      <c r="BL132" s="458" t="n"/>
      <c r="BM132" s="458" t="n"/>
      <c r="BN132" s="458" t="n"/>
      <c r="BO132" s="458" t="n"/>
      <c r="BP132" s="458" t="n"/>
      <c r="BQ132" s="458" t="n"/>
      <c r="BR132" s="458" t="n"/>
      <c r="BS132" s="458" t="n"/>
      <c r="BT132" s="458" t="n"/>
      <c r="BU132" s="458" t="n"/>
      <c r="BV132" s="458" t="n"/>
      <c r="BW132" s="458" t="n"/>
      <c r="BX132" s="458" t="n"/>
      <c r="BY132" s="458" t="n"/>
      <c r="BZ132" s="458" t="n"/>
      <c r="CA132" s="458" t="n"/>
      <c r="CB132" s="458" t="n"/>
      <c r="CC132" s="458" t="n"/>
      <c r="CD132" s="458" t="n"/>
      <c r="CE132" s="458" t="n"/>
      <c r="CF132" s="458" t="n"/>
      <c r="CG132" s="458" t="n"/>
      <c r="CH132" s="458" t="n"/>
      <c r="CI132" s="458" t="n"/>
      <c r="CJ132" s="458" t="n"/>
      <c r="CK132" s="458" t="n"/>
      <c r="CL132" s="458" t="n"/>
      <c r="CM132" s="458" t="n"/>
      <c r="CN132" s="458" t="n"/>
      <c r="CO132" s="458" t="n"/>
      <c r="CP132" s="458" t="n"/>
      <c r="CQ132" s="458" t="n"/>
      <c r="CR132" s="458" t="n"/>
      <c r="CS132" s="458" t="n"/>
      <c r="CT132" s="458" t="n"/>
      <c r="CU132" s="458" t="n"/>
      <c r="CV132" s="458" t="n"/>
      <c r="CW132" s="458" t="n"/>
      <c r="CX132" s="458" t="n"/>
      <c r="CY132" s="458" t="n"/>
      <c r="CZ132" s="458" t="n"/>
      <c r="DA132" s="458" t="n"/>
      <c r="DB132" s="458" t="n"/>
      <c r="DC132" s="458" t="n"/>
      <c r="DD132" s="458" t="n"/>
      <c r="DE132" s="458" t="n"/>
      <c r="DF132" s="458" t="n"/>
      <c r="DG132" s="458" t="n"/>
      <c r="DH132" s="458" t="n"/>
      <c r="DI132" s="458" t="n"/>
      <c r="DJ132" s="458" t="n"/>
      <c r="DK132" s="458" t="n"/>
      <c r="DL132" s="458" t="n"/>
      <c r="DM132" s="458" t="n"/>
      <c r="DN132" s="458" t="n"/>
      <c r="DO132" s="458" t="n"/>
      <c r="DP132" s="458" t="n"/>
      <c r="DQ132" s="458" t="n"/>
      <c r="DR132" s="458" t="n"/>
      <c r="DS132" s="458" t="n"/>
      <c r="DT132" s="458" t="n"/>
      <c r="DU132" s="458" t="n"/>
      <c r="DV132" s="458" t="n"/>
      <c r="DW132" s="322" t="inlineStr">
        <is>
          <t>x</t>
        </is>
      </c>
    </row>
    <row r="133" hidden="1" outlineLevel="1">
      <c r="C133" s="360" t="n"/>
      <c r="D133" s="360" t="n"/>
      <c r="E133" s="360" t="n"/>
      <c r="F133" s="360" t="n"/>
      <c r="G133" s="360" t="n"/>
      <c r="H133" s="360" t="n"/>
      <c r="I133" s="360" t="n"/>
      <c r="J133" s="360" t="n"/>
      <c r="K133" s="360" t="n"/>
      <c r="L133" s="360" t="n"/>
      <c r="M133" s="360" t="n"/>
      <c r="N133" s="360" t="n"/>
      <c r="O133" s="360" t="n"/>
      <c r="P133" s="360" t="n"/>
      <c r="Q133" s="360" t="n"/>
      <c r="R133" s="360" t="n"/>
      <c r="S133" s="360" t="n"/>
      <c r="T133" s="360" t="n"/>
      <c r="U133" s="360" t="n"/>
      <c r="V133" s="360" t="n"/>
      <c r="W133" s="360" t="n"/>
      <c r="X133" s="360" t="n"/>
      <c r="Y133" s="360" t="n"/>
      <c r="Z133" s="360" t="n"/>
      <c r="AA133" s="360" t="n"/>
      <c r="AB133" s="360" t="n"/>
      <c r="AC133" s="360" t="n"/>
      <c r="AD133" s="360" t="n"/>
      <c r="AE133" s="360" t="n"/>
      <c r="AF133" s="360" t="n"/>
      <c r="AG133" s="360" t="n"/>
      <c r="AH133" s="360" t="n"/>
      <c r="AI133" s="360" t="n"/>
      <c r="AJ133" s="360" t="n"/>
      <c r="AK133" s="360" t="n"/>
      <c r="AL133" s="360" t="n"/>
      <c r="AM133" s="360" t="n"/>
      <c r="AN133" s="360" t="n"/>
      <c r="AO133" s="360" t="n"/>
      <c r="AP133" s="360" t="n"/>
      <c r="AQ133" s="360" t="n"/>
      <c r="AR133" s="360" t="n"/>
      <c r="AS133" s="360" t="n"/>
      <c r="AT133" s="360" t="n"/>
      <c r="AU133" s="360" t="n"/>
      <c r="AV133" s="360" t="n"/>
      <c r="AW133" s="360" t="n"/>
      <c r="AX133" s="360" t="n"/>
      <c r="AY133" s="360" t="n"/>
      <c r="AZ133" s="360" t="n"/>
      <c r="BA133" s="360" t="n"/>
      <c r="BB133" s="360" t="n"/>
      <c r="BC133" s="360" t="n"/>
      <c r="BD133" s="360" t="n"/>
      <c r="BE133" s="360" t="n"/>
      <c r="BF133" s="360" t="n"/>
      <c r="BG133" s="360" t="n"/>
      <c r="BH133" s="360" t="n"/>
      <c r="BI133" s="360" t="n"/>
      <c r="BJ133" s="360" t="n"/>
      <c r="BK133" s="360" t="n"/>
      <c r="BL133" s="360" t="n"/>
      <c r="BM133" s="360" t="n"/>
      <c r="BN133" s="360" t="n"/>
      <c r="BO133" s="360" t="n"/>
      <c r="BP133" s="360" t="n"/>
      <c r="BQ133" s="360" t="n"/>
      <c r="BR133" s="360" t="n"/>
      <c r="BS133" s="360" t="n"/>
      <c r="BT133" s="360" t="n"/>
      <c r="BU133" s="360" t="n"/>
      <c r="BV133" s="360" t="n"/>
      <c r="BW133" s="360" t="n"/>
      <c r="BX133" s="360" t="n"/>
      <c r="BY133" s="360" t="n"/>
      <c r="BZ133" s="360" t="n"/>
      <c r="CA133" s="360" t="n"/>
      <c r="CB133" s="360" t="n"/>
      <c r="CC133" s="360" t="n"/>
      <c r="CD133" s="360" t="n"/>
      <c r="CE133" s="360" t="n"/>
      <c r="CF133" s="360" t="n"/>
      <c r="CG133" s="360" t="n"/>
      <c r="CH133" s="360" t="n"/>
      <c r="CI133" s="360" t="n"/>
      <c r="CJ133" s="360" t="n"/>
      <c r="CK133" s="360" t="n"/>
      <c r="CL133" s="360" t="n"/>
      <c r="CM133" s="360" t="n"/>
      <c r="CN133" s="360" t="n"/>
      <c r="CO133" s="360" t="n"/>
      <c r="CP133" s="360" t="n"/>
      <c r="CQ133" s="360" t="n"/>
      <c r="CR133" s="360" t="n"/>
      <c r="CS133" s="360" t="n"/>
      <c r="CT133" s="360" t="n"/>
      <c r="CU133" s="360" t="n"/>
      <c r="CV133" s="360" t="n"/>
      <c r="CW133" s="360" t="n"/>
      <c r="CX133" s="360" t="n"/>
      <c r="CY133" s="360" t="n"/>
      <c r="CZ133" s="360" t="n"/>
      <c r="DA133" s="360" t="n"/>
      <c r="DB133" s="360" t="n"/>
      <c r="DC133" s="360" t="n"/>
      <c r="DD133" s="360" t="n"/>
      <c r="DE133" s="360" t="n"/>
      <c r="DF133" s="360" t="n"/>
      <c r="DG133" s="360" t="n"/>
      <c r="DH133" s="360" t="n"/>
      <c r="DI133" s="360" t="n"/>
      <c r="DJ133" s="360" t="n"/>
      <c r="DK133" s="360" t="n"/>
      <c r="DL133" s="360" t="n"/>
      <c r="DM133" s="360" t="n"/>
      <c r="DN133" s="360" t="n"/>
      <c r="DO133" s="360" t="n"/>
      <c r="DP133" s="360" t="n"/>
      <c r="DQ133" s="360" t="n"/>
      <c r="DR133" s="360" t="n"/>
      <c r="DS133" s="360" t="n"/>
      <c r="DT133" s="360" t="n"/>
      <c r="DU133" s="360" t="n"/>
      <c r="DV133" s="360" t="n"/>
      <c r="DW133" s="322" t="inlineStr">
        <is>
          <t>x</t>
        </is>
      </c>
    </row>
    <row r="134" hidden="1" outlineLevel="1">
      <c r="C134" s="382" t="inlineStr">
        <is>
          <t>Tier II - IRR Hurdle</t>
        </is>
      </c>
      <c r="D134" s="382" t="n"/>
      <c r="E134" s="395" t="n"/>
      <c r="F134" s="458" t="n"/>
      <c r="G134" s="458" t="n"/>
      <c r="H134" s="458" t="n"/>
      <c r="I134" s="458" t="n"/>
      <c r="J134" s="458" t="n"/>
      <c r="K134" s="458" t="n"/>
      <c r="L134" s="458" t="n"/>
      <c r="M134" s="458" t="n"/>
      <c r="N134" s="458" t="n"/>
      <c r="O134" s="458" t="n"/>
      <c r="P134" s="458" t="n"/>
      <c r="Q134" s="458" t="n"/>
      <c r="R134" s="458" t="n"/>
      <c r="S134" s="458" t="n"/>
      <c r="T134" s="458" t="n"/>
      <c r="U134" s="458" t="n"/>
      <c r="V134" s="458" t="n"/>
      <c r="W134" s="458" t="n"/>
      <c r="X134" s="458" t="n"/>
      <c r="Y134" s="458" t="n"/>
      <c r="Z134" s="458" t="n"/>
      <c r="AA134" s="458" t="n"/>
      <c r="AB134" s="458" t="n"/>
      <c r="AC134" s="458" t="n"/>
      <c r="AD134" s="458" t="n"/>
      <c r="AE134" s="458" t="n"/>
      <c r="AF134" s="458" t="n"/>
      <c r="AG134" s="458" t="n"/>
      <c r="AH134" s="458" t="n"/>
      <c r="AI134" s="458" t="n"/>
      <c r="AJ134" s="458" t="n"/>
      <c r="AK134" s="458" t="n"/>
      <c r="AL134" s="458" t="n"/>
      <c r="AM134" s="458" t="n"/>
      <c r="AN134" s="458" t="n"/>
      <c r="AO134" s="458" t="n"/>
      <c r="AP134" s="458" t="n"/>
      <c r="AQ134" s="458" t="n"/>
      <c r="AR134" s="458" t="n"/>
      <c r="AS134" s="458" t="n"/>
      <c r="AT134" s="458" t="n"/>
      <c r="AU134" s="458" t="n"/>
      <c r="AV134" s="458" t="n"/>
      <c r="AW134" s="458" t="n"/>
      <c r="AX134" s="458" t="n"/>
      <c r="AY134" s="458" t="n"/>
      <c r="AZ134" s="458" t="n"/>
      <c r="BA134" s="458" t="n"/>
      <c r="BB134" s="458" t="n"/>
      <c r="BC134" s="458" t="n"/>
      <c r="BD134" s="458" t="n"/>
      <c r="BE134" s="458" t="n"/>
      <c r="BF134" s="458" t="n"/>
      <c r="BG134" s="458" t="n"/>
      <c r="BH134" s="458" t="n"/>
      <c r="BI134" s="458" t="n"/>
      <c r="BJ134" s="458" t="n"/>
      <c r="BK134" s="458" t="n"/>
      <c r="BL134" s="458" t="n"/>
      <c r="BM134" s="458" t="n"/>
      <c r="BN134" s="458" t="n"/>
      <c r="BO134" s="458" t="n"/>
      <c r="BP134" s="458" t="n"/>
      <c r="BQ134" s="458" t="n"/>
      <c r="BR134" s="458" t="n"/>
      <c r="BS134" s="458" t="n"/>
      <c r="BT134" s="458" t="n"/>
      <c r="BU134" s="458" t="n"/>
      <c r="BV134" s="458" t="n"/>
      <c r="BW134" s="458" t="n"/>
      <c r="BX134" s="458" t="n"/>
      <c r="BY134" s="458" t="n"/>
      <c r="BZ134" s="458" t="n"/>
      <c r="CA134" s="458" t="n"/>
      <c r="CB134" s="458" t="n"/>
      <c r="CC134" s="458" t="n"/>
      <c r="CD134" s="458" t="n"/>
      <c r="CE134" s="458" t="n"/>
      <c r="CF134" s="458" t="n"/>
      <c r="CG134" s="458" t="n"/>
      <c r="CH134" s="458" t="n"/>
      <c r="CI134" s="458" t="n"/>
      <c r="CJ134" s="458" t="n"/>
      <c r="CK134" s="458" t="n"/>
      <c r="CL134" s="458" t="n"/>
      <c r="CM134" s="458" t="n"/>
      <c r="CN134" s="458" t="n"/>
      <c r="CO134" s="458" t="n"/>
      <c r="CP134" s="458" t="n"/>
      <c r="CQ134" s="458" t="n"/>
      <c r="CR134" s="458" t="n"/>
      <c r="CS134" s="458" t="n"/>
      <c r="CT134" s="458" t="n"/>
      <c r="CU134" s="458" t="n"/>
      <c r="CV134" s="458" t="n"/>
      <c r="CW134" s="458" t="n"/>
      <c r="CX134" s="458" t="n"/>
      <c r="CY134" s="458" t="n"/>
      <c r="CZ134" s="458" t="n"/>
      <c r="DA134" s="458" t="n"/>
      <c r="DB134" s="458" t="n"/>
      <c r="DC134" s="458" t="n"/>
      <c r="DD134" s="458" t="n"/>
      <c r="DE134" s="458" t="n"/>
      <c r="DF134" s="458" t="n"/>
      <c r="DG134" s="458" t="n"/>
      <c r="DH134" s="458" t="n"/>
      <c r="DI134" s="458" t="n"/>
      <c r="DJ134" s="458" t="n"/>
      <c r="DK134" s="458" t="n"/>
      <c r="DL134" s="458" t="n"/>
      <c r="DM134" s="458" t="n"/>
      <c r="DN134" s="458" t="n"/>
      <c r="DO134" s="458" t="n"/>
      <c r="DP134" s="458" t="n"/>
      <c r="DQ134" s="458" t="n"/>
      <c r="DR134" s="458" t="n"/>
      <c r="DS134" s="458" t="n"/>
      <c r="DT134" s="458" t="n"/>
      <c r="DU134" s="458" t="n"/>
      <c r="DV134" s="458" t="n"/>
      <c r="DW134" s="322" t="inlineStr">
        <is>
          <t>x</t>
        </is>
      </c>
    </row>
    <row r="135" hidden="1" outlineLevel="1">
      <c r="C135" s="374" t="inlineStr">
        <is>
          <t>Beginning Balance</t>
        </is>
      </c>
      <c r="D135" s="360" t="n"/>
      <c r="E135" s="463" t="n"/>
      <c r="F135" s="679" t="n">
        <v>0</v>
      </c>
      <c r="G135" s="655">
        <f>F140</f>
        <v/>
      </c>
      <c r="H135" s="655">
        <f>G140</f>
        <v/>
      </c>
      <c r="I135" s="655">
        <f>H140</f>
        <v/>
      </c>
      <c r="J135" s="655">
        <f>I140</f>
        <v/>
      </c>
      <c r="K135" s="655">
        <f>J140</f>
        <v/>
      </c>
      <c r="L135" s="655">
        <f>K140</f>
        <v/>
      </c>
      <c r="M135" s="655">
        <f>L140</f>
        <v/>
      </c>
      <c r="N135" s="655">
        <f>M140</f>
        <v/>
      </c>
      <c r="O135" s="655">
        <f>N140</f>
        <v/>
      </c>
      <c r="P135" s="655">
        <f>O140</f>
        <v/>
      </c>
      <c r="Q135" s="655">
        <f>P140</f>
        <v/>
      </c>
      <c r="R135" s="655">
        <f>Q140</f>
        <v/>
      </c>
      <c r="S135" s="655">
        <f>R140</f>
        <v/>
      </c>
      <c r="T135" s="655">
        <f>S140</f>
        <v/>
      </c>
      <c r="U135" s="655">
        <f>T140</f>
        <v/>
      </c>
      <c r="V135" s="655">
        <f>U140</f>
        <v/>
      </c>
      <c r="W135" s="655">
        <f>V140</f>
        <v/>
      </c>
      <c r="X135" s="655">
        <f>W140</f>
        <v/>
      </c>
      <c r="Y135" s="655">
        <f>X140</f>
        <v/>
      </c>
      <c r="Z135" s="655">
        <f>Y140</f>
        <v/>
      </c>
      <c r="AA135" s="655">
        <f>Z140</f>
        <v/>
      </c>
      <c r="AB135" s="655">
        <f>AA140</f>
        <v/>
      </c>
      <c r="AC135" s="655">
        <f>AB140</f>
        <v/>
      </c>
      <c r="AD135" s="655">
        <f>AC140</f>
        <v/>
      </c>
      <c r="AE135" s="655">
        <f>AD140</f>
        <v/>
      </c>
      <c r="AF135" s="655">
        <f>AE140</f>
        <v/>
      </c>
      <c r="AG135" s="655">
        <f>AF140</f>
        <v/>
      </c>
      <c r="AH135" s="655">
        <f>AG140</f>
        <v/>
      </c>
      <c r="AI135" s="655">
        <f>AH140</f>
        <v/>
      </c>
      <c r="AJ135" s="655">
        <f>AI140</f>
        <v/>
      </c>
      <c r="AK135" s="655">
        <f>AJ140</f>
        <v/>
      </c>
      <c r="AL135" s="655">
        <f>AK140</f>
        <v/>
      </c>
      <c r="AM135" s="655">
        <f>AL140</f>
        <v/>
      </c>
      <c r="AN135" s="655">
        <f>AM140</f>
        <v/>
      </c>
      <c r="AO135" s="655">
        <f>AN140</f>
        <v/>
      </c>
      <c r="AP135" s="655">
        <f>AO140</f>
        <v/>
      </c>
      <c r="AQ135" s="655">
        <f>AP140</f>
        <v/>
      </c>
      <c r="AR135" s="655">
        <f>AQ140</f>
        <v/>
      </c>
      <c r="AS135" s="655">
        <f>AR140</f>
        <v/>
      </c>
      <c r="AT135" s="655">
        <f>AS140</f>
        <v/>
      </c>
      <c r="AU135" s="655">
        <f>AT140</f>
        <v/>
      </c>
      <c r="AV135" s="655">
        <f>AU140</f>
        <v/>
      </c>
      <c r="AW135" s="655">
        <f>AV140</f>
        <v/>
      </c>
      <c r="AX135" s="655">
        <f>AW140</f>
        <v/>
      </c>
      <c r="AY135" s="655">
        <f>AX140</f>
        <v/>
      </c>
      <c r="AZ135" s="655">
        <f>AY140</f>
        <v/>
      </c>
      <c r="BA135" s="655">
        <f>AZ140</f>
        <v/>
      </c>
      <c r="BB135" s="655">
        <f>BA140</f>
        <v/>
      </c>
      <c r="BC135" s="655">
        <f>BB140</f>
        <v/>
      </c>
      <c r="BD135" s="655">
        <f>BC140</f>
        <v/>
      </c>
      <c r="BE135" s="655">
        <f>BD140</f>
        <v/>
      </c>
      <c r="BF135" s="655">
        <f>BE140</f>
        <v/>
      </c>
      <c r="BG135" s="655">
        <f>BF140</f>
        <v/>
      </c>
      <c r="BH135" s="655">
        <f>BG140</f>
        <v/>
      </c>
      <c r="BI135" s="655">
        <f>BH140</f>
        <v/>
      </c>
      <c r="BJ135" s="655">
        <f>BI140</f>
        <v/>
      </c>
      <c r="BK135" s="655">
        <f>BJ140</f>
        <v/>
      </c>
      <c r="BL135" s="655">
        <f>BK140</f>
        <v/>
      </c>
      <c r="BM135" s="655">
        <f>BL140</f>
        <v/>
      </c>
      <c r="BN135" s="655">
        <f>BM140</f>
        <v/>
      </c>
      <c r="BO135" s="655">
        <f>BN140</f>
        <v/>
      </c>
      <c r="BP135" s="655">
        <f>BO140</f>
        <v/>
      </c>
      <c r="BQ135" s="655">
        <f>BP140</f>
        <v/>
      </c>
      <c r="BR135" s="655">
        <f>BQ140</f>
        <v/>
      </c>
      <c r="BS135" s="655">
        <f>BR140</f>
        <v/>
      </c>
      <c r="BT135" s="655">
        <f>BS140</f>
        <v/>
      </c>
      <c r="BU135" s="655">
        <f>BT140</f>
        <v/>
      </c>
      <c r="BV135" s="655">
        <f>BU140</f>
        <v/>
      </c>
      <c r="BW135" s="655">
        <f>BV140</f>
        <v/>
      </c>
      <c r="BX135" s="655">
        <f>BW140</f>
        <v/>
      </c>
      <c r="BY135" s="655">
        <f>BX140</f>
        <v/>
      </c>
      <c r="BZ135" s="655">
        <f>BY140</f>
        <v/>
      </c>
      <c r="CA135" s="655">
        <f>BZ140</f>
        <v/>
      </c>
      <c r="CB135" s="655">
        <f>CA140</f>
        <v/>
      </c>
      <c r="CC135" s="655">
        <f>CB140</f>
        <v/>
      </c>
      <c r="CD135" s="655">
        <f>CC140</f>
        <v/>
      </c>
      <c r="CE135" s="655">
        <f>CD140</f>
        <v/>
      </c>
      <c r="CF135" s="655">
        <f>CE140</f>
        <v/>
      </c>
      <c r="CG135" s="655">
        <f>CF140</f>
        <v/>
      </c>
      <c r="CH135" s="655">
        <f>CG140</f>
        <v/>
      </c>
      <c r="CI135" s="655">
        <f>CH140</f>
        <v/>
      </c>
      <c r="CJ135" s="655">
        <f>CI140</f>
        <v/>
      </c>
      <c r="CK135" s="655">
        <f>CJ140</f>
        <v/>
      </c>
      <c r="CL135" s="655">
        <f>CK140</f>
        <v/>
      </c>
      <c r="CM135" s="655">
        <f>CL140</f>
        <v/>
      </c>
      <c r="CN135" s="655">
        <f>CM140</f>
        <v/>
      </c>
      <c r="CO135" s="655">
        <f>CN140</f>
        <v/>
      </c>
      <c r="CP135" s="655">
        <f>CO140</f>
        <v/>
      </c>
      <c r="CQ135" s="655">
        <f>CP140</f>
        <v/>
      </c>
      <c r="CR135" s="655">
        <f>CQ140</f>
        <v/>
      </c>
      <c r="CS135" s="655">
        <f>CR140</f>
        <v/>
      </c>
      <c r="CT135" s="655">
        <f>CS140</f>
        <v/>
      </c>
      <c r="CU135" s="655">
        <f>CT140</f>
        <v/>
      </c>
      <c r="CV135" s="655">
        <f>CU140</f>
        <v/>
      </c>
      <c r="CW135" s="655">
        <f>CV140</f>
        <v/>
      </c>
      <c r="CX135" s="655">
        <f>CW140</f>
        <v/>
      </c>
      <c r="CY135" s="655">
        <f>CX140</f>
        <v/>
      </c>
      <c r="CZ135" s="655">
        <f>CY140</f>
        <v/>
      </c>
      <c r="DA135" s="655">
        <f>CZ140</f>
        <v/>
      </c>
      <c r="DB135" s="655">
        <f>DA140</f>
        <v/>
      </c>
      <c r="DC135" s="655">
        <f>DB140</f>
        <v/>
      </c>
      <c r="DD135" s="655">
        <f>DC140</f>
        <v/>
      </c>
      <c r="DE135" s="655">
        <f>DD140</f>
        <v/>
      </c>
      <c r="DF135" s="655">
        <f>DE140</f>
        <v/>
      </c>
      <c r="DG135" s="655">
        <f>DF140</f>
        <v/>
      </c>
      <c r="DH135" s="655">
        <f>DG140</f>
        <v/>
      </c>
      <c r="DI135" s="655">
        <f>DH140</f>
        <v/>
      </c>
      <c r="DJ135" s="655">
        <f>DI140</f>
        <v/>
      </c>
      <c r="DK135" s="655">
        <f>DJ140</f>
        <v/>
      </c>
      <c r="DL135" s="655">
        <f>DK140</f>
        <v/>
      </c>
      <c r="DM135" s="655">
        <f>DL140</f>
        <v/>
      </c>
      <c r="DN135" s="655">
        <f>DM140</f>
        <v/>
      </c>
      <c r="DO135" s="655">
        <f>DN140</f>
        <v/>
      </c>
      <c r="DP135" s="655">
        <f>DO140</f>
        <v/>
      </c>
      <c r="DQ135" s="655">
        <f>DP140</f>
        <v/>
      </c>
      <c r="DR135" s="655">
        <f>DQ140</f>
        <v/>
      </c>
      <c r="DS135" s="655">
        <f>DR140</f>
        <v/>
      </c>
      <c r="DT135" s="655">
        <f>DS140</f>
        <v/>
      </c>
      <c r="DU135" s="655">
        <f>DT140</f>
        <v/>
      </c>
      <c r="DV135" s="655">
        <f>DU140</f>
        <v/>
      </c>
      <c r="DW135" s="322" t="inlineStr">
        <is>
          <t>x</t>
        </is>
      </c>
    </row>
    <row r="136" hidden="1" outlineLevel="1">
      <c r="C136" s="374" t="inlineStr">
        <is>
          <t>Injections</t>
        </is>
      </c>
      <c r="D136" s="360" t="n"/>
      <c r="E136" s="463">
        <f>SUM(F136:BI136)</f>
        <v/>
      </c>
      <c r="F136" s="468">
        <f>-F78</f>
        <v/>
      </c>
      <c r="G136" s="468">
        <f>-G78</f>
        <v/>
      </c>
      <c r="H136" s="468">
        <f>-H78</f>
        <v/>
      </c>
      <c r="I136" s="468">
        <f>-I78</f>
        <v/>
      </c>
      <c r="J136" s="468">
        <f>-J78</f>
        <v/>
      </c>
      <c r="K136" s="468">
        <f>-K78</f>
        <v/>
      </c>
      <c r="L136" s="468">
        <f>-L78</f>
        <v/>
      </c>
      <c r="M136" s="468">
        <f>-M78</f>
        <v/>
      </c>
      <c r="N136" s="468">
        <f>-N78</f>
        <v/>
      </c>
      <c r="O136" s="468">
        <f>-O78</f>
        <v/>
      </c>
      <c r="P136" s="468">
        <f>-P78</f>
        <v/>
      </c>
      <c r="Q136" s="468">
        <f>-Q78</f>
        <v/>
      </c>
      <c r="R136" s="468">
        <f>-R78</f>
        <v/>
      </c>
      <c r="S136" s="468">
        <f>-S78</f>
        <v/>
      </c>
      <c r="T136" s="468">
        <f>-T78</f>
        <v/>
      </c>
      <c r="U136" s="468">
        <f>-U78</f>
        <v/>
      </c>
      <c r="V136" s="468">
        <f>-V78</f>
        <v/>
      </c>
      <c r="W136" s="468">
        <f>-W78</f>
        <v/>
      </c>
      <c r="X136" s="468">
        <f>-X78</f>
        <v/>
      </c>
      <c r="Y136" s="468">
        <f>-Y78</f>
        <v/>
      </c>
      <c r="Z136" s="468">
        <f>-Z78</f>
        <v/>
      </c>
      <c r="AA136" s="468">
        <f>-AA78</f>
        <v/>
      </c>
      <c r="AB136" s="468">
        <f>-AB78</f>
        <v/>
      </c>
      <c r="AC136" s="468">
        <f>-AC78</f>
        <v/>
      </c>
      <c r="AD136" s="468">
        <f>-AD78</f>
        <v/>
      </c>
      <c r="AE136" s="468">
        <f>-AE78</f>
        <v/>
      </c>
      <c r="AF136" s="468">
        <f>-AF78</f>
        <v/>
      </c>
      <c r="AG136" s="468">
        <f>-AG78</f>
        <v/>
      </c>
      <c r="AH136" s="468">
        <f>-AH78</f>
        <v/>
      </c>
      <c r="AI136" s="468">
        <f>-AI78</f>
        <v/>
      </c>
      <c r="AJ136" s="468">
        <f>-AJ78</f>
        <v/>
      </c>
      <c r="AK136" s="468">
        <f>-AK78</f>
        <v/>
      </c>
      <c r="AL136" s="468">
        <f>-AL78</f>
        <v/>
      </c>
      <c r="AM136" s="468">
        <f>-AM78</f>
        <v/>
      </c>
      <c r="AN136" s="468">
        <f>-AN78</f>
        <v/>
      </c>
      <c r="AO136" s="468">
        <f>-AO78</f>
        <v/>
      </c>
      <c r="AP136" s="468">
        <f>-AP78</f>
        <v/>
      </c>
      <c r="AQ136" s="468">
        <f>-AQ78</f>
        <v/>
      </c>
      <c r="AR136" s="468">
        <f>-AR78</f>
        <v/>
      </c>
      <c r="AS136" s="468">
        <f>-AS78</f>
        <v/>
      </c>
      <c r="AT136" s="468">
        <f>-AT78</f>
        <v/>
      </c>
      <c r="AU136" s="468">
        <f>-AU78</f>
        <v/>
      </c>
      <c r="AV136" s="468">
        <f>-AV78</f>
        <v/>
      </c>
      <c r="AW136" s="468">
        <f>-AW78</f>
        <v/>
      </c>
      <c r="AX136" s="468">
        <f>-AX78</f>
        <v/>
      </c>
      <c r="AY136" s="468">
        <f>-AY78</f>
        <v/>
      </c>
      <c r="AZ136" s="468">
        <f>-AZ78</f>
        <v/>
      </c>
      <c r="BA136" s="468">
        <f>-BA78</f>
        <v/>
      </c>
      <c r="BB136" s="468">
        <f>-BB78</f>
        <v/>
      </c>
      <c r="BC136" s="468">
        <f>-BC78</f>
        <v/>
      </c>
      <c r="BD136" s="468">
        <f>-BD78</f>
        <v/>
      </c>
      <c r="BE136" s="468">
        <f>-BE78</f>
        <v/>
      </c>
      <c r="BF136" s="468">
        <f>-BF78</f>
        <v/>
      </c>
      <c r="BG136" s="468">
        <f>-BG78</f>
        <v/>
      </c>
      <c r="BH136" s="468">
        <f>-BH78</f>
        <v/>
      </c>
      <c r="BI136" s="468">
        <f>-BI78</f>
        <v/>
      </c>
      <c r="BJ136" s="468">
        <f>-BJ78</f>
        <v/>
      </c>
      <c r="BK136" s="468">
        <f>-BK78</f>
        <v/>
      </c>
      <c r="BL136" s="468">
        <f>-BL78</f>
        <v/>
      </c>
      <c r="BM136" s="468">
        <f>-BM78</f>
        <v/>
      </c>
      <c r="BN136" s="468">
        <f>-BN78</f>
        <v/>
      </c>
      <c r="BO136" s="468">
        <f>-BO78</f>
        <v/>
      </c>
      <c r="BP136" s="468">
        <f>-BP78</f>
        <v/>
      </c>
      <c r="BQ136" s="468">
        <f>-BQ78</f>
        <v/>
      </c>
      <c r="BR136" s="468">
        <f>-BR78</f>
        <v/>
      </c>
      <c r="BS136" s="468">
        <f>-BS78</f>
        <v/>
      </c>
      <c r="BT136" s="468">
        <f>-BT78</f>
        <v/>
      </c>
      <c r="BU136" s="468">
        <f>-BU78</f>
        <v/>
      </c>
      <c r="BV136" s="468">
        <f>-BV78</f>
        <v/>
      </c>
      <c r="BW136" s="468">
        <f>-BW78</f>
        <v/>
      </c>
      <c r="BX136" s="468">
        <f>-BX78</f>
        <v/>
      </c>
      <c r="BY136" s="468">
        <f>-BY78</f>
        <v/>
      </c>
      <c r="BZ136" s="468">
        <f>-BZ78</f>
        <v/>
      </c>
      <c r="CA136" s="468">
        <f>-CA78</f>
        <v/>
      </c>
      <c r="CB136" s="468">
        <f>-CB78</f>
        <v/>
      </c>
      <c r="CC136" s="468">
        <f>-CC78</f>
        <v/>
      </c>
      <c r="CD136" s="468">
        <f>-CD78</f>
        <v/>
      </c>
      <c r="CE136" s="468">
        <f>-CE78</f>
        <v/>
      </c>
      <c r="CF136" s="468">
        <f>-CF78</f>
        <v/>
      </c>
      <c r="CG136" s="468">
        <f>-CG78</f>
        <v/>
      </c>
      <c r="CH136" s="468">
        <f>-CH78</f>
        <v/>
      </c>
      <c r="CI136" s="468">
        <f>-CI78</f>
        <v/>
      </c>
      <c r="CJ136" s="468">
        <f>-CJ78</f>
        <v/>
      </c>
      <c r="CK136" s="468">
        <f>-CK78</f>
        <v/>
      </c>
      <c r="CL136" s="468">
        <f>-CL78</f>
        <v/>
      </c>
      <c r="CM136" s="468">
        <f>-CM78</f>
        <v/>
      </c>
      <c r="CN136" s="468">
        <f>-CN78</f>
        <v/>
      </c>
      <c r="CO136" s="468">
        <f>-CO78</f>
        <v/>
      </c>
      <c r="CP136" s="468">
        <f>-CP78</f>
        <v/>
      </c>
      <c r="CQ136" s="468">
        <f>-CQ78</f>
        <v/>
      </c>
      <c r="CR136" s="468">
        <f>-CR78</f>
        <v/>
      </c>
      <c r="CS136" s="468">
        <f>-CS78</f>
        <v/>
      </c>
      <c r="CT136" s="468">
        <f>-CT78</f>
        <v/>
      </c>
      <c r="CU136" s="468">
        <f>-CU78</f>
        <v/>
      </c>
      <c r="CV136" s="468">
        <f>-CV78</f>
        <v/>
      </c>
      <c r="CW136" s="468">
        <f>-CW78</f>
        <v/>
      </c>
      <c r="CX136" s="468">
        <f>-CX78</f>
        <v/>
      </c>
      <c r="CY136" s="468">
        <f>-CY78</f>
        <v/>
      </c>
      <c r="CZ136" s="468">
        <f>-CZ78</f>
        <v/>
      </c>
      <c r="DA136" s="468">
        <f>-DA78</f>
        <v/>
      </c>
      <c r="DB136" s="468">
        <f>-DB78</f>
        <v/>
      </c>
      <c r="DC136" s="468">
        <f>-DC78</f>
        <v/>
      </c>
      <c r="DD136" s="468">
        <f>-DD78</f>
        <v/>
      </c>
      <c r="DE136" s="468">
        <f>-DE78</f>
        <v/>
      </c>
      <c r="DF136" s="468">
        <f>-DF78</f>
        <v/>
      </c>
      <c r="DG136" s="468">
        <f>-DG78</f>
        <v/>
      </c>
      <c r="DH136" s="468">
        <f>-DH78</f>
        <v/>
      </c>
      <c r="DI136" s="468">
        <f>-DI78</f>
        <v/>
      </c>
      <c r="DJ136" s="468">
        <f>-DJ78</f>
        <v/>
      </c>
      <c r="DK136" s="468">
        <f>-DK78</f>
        <v/>
      </c>
      <c r="DL136" s="468">
        <f>-DL78</f>
        <v/>
      </c>
      <c r="DM136" s="468">
        <f>-DM78</f>
        <v/>
      </c>
      <c r="DN136" s="468">
        <f>-DN78</f>
        <v/>
      </c>
      <c r="DO136" s="468">
        <f>-DO78</f>
        <v/>
      </c>
      <c r="DP136" s="468">
        <f>-DP78</f>
        <v/>
      </c>
      <c r="DQ136" s="468">
        <f>-DQ78</f>
        <v/>
      </c>
      <c r="DR136" s="468">
        <f>-DR78</f>
        <v/>
      </c>
      <c r="DS136" s="468">
        <f>-DS78</f>
        <v/>
      </c>
      <c r="DT136" s="468">
        <f>-DT78</f>
        <v/>
      </c>
      <c r="DU136" s="468">
        <f>-DU78</f>
        <v/>
      </c>
      <c r="DV136" s="468">
        <f>-DV78</f>
        <v/>
      </c>
      <c r="DW136" s="322" t="inlineStr">
        <is>
          <t>x</t>
        </is>
      </c>
    </row>
    <row r="137" hidden="1" outlineLevel="1">
      <c r="C137" s="374" t="inlineStr">
        <is>
          <t>Investor Accruals</t>
        </is>
      </c>
      <c r="D137" s="360" t="n"/>
      <c r="E137" s="463">
        <f>SUM(F137:BI137)</f>
        <v/>
      </c>
      <c r="F137" s="468" t="n">
        <v>0</v>
      </c>
      <c r="G137" s="468">
        <f>G135*(((1+$D$39)^(1/$K$38)-1)*G85)</f>
        <v/>
      </c>
      <c r="H137" s="468">
        <f>H135*(((1+$D$39)^(1/$K$38)-1)*H85)</f>
        <v/>
      </c>
      <c r="I137" s="468">
        <f>I135*(((1+$D$39)^(1/$K$38)-1)*I85)</f>
        <v/>
      </c>
      <c r="J137" s="468">
        <f>J135*(((1+$D$39)^(1/$K$38)-1)*J85)</f>
        <v/>
      </c>
      <c r="K137" s="468">
        <f>K135*(((1+$D$39)^(1/$K$38)-1)*K85)</f>
        <v/>
      </c>
      <c r="L137" s="468">
        <f>L135*(((1+$D$39)^(1/$K$38)-1)*L85)</f>
        <v/>
      </c>
      <c r="M137" s="468">
        <f>M135*(((1+$D$39)^(1/$K$38)-1)*M85)</f>
        <v/>
      </c>
      <c r="N137" s="468">
        <f>N135*(((1+$D$39)^(1/$K$38)-1)*N85)</f>
        <v/>
      </c>
      <c r="O137" s="468">
        <f>O135*(((1+$D$39)^(1/$K$38)-1)*O85)</f>
        <v/>
      </c>
      <c r="P137" s="468">
        <f>P135*(((1+$D$39)^(1/$K$38)-1)*P85)</f>
        <v/>
      </c>
      <c r="Q137" s="468">
        <f>Q135*(((1+$D$39)^(1/$K$38)-1)*Q85)</f>
        <v/>
      </c>
      <c r="R137" s="468">
        <f>R135*(((1+$D$39)^(1/$K$38)-1)*R85)</f>
        <v/>
      </c>
      <c r="S137" s="468">
        <f>S135*(((1+$D$39)^(1/$K$38)-1)*S85)</f>
        <v/>
      </c>
      <c r="T137" s="468">
        <f>T135*(((1+$D$39)^(1/$K$38)-1)*T85)</f>
        <v/>
      </c>
      <c r="U137" s="468">
        <f>U135*(((1+$D$39)^(1/$K$38)-1)*U85)</f>
        <v/>
      </c>
      <c r="V137" s="468">
        <f>V135*(((1+$D$39)^(1/$K$38)-1)*V85)</f>
        <v/>
      </c>
      <c r="W137" s="468">
        <f>W135*(((1+$D$39)^(1/$K$38)-1)*W85)</f>
        <v/>
      </c>
      <c r="X137" s="468">
        <f>X135*(((1+$D$39)^(1/$K$38)-1)*X85)</f>
        <v/>
      </c>
      <c r="Y137" s="468">
        <f>Y135*(((1+$D$39)^(1/$K$38)-1)*Y85)</f>
        <v/>
      </c>
      <c r="Z137" s="468">
        <f>Z135*(((1+$D$39)^(1/$K$38)-1)*Z85)</f>
        <v/>
      </c>
      <c r="AA137" s="468">
        <f>AA135*(((1+$D$39)^(1/$K$38)-1)*AA85)</f>
        <v/>
      </c>
      <c r="AB137" s="468">
        <f>AB135*(((1+$D$39)^(1/$K$38)-1)*AB85)</f>
        <v/>
      </c>
      <c r="AC137" s="468">
        <f>AC135*(((1+$D$39)^(1/$K$38)-1)*AC85)</f>
        <v/>
      </c>
      <c r="AD137" s="468">
        <f>AD135*(((1+$D$39)^(1/$K$38)-1)*AD85)</f>
        <v/>
      </c>
      <c r="AE137" s="468">
        <f>AE135*(((1+$D$39)^(1/$K$38)-1)*AE85)</f>
        <v/>
      </c>
      <c r="AF137" s="468">
        <f>AF135*(((1+$D$39)^(1/$K$38)-1)*AF85)</f>
        <v/>
      </c>
      <c r="AG137" s="468">
        <f>AG135*(((1+$D$39)^(1/$K$38)-1)*AG85)</f>
        <v/>
      </c>
      <c r="AH137" s="468">
        <f>AH135*(((1+$D$39)^(1/$K$38)-1)*AH85)</f>
        <v/>
      </c>
      <c r="AI137" s="468">
        <f>AI135*(((1+$D$39)^(1/$K$38)-1)*AI85)</f>
        <v/>
      </c>
      <c r="AJ137" s="468">
        <f>AJ135*(((1+$D$39)^(1/$K$38)-1)*AJ85)</f>
        <v/>
      </c>
      <c r="AK137" s="468">
        <f>AK135*(((1+$D$39)^(1/$K$38)-1)*AK85)</f>
        <v/>
      </c>
      <c r="AL137" s="468">
        <f>AL135*(((1+$D$39)^(1/$K$38)-1)*AL85)</f>
        <v/>
      </c>
      <c r="AM137" s="468">
        <f>AM135*(((1+$D$39)^(1/$K$38)-1)*AM85)</f>
        <v/>
      </c>
      <c r="AN137" s="468">
        <f>AN135*(((1+$D$39)^(1/$K$38)-1)*AN85)</f>
        <v/>
      </c>
      <c r="AO137" s="468">
        <f>AO135*(((1+$D$39)^(1/$K$38)-1)*AO85)</f>
        <v/>
      </c>
      <c r="AP137" s="468">
        <f>AP135*(((1+$D$39)^(1/$K$38)-1)*AP85)</f>
        <v/>
      </c>
      <c r="AQ137" s="468">
        <f>AQ135*(((1+$D$39)^(1/$K$38)-1)*AQ85)</f>
        <v/>
      </c>
      <c r="AR137" s="468">
        <f>AR135*(((1+$D$39)^(1/$K$38)-1)*AR85)</f>
        <v/>
      </c>
      <c r="AS137" s="468">
        <f>AS135*(((1+$D$39)^(1/$K$38)-1)*AS85)</f>
        <v/>
      </c>
      <c r="AT137" s="468">
        <f>AT135*(((1+$D$39)^(1/$K$38)-1)*AT85)</f>
        <v/>
      </c>
      <c r="AU137" s="468">
        <f>AU135*(((1+$D$39)^(1/$K$38)-1)*AU85)</f>
        <v/>
      </c>
      <c r="AV137" s="468">
        <f>AV135*(((1+$D$39)^(1/$K$38)-1)*AV85)</f>
        <v/>
      </c>
      <c r="AW137" s="468">
        <f>AW135*(((1+$D$39)^(1/$K$38)-1)*AW85)</f>
        <v/>
      </c>
      <c r="AX137" s="468">
        <f>AX135*(((1+$D$39)^(1/$K$38)-1)*AX85)</f>
        <v/>
      </c>
      <c r="AY137" s="468">
        <f>AY135*(((1+$D$39)^(1/$K$38)-1)*AY85)</f>
        <v/>
      </c>
      <c r="AZ137" s="468">
        <f>AZ135*(((1+$D$39)^(1/$K$38)-1)*AZ85)</f>
        <v/>
      </c>
      <c r="BA137" s="468">
        <f>BA135*(((1+$D$39)^(1/$K$38)-1)*BA85)</f>
        <v/>
      </c>
      <c r="BB137" s="468">
        <f>BB135*(((1+$D$39)^(1/$K$38)-1)*BB85)</f>
        <v/>
      </c>
      <c r="BC137" s="468">
        <f>BC135*(((1+$D$39)^(1/$K$38)-1)*BC85)</f>
        <v/>
      </c>
      <c r="BD137" s="468">
        <f>BD135*(((1+$D$39)^(1/$K$38)-1)*BD85)</f>
        <v/>
      </c>
      <c r="BE137" s="468">
        <f>BE135*(((1+$D$39)^(1/$K$38)-1)*BE85)</f>
        <v/>
      </c>
      <c r="BF137" s="468">
        <f>BF135*(((1+$D$39)^(1/$K$38)-1)*BF85)</f>
        <v/>
      </c>
      <c r="BG137" s="468">
        <f>BG135*(((1+$D$39)^(1/$K$38)-1)*BG85)</f>
        <v/>
      </c>
      <c r="BH137" s="468">
        <f>BH135*(((1+$D$39)^(1/$K$38)-1)*BH85)</f>
        <v/>
      </c>
      <c r="BI137" s="468">
        <f>BI135*(((1+$D$39)^(1/$K$38)-1)*BI85)</f>
        <v/>
      </c>
      <c r="BJ137" s="468">
        <f>BJ135*(((1+$D$39)^(1/$K$38)-1)*BJ85)</f>
        <v/>
      </c>
      <c r="BK137" s="468">
        <f>BK135*(((1+$D$39)^(1/$K$38)-1)*BK85)</f>
        <v/>
      </c>
      <c r="BL137" s="468">
        <f>BL135*(((1+$D$39)^(1/$K$38)-1)*BL85)</f>
        <v/>
      </c>
      <c r="BM137" s="468">
        <f>BM135*(((1+$D$39)^(1/$K$38)-1)*BM85)</f>
        <v/>
      </c>
      <c r="BN137" s="468">
        <f>BN135*(((1+$D$39)^(1/$K$38)-1)*BN85)</f>
        <v/>
      </c>
      <c r="BO137" s="468">
        <f>BO135*(((1+$D$39)^(1/$K$38)-1)*BO85)</f>
        <v/>
      </c>
      <c r="BP137" s="468">
        <f>BP135*(((1+$D$39)^(1/$K$38)-1)*BP85)</f>
        <v/>
      </c>
      <c r="BQ137" s="468">
        <f>BQ135*(((1+$D$39)^(1/$K$38)-1)*BQ85)</f>
        <v/>
      </c>
      <c r="BR137" s="468">
        <f>BR135*(((1+$D$39)^(1/$K$38)-1)*BR85)</f>
        <v/>
      </c>
      <c r="BS137" s="468">
        <f>BS135*(((1+$D$39)^(1/$K$38)-1)*BS85)</f>
        <v/>
      </c>
      <c r="BT137" s="468">
        <f>BT135*(((1+$D$39)^(1/$K$38)-1)*BT85)</f>
        <v/>
      </c>
      <c r="BU137" s="468">
        <f>BU135*(((1+$D$39)^(1/$K$38)-1)*BU85)</f>
        <v/>
      </c>
      <c r="BV137" s="468">
        <f>BV135*(((1+$D$39)^(1/$K$38)-1)*BV85)</f>
        <v/>
      </c>
      <c r="BW137" s="468">
        <f>BW135*(((1+$D$39)^(1/$K$38)-1)*BW85)</f>
        <v/>
      </c>
      <c r="BX137" s="468">
        <f>BX135*(((1+$D$39)^(1/$K$38)-1)*BX85)</f>
        <v/>
      </c>
      <c r="BY137" s="468">
        <f>BY135*(((1+$D$39)^(1/$K$38)-1)*BY85)</f>
        <v/>
      </c>
      <c r="BZ137" s="468">
        <f>BZ135*(((1+$D$39)^(1/$K$38)-1)*BZ85)</f>
        <v/>
      </c>
      <c r="CA137" s="468">
        <f>CA135*(((1+$D$39)^(1/$K$38)-1)*CA85)</f>
        <v/>
      </c>
      <c r="CB137" s="468">
        <f>CB135*(((1+$D$39)^(1/$K$38)-1)*CB85)</f>
        <v/>
      </c>
      <c r="CC137" s="468">
        <f>CC135*(((1+$D$39)^(1/$K$38)-1)*CC85)</f>
        <v/>
      </c>
      <c r="CD137" s="468">
        <f>CD135*(((1+$D$39)^(1/$K$38)-1)*CD85)</f>
        <v/>
      </c>
      <c r="CE137" s="468">
        <f>CE135*(((1+$D$39)^(1/$K$38)-1)*CE85)</f>
        <v/>
      </c>
      <c r="CF137" s="468">
        <f>CF135*(((1+$D$39)^(1/$K$38)-1)*CF85)</f>
        <v/>
      </c>
      <c r="CG137" s="468">
        <f>CG135*(((1+$D$39)^(1/$K$38)-1)*CG85)</f>
        <v/>
      </c>
      <c r="CH137" s="468">
        <f>CH135*(((1+$D$39)^(1/$K$38)-1)*CH85)</f>
        <v/>
      </c>
      <c r="CI137" s="468">
        <f>CI135*(((1+$D$39)^(1/$K$38)-1)*CI85)</f>
        <v/>
      </c>
      <c r="CJ137" s="468">
        <f>CJ135*(((1+$D$39)^(1/$K$38)-1)*CJ85)</f>
        <v/>
      </c>
      <c r="CK137" s="468">
        <f>CK135*(((1+$D$39)^(1/$K$38)-1)*CK85)</f>
        <v/>
      </c>
      <c r="CL137" s="468">
        <f>CL135*(((1+$D$39)^(1/$K$38)-1)*CL85)</f>
        <v/>
      </c>
      <c r="CM137" s="468">
        <f>CM135*(((1+$D$39)^(1/$K$38)-1)*CM85)</f>
        <v/>
      </c>
      <c r="CN137" s="468">
        <f>CN135*(((1+$D$39)^(1/$K$38)-1)*CN85)</f>
        <v/>
      </c>
      <c r="CO137" s="468">
        <f>CO135*(((1+$D$39)^(1/$K$38)-1)*CO85)</f>
        <v/>
      </c>
      <c r="CP137" s="468">
        <f>CP135*(((1+$D$39)^(1/$K$38)-1)*CP85)</f>
        <v/>
      </c>
      <c r="CQ137" s="468">
        <f>CQ135*(((1+$D$39)^(1/$K$38)-1)*CQ85)</f>
        <v/>
      </c>
      <c r="CR137" s="468">
        <f>CR135*(((1+$D$39)^(1/$K$38)-1)*CR85)</f>
        <v/>
      </c>
      <c r="CS137" s="468">
        <f>CS135*(((1+$D$39)^(1/$K$38)-1)*CS85)</f>
        <v/>
      </c>
      <c r="CT137" s="468">
        <f>CT135*(((1+$D$39)^(1/$K$38)-1)*CT85)</f>
        <v/>
      </c>
      <c r="CU137" s="468">
        <f>CU135*(((1+$D$39)^(1/$K$38)-1)*CU85)</f>
        <v/>
      </c>
      <c r="CV137" s="468">
        <f>CV135*(((1+$D$39)^(1/$K$38)-1)*CV85)</f>
        <v/>
      </c>
      <c r="CW137" s="468">
        <f>CW135*(((1+$D$39)^(1/$K$38)-1)*CW85)</f>
        <v/>
      </c>
      <c r="CX137" s="468">
        <f>CX135*(((1+$D$39)^(1/$K$38)-1)*CX85)</f>
        <v/>
      </c>
      <c r="CY137" s="468">
        <f>CY135*(((1+$D$39)^(1/$K$38)-1)*CY85)</f>
        <v/>
      </c>
      <c r="CZ137" s="468">
        <f>CZ135*(((1+$D$39)^(1/$K$38)-1)*CZ85)</f>
        <v/>
      </c>
      <c r="DA137" s="468">
        <f>DA135*(((1+$D$39)^(1/$K$38)-1)*DA85)</f>
        <v/>
      </c>
      <c r="DB137" s="468">
        <f>DB135*(((1+$D$39)^(1/$K$38)-1)*DB85)</f>
        <v/>
      </c>
      <c r="DC137" s="468">
        <f>DC135*(((1+$D$39)^(1/$K$38)-1)*DC85)</f>
        <v/>
      </c>
      <c r="DD137" s="468">
        <f>DD135*(((1+$D$39)^(1/$K$38)-1)*DD85)</f>
        <v/>
      </c>
      <c r="DE137" s="468">
        <f>DE135*(((1+$D$39)^(1/$K$38)-1)*DE85)</f>
        <v/>
      </c>
      <c r="DF137" s="468">
        <f>DF135*(((1+$D$39)^(1/$K$38)-1)*DF85)</f>
        <v/>
      </c>
      <c r="DG137" s="468">
        <f>DG135*(((1+$D$39)^(1/$K$38)-1)*DG85)</f>
        <v/>
      </c>
      <c r="DH137" s="468">
        <f>DH135*(((1+$D$39)^(1/$K$38)-1)*DH85)</f>
        <v/>
      </c>
      <c r="DI137" s="468">
        <f>DI135*(((1+$D$39)^(1/$K$38)-1)*DI85)</f>
        <v/>
      </c>
      <c r="DJ137" s="468">
        <f>DJ135*(((1+$D$39)^(1/$K$38)-1)*DJ85)</f>
        <v/>
      </c>
      <c r="DK137" s="468">
        <f>DK135*(((1+$D$39)^(1/$K$38)-1)*DK85)</f>
        <v/>
      </c>
      <c r="DL137" s="468">
        <f>DL135*(((1+$D$39)^(1/$K$38)-1)*DL85)</f>
        <v/>
      </c>
      <c r="DM137" s="468">
        <f>DM135*(((1+$D$39)^(1/$K$38)-1)*DM85)</f>
        <v/>
      </c>
      <c r="DN137" s="468">
        <f>DN135*(((1+$D$39)^(1/$K$38)-1)*DN85)</f>
        <v/>
      </c>
      <c r="DO137" s="468">
        <f>DO135*(((1+$D$39)^(1/$K$38)-1)*DO85)</f>
        <v/>
      </c>
      <c r="DP137" s="468">
        <f>DP135*(((1+$D$39)^(1/$K$38)-1)*DP85)</f>
        <v/>
      </c>
      <c r="DQ137" s="468">
        <f>DQ135*(((1+$D$39)^(1/$K$38)-1)*DQ85)</f>
        <v/>
      </c>
      <c r="DR137" s="468">
        <f>DR135*(((1+$D$39)^(1/$K$38)-1)*DR85)</f>
        <v/>
      </c>
      <c r="DS137" s="468">
        <f>DS135*(((1+$D$39)^(1/$K$38)-1)*DS85)</f>
        <v/>
      </c>
      <c r="DT137" s="468">
        <f>DT135*(((1+$D$39)^(1/$K$38)-1)*DT85)</f>
        <v/>
      </c>
      <c r="DU137" s="468">
        <f>DU135*(((1+$D$39)^(1/$K$38)-1)*DU85)</f>
        <v/>
      </c>
      <c r="DV137" s="468">
        <f>DV135*(((1+$D$39)^(1/$K$38)-1)*DV85)</f>
        <v/>
      </c>
      <c r="DW137" s="322" t="inlineStr">
        <is>
          <t>x</t>
        </is>
      </c>
    </row>
    <row r="138" hidden="1" outlineLevel="1">
      <c r="C138" s="682">
        <f>TEXT(D38,"0.0%")&amp;" Accrual / "&amp;TEXT(D96,"0.0x")&amp;" MOIC Distribution"</f>
        <v/>
      </c>
      <c r="D138" s="360" t="n"/>
      <c r="E138" s="463">
        <f>SUM(F138:BI138)</f>
        <v/>
      </c>
      <c r="F138" s="468" t="n">
        <v>0</v>
      </c>
      <c r="G138" s="468">
        <f>G103</f>
        <v/>
      </c>
      <c r="H138" s="468">
        <f>H103</f>
        <v/>
      </c>
      <c r="I138" s="468">
        <f>I103</f>
        <v/>
      </c>
      <c r="J138" s="468">
        <f>J103</f>
        <v/>
      </c>
      <c r="K138" s="468">
        <f>K103</f>
        <v/>
      </c>
      <c r="L138" s="468">
        <f>L103</f>
        <v/>
      </c>
      <c r="M138" s="468">
        <f>M103</f>
        <v/>
      </c>
      <c r="N138" s="468">
        <f>N103</f>
        <v/>
      </c>
      <c r="O138" s="468">
        <f>O103</f>
        <v/>
      </c>
      <c r="P138" s="468">
        <f>P103</f>
        <v/>
      </c>
      <c r="Q138" s="468">
        <f>Q103</f>
        <v/>
      </c>
      <c r="R138" s="468">
        <f>R103</f>
        <v/>
      </c>
      <c r="S138" s="468">
        <f>S103</f>
        <v/>
      </c>
      <c r="T138" s="468">
        <f>T103</f>
        <v/>
      </c>
      <c r="U138" s="468">
        <f>U103</f>
        <v/>
      </c>
      <c r="V138" s="468">
        <f>V103</f>
        <v/>
      </c>
      <c r="W138" s="468">
        <f>W103</f>
        <v/>
      </c>
      <c r="X138" s="468">
        <f>X103</f>
        <v/>
      </c>
      <c r="Y138" s="468">
        <f>Y103</f>
        <v/>
      </c>
      <c r="Z138" s="468">
        <f>Z103</f>
        <v/>
      </c>
      <c r="AA138" s="468">
        <f>AA103</f>
        <v/>
      </c>
      <c r="AB138" s="468">
        <f>AB103</f>
        <v/>
      </c>
      <c r="AC138" s="468">
        <f>AC103</f>
        <v/>
      </c>
      <c r="AD138" s="468">
        <f>AD103</f>
        <v/>
      </c>
      <c r="AE138" s="468">
        <f>AE103</f>
        <v/>
      </c>
      <c r="AF138" s="468">
        <f>AF103</f>
        <v/>
      </c>
      <c r="AG138" s="468">
        <f>AG103</f>
        <v/>
      </c>
      <c r="AH138" s="468">
        <f>AH103</f>
        <v/>
      </c>
      <c r="AI138" s="468">
        <f>AI103</f>
        <v/>
      </c>
      <c r="AJ138" s="468">
        <f>AJ103</f>
        <v/>
      </c>
      <c r="AK138" s="468">
        <f>AK103</f>
        <v/>
      </c>
      <c r="AL138" s="468">
        <f>AL103</f>
        <v/>
      </c>
      <c r="AM138" s="468">
        <f>AM103</f>
        <v/>
      </c>
      <c r="AN138" s="468">
        <f>AN103</f>
        <v/>
      </c>
      <c r="AO138" s="468">
        <f>AO103</f>
        <v/>
      </c>
      <c r="AP138" s="468">
        <f>AP103</f>
        <v/>
      </c>
      <c r="AQ138" s="468">
        <f>AQ103</f>
        <v/>
      </c>
      <c r="AR138" s="468">
        <f>AR103</f>
        <v/>
      </c>
      <c r="AS138" s="468">
        <f>AS103</f>
        <v/>
      </c>
      <c r="AT138" s="468">
        <f>AT103</f>
        <v/>
      </c>
      <c r="AU138" s="468">
        <f>AU103</f>
        <v/>
      </c>
      <c r="AV138" s="468">
        <f>AV103</f>
        <v/>
      </c>
      <c r="AW138" s="468">
        <f>AW103</f>
        <v/>
      </c>
      <c r="AX138" s="468">
        <f>AX103</f>
        <v/>
      </c>
      <c r="AY138" s="468">
        <f>AY103</f>
        <v/>
      </c>
      <c r="AZ138" s="468">
        <f>AZ103</f>
        <v/>
      </c>
      <c r="BA138" s="468">
        <f>BA103</f>
        <v/>
      </c>
      <c r="BB138" s="468">
        <f>BB103</f>
        <v/>
      </c>
      <c r="BC138" s="468">
        <f>BC103</f>
        <v/>
      </c>
      <c r="BD138" s="468">
        <f>BD103</f>
        <v/>
      </c>
      <c r="BE138" s="468">
        <f>BE103</f>
        <v/>
      </c>
      <c r="BF138" s="468">
        <f>BF103</f>
        <v/>
      </c>
      <c r="BG138" s="468">
        <f>BG103</f>
        <v/>
      </c>
      <c r="BH138" s="468">
        <f>BH103</f>
        <v/>
      </c>
      <c r="BI138" s="468">
        <f>BI103</f>
        <v/>
      </c>
      <c r="BJ138" s="468">
        <f>BJ103</f>
        <v/>
      </c>
      <c r="BK138" s="468">
        <f>BK103</f>
        <v/>
      </c>
      <c r="BL138" s="468">
        <f>BL103</f>
        <v/>
      </c>
      <c r="BM138" s="468">
        <f>BM103</f>
        <v/>
      </c>
      <c r="BN138" s="468">
        <f>BN103</f>
        <v/>
      </c>
      <c r="BO138" s="468">
        <f>BO103</f>
        <v/>
      </c>
      <c r="BP138" s="468">
        <f>BP103</f>
        <v/>
      </c>
      <c r="BQ138" s="468">
        <f>BQ103</f>
        <v/>
      </c>
      <c r="BR138" s="468">
        <f>BR103</f>
        <v/>
      </c>
      <c r="BS138" s="468">
        <f>BS103</f>
        <v/>
      </c>
      <c r="BT138" s="468">
        <f>BT103</f>
        <v/>
      </c>
      <c r="BU138" s="468">
        <f>BU103</f>
        <v/>
      </c>
      <c r="BV138" s="468">
        <f>BV103</f>
        <v/>
      </c>
      <c r="BW138" s="468">
        <f>BW103</f>
        <v/>
      </c>
      <c r="BX138" s="468">
        <f>BX103</f>
        <v/>
      </c>
      <c r="BY138" s="468">
        <f>BY103</f>
        <v/>
      </c>
      <c r="BZ138" s="468">
        <f>BZ103</f>
        <v/>
      </c>
      <c r="CA138" s="468">
        <f>CA103</f>
        <v/>
      </c>
      <c r="CB138" s="468">
        <f>CB103</f>
        <v/>
      </c>
      <c r="CC138" s="468">
        <f>CC103</f>
        <v/>
      </c>
      <c r="CD138" s="468">
        <f>CD103</f>
        <v/>
      </c>
      <c r="CE138" s="468">
        <f>CE103</f>
        <v/>
      </c>
      <c r="CF138" s="468">
        <f>CF103</f>
        <v/>
      </c>
      <c r="CG138" s="468">
        <f>CG103</f>
        <v/>
      </c>
      <c r="CH138" s="468">
        <f>CH103</f>
        <v/>
      </c>
      <c r="CI138" s="468">
        <f>CI103</f>
        <v/>
      </c>
      <c r="CJ138" s="468">
        <f>CJ103</f>
        <v/>
      </c>
      <c r="CK138" s="468">
        <f>CK103</f>
        <v/>
      </c>
      <c r="CL138" s="468">
        <f>CL103</f>
        <v/>
      </c>
      <c r="CM138" s="468">
        <f>CM103</f>
        <v/>
      </c>
      <c r="CN138" s="468">
        <f>CN103</f>
        <v/>
      </c>
      <c r="CO138" s="468">
        <f>CO103</f>
        <v/>
      </c>
      <c r="CP138" s="468">
        <f>CP103</f>
        <v/>
      </c>
      <c r="CQ138" s="468">
        <f>CQ103</f>
        <v/>
      </c>
      <c r="CR138" s="468">
        <f>CR103</f>
        <v/>
      </c>
      <c r="CS138" s="468">
        <f>CS103</f>
        <v/>
      </c>
      <c r="CT138" s="468">
        <f>CT103</f>
        <v/>
      </c>
      <c r="CU138" s="468">
        <f>CU103</f>
        <v/>
      </c>
      <c r="CV138" s="468">
        <f>CV103</f>
        <v/>
      </c>
      <c r="CW138" s="468">
        <f>CW103</f>
        <v/>
      </c>
      <c r="CX138" s="468">
        <f>CX103</f>
        <v/>
      </c>
      <c r="CY138" s="468">
        <f>CY103</f>
        <v/>
      </c>
      <c r="CZ138" s="468">
        <f>CZ103</f>
        <v/>
      </c>
      <c r="DA138" s="468">
        <f>DA103</f>
        <v/>
      </c>
      <c r="DB138" s="468">
        <f>DB103</f>
        <v/>
      </c>
      <c r="DC138" s="468">
        <f>DC103</f>
        <v/>
      </c>
      <c r="DD138" s="468">
        <f>DD103</f>
        <v/>
      </c>
      <c r="DE138" s="468">
        <f>DE103</f>
        <v/>
      </c>
      <c r="DF138" s="468">
        <f>DF103</f>
        <v/>
      </c>
      <c r="DG138" s="468">
        <f>DG103</f>
        <v/>
      </c>
      <c r="DH138" s="468">
        <f>DH103</f>
        <v/>
      </c>
      <c r="DI138" s="468">
        <f>DI103</f>
        <v/>
      </c>
      <c r="DJ138" s="468">
        <f>DJ103</f>
        <v/>
      </c>
      <c r="DK138" s="468">
        <f>DK103</f>
        <v/>
      </c>
      <c r="DL138" s="468">
        <f>DL103</f>
        <v/>
      </c>
      <c r="DM138" s="468">
        <f>DM103</f>
        <v/>
      </c>
      <c r="DN138" s="468">
        <f>DN103</f>
        <v/>
      </c>
      <c r="DO138" s="468">
        <f>DO103</f>
        <v/>
      </c>
      <c r="DP138" s="468">
        <f>DP103</f>
        <v/>
      </c>
      <c r="DQ138" s="468">
        <f>DQ103</f>
        <v/>
      </c>
      <c r="DR138" s="468">
        <f>DR103</f>
        <v/>
      </c>
      <c r="DS138" s="468">
        <f>DS103</f>
        <v/>
      </c>
      <c r="DT138" s="468">
        <f>DT103</f>
        <v/>
      </c>
      <c r="DU138" s="468">
        <f>DU103</f>
        <v/>
      </c>
      <c r="DV138" s="468">
        <f>DV103</f>
        <v/>
      </c>
      <c r="DW138" s="322" t="inlineStr">
        <is>
          <t>x</t>
        </is>
      </c>
    </row>
    <row r="139" hidden="1" outlineLevel="1">
      <c r="C139" s="682">
        <f>TEXT(D39,"0.00%")&amp;" Accrual Distribution"</f>
        <v/>
      </c>
      <c r="D139" s="360" t="n"/>
      <c r="E139" s="463">
        <f>SUM(F139:BI139)</f>
        <v/>
      </c>
      <c r="F139" s="468" t="n">
        <v>0</v>
      </c>
      <c r="G139" s="468">
        <f>-MIN(G130*$D$157,SUM(G135:G138))</f>
        <v/>
      </c>
      <c r="H139" s="468">
        <f>-MIN(H130*$D$157,SUM(H135:H138))</f>
        <v/>
      </c>
      <c r="I139" s="468">
        <f>-MIN(I130*$D$157,SUM(I135:I138))</f>
        <v/>
      </c>
      <c r="J139" s="468">
        <f>-MIN(J130*$D$157,SUM(J135:J138))</f>
        <v/>
      </c>
      <c r="K139" s="468">
        <f>-MIN(K130*$D$157,SUM(K135:K138))</f>
        <v/>
      </c>
      <c r="L139" s="468">
        <f>-MIN(L130*$D$157,SUM(L135:L138))</f>
        <v/>
      </c>
      <c r="M139" s="468">
        <f>-MIN(M130*$D$157,SUM(M135:M138))</f>
        <v/>
      </c>
      <c r="N139" s="468">
        <f>-MIN(N130*$D$157,SUM(N135:N138))</f>
        <v/>
      </c>
      <c r="O139" s="468">
        <f>-MIN(O130*$D$157,SUM(O135:O138))</f>
        <v/>
      </c>
      <c r="P139" s="468">
        <f>-MIN(P130*$D$157,SUM(P135:P138))</f>
        <v/>
      </c>
      <c r="Q139" s="468">
        <f>-MIN(Q130*$D$157,SUM(Q135:Q138))</f>
        <v/>
      </c>
      <c r="R139" s="468">
        <f>-MIN(R130*$D$157,SUM(R135:R138))</f>
        <v/>
      </c>
      <c r="S139" s="468">
        <f>-MIN(S130*$D$157,SUM(S135:S138))</f>
        <v/>
      </c>
      <c r="T139" s="468">
        <f>-MIN(T130*$D$157,SUM(T135:T138))</f>
        <v/>
      </c>
      <c r="U139" s="468">
        <f>-MIN(U130*$D$157,SUM(U135:U138))</f>
        <v/>
      </c>
      <c r="V139" s="468">
        <f>-MIN(V130*$D$157,SUM(V135:V138))</f>
        <v/>
      </c>
      <c r="W139" s="468">
        <f>-MIN(W130*$D$157,SUM(W135:W138))</f>
        <v/>
      </c>
      <c r="X139" s="468">
        <f>-MIN(X130*$D$157,SUM(X135:X138))</f>
        <v/>
      </c>
      <c r="Y139" s="468">
        <f>-MIN(Y130*$D$157,SUM(Y135:Y138))</f>
        <v/>
      </c>
      <c r="Z139" s="468">
        <f>-MIN(Z130*$D$157,SUM(Z135:Z138))</f>
        <v/>
      </c>
      <c r="AA139" s="468">
        <f>-MIN(AA130*$D$157,SUM(AA135:AA138))</f>
        <v/>
      </c>
      <c r="AB139" s="468">
        <f>-MIN(AB130*$D$157,SUM(AB135:AB138))</f>
        <v/>
      </c>
      <c r="AC139" s="468">
        <f>-MIN(AC130*$D$157,SUM(AC135:AC138))</f>
        <v/>
      </c>
      <c r="AD139" s="468">
        <f>-MIN(AD130*$D$157,SUM(AD135:AD138))</f>
        <v/>
      </c>
      <c r="AE139" s="468">
        <f>-MIN(AE130*$D$157,SUM(AE135:AE138))</f>
        <v/>
      </c>
      <c r="AF139" s="468">
        <f>-MIN(AF130*$D$157,SUM(AF135:AF138))</f>
        <v/>
      </c>
      <c r="AG139" s="468">
        <f>-MIN(AG130*$D$157,SUM(AG135:AG138))</f>
        <v/>
      </c>
      <c r="AH139" s="468">
        <f>-MIN(AH130*$D$157,SUM(AH135:AH138))</f>
        <v/>
      </c>
      <c r="AI139" s="468">
        <f>-MIN(AI130*$D$157,SUM(AI135:AI138))</f>
        <v/>
      </c>
      <c r="AJ139" s="468">
        <f>-MIN(AJ130*$D$157,SUM(AJ135:AJ138))</f>
        <v/>
      </c>
      <c r="AK139" s="468">
        <f>-MIN(AK130*$D$157,SUM(AK135:AK138))</f>
        <v/>
      </c>
      <c r="AL139" s="468">
        <f>-MIN(AL130*$D$157,SUM(AL135:AL138))</f>
        <v/>
      </c>
      <c r="AM139" s="468">
        <f>-MIN(AM130*$D$157,SUM(AM135:AM138))</f>
        <v/>
      </c>
      <c r="AN139" s="468">
        <f>-MIN(AN130*$D$157,SUM(AN135:AN138))</f>
        <v/>
      </c>
      <c r="AO139" s="468">
        <f>-MIN(AO130*$D$157,SUM(AO135:AO138))</f>
        <v/>
      </c>
      <c r="AP139" s="468">
        <f>-MIN(AP130*$D$157,SUM(AP135:AP138))</f>
        <v/>
      </c>
      <c r="AQ139" s="468">
        <f>-MIN(AQ130*$D$157,SUM(AQ135:AQ138))</f>
        <v/>
      </c>
      <c r="AR139" s="468">
        <f>-MIN(AR130*$D$157,SUM(AR135:AR138))</f>
        <v/>
      </c>
      <c r="AS139" s="468">
        <f>-MIN(AS130*$D$157,SUM(AS135:AS138))</f>
        <v/>
      </c>
      <c r="AT139" s="468">
        <f>-MIN(AT130*$D$157,SUM(AT135:AT138))</f>
        <v/>
      </c>
      <c r="AU139" s="468">
        <f>-MIN(AU130*$D$157,SUM(AU135:AU138))</f>
        <v/>
      </c>
      <c r="AV139" s="468">
        <f>-MIN(AV130*$D$157,SUM(AV135:AV138))</f>
        <v/>
      </c>
      <c r="AW139" s="468">
        <f>-MIN(AW130*$D$157,SUM(AW135:AW138))</f>
        <v/>
      </c>
      <c r="AX139" s="468">
        <f>-MIN(AX130*$D$157,SUM(AX135:AX138))</f>
        <v/>
      </c>
      <c r="AY139" s="468">
        <f>-MIN(AY130*$D$157,SUM(AY135:AY138))</f>
        <v/>
      </c>
      <c r="AZ139" s="468">
        <f>-MIN(AZ130*$D$157,SUM(AZ135:AZ138))</f>
        <v/>
      </c>
      <c r="BA139" s="468">
        <f>-MIN(BA130*$D$157,SUM(BA135:BA138))</f>
        <v/>
      </c>
      <c r="BB139" s="468">
        <f>-MIN(BB130*$D$157,SUM(BB135:BB138))</f>
        <v/>
      </c>
      <c r="BC139" s="468">
        <f>-MIN(BC130*$D$157,SUM(BC135:BC138))</f>
        <v/>
      </c>
      <c r="BD139" s="468">
        <f>-MIN(BD130*$D$157,SUM(BD135:BD138))</f>
        <v/>
      </c>
      <c r="BE139" s="468">
        <f>-MIN(BE130*$D$157,SUM(BE135:BE138))</f>
        <v/>
      </c>
      <c r="BF139" s="468">
        <f>-MIN(BF130*$D$157,SUM(BF135:BF138))</f>
        <v/>
      </c>
      <c r="BG139" s="468">
        <f>-MIN(BG130*$D$157,SUM(BG135:BG138))</f>
        <v/>
      </c>
      <c r="BH139" s="468">
        <f>-MIN(BH130*$D$157,SUM(BH135:BH138))</f>
        <v/>
      </c>
      <c r="BI139" s="468">
        <f>-MIN(BI130*$D$157,SUM(BI135:BI138))</f>
        <v/>
      </c>
      <c r="BJ139" s="468">
        <f>-MIN(BJ130*$D$157,SUM(BJ135:BJ138))</f>
        <v/>
      </c>
      <c r="BK139" s="468">
        <f>-MIN(BK130*$D$157,SUM(BK135:BK138))</f>
        <v/>
      </c>
      <c r="BL139" s="468">
        <f>-MIN(BL130*$D$157,SUM(BL135:BL138))</f>
        <v/>
      </c>
      <c r="BM139" s="468">
        <f>-MIN(BM130*$D$157,SUM(BM135:BM138))</f>
        <v/>
      </c>
      <c r="BN139" s="468">
        <f>-MIN(BN130*$D$157,SUM(BN135:BN138))</f>
        <v/>
      </c>
      <c r="BO139" s="468">
        <f>-MIN(BO130*$D$157,SUM(BO135:BO138))</f>
        <v/>
      </c>
      <c r="BP139" s="468">
        <f>-MIN(BP130*$D$157,SUM(BP135:BP138))</f>
        <v/>
      </c>
      <c r="BQ139" s="468">
        <f>-MIN(BQ130*$D$157,SUM(BQ135:BQ138))</f>
        <v/>
      </c>
      <c r="BR139" s="468">
        <f>-MIN(BR130*$D$157,SUM(BR135:BR138))</f>
        <v/>
      </c>
      <c r="BS139" s="468">
        <f>-MIN(BS130*$D$157,SUM(BS135:BS138))</f>
        <v/>
      </c>
      <c r="BT139" s="468">
        <f>-MIN(BT130*$D$157,SUM(BT135:BT138))</f>
        <v/>
      </c>
      <c r="BU139" s="468">
        <f>-MIN(BU130*$D$157,SUM(BU135:BU138))</f>
        <v/>
      </c>
      <c r="BV139" s="468">
        <f>-MIN(BV130*$D$157,SUM(BV135:BV138))</f>
        <v/>
      </c>
      <c r="BW139" s="468">
        <f>-MIN(BW130*$D$157,SUM(BW135:BW138))</f>
        <v/>
      </c>
      <c r="BX139" s="468">
        <f>-MIN(BX130*$D$157,SUM(BX135:BX138))</f>
        <v/>
      </c>
      <c r="BY139" s="468">
        <f>-MIN(BY130*$D$157,SUM(BY135:BY138))</f>
        <v/>
      </c>
      <c r="BZ139" s="468">
        <f>-MIN(BZ130*$D$157,SUM(BZ135:BZ138))</f>
        <v/>
      </c>
      <c r="CA139" s="468">
        <f>-MIN(CA130*$D$157,SUM(CA135:CA138))</f>
        <v/>
      </c>
      <c r="CB139" s="468">
        <f>-MIN(CB130*$D$157,SUM(CB135:CB138))</f>
        <v/>
      </c>
      <c r="CC139" s="468">
        <f>-MIN(CC130*$D$157,SUM(CC135:CC138))</f>
        <v/>
      </c>
      <c r="CD139" s="468">
        <f>-MIN(CD130*$D$157,SUM(CD135:CD138))</f>
        <v/>
      </c>
      <c r="CE139" s="468">
        <f>-MIN(CE130*$D$157,SUM(CE135:CE138))</f>
        <v/>
      </c>
      <c r="CF139" s="468">
        <f>-MIN(CF130*$D$157,SUM(CF135:CF138))</f>
        <v/>
      </c>
      <c r="CG139" s="468">
        <f>-MIN(CG130*$D$157,SUM(CG135:CG138))</f>
        <v/>
      </c>
      <c r="CH139" s="468">
        <f>-MIN(CH130*$D$157,SUM(CH135:CH138))</f>
        <v/>
      </c>
      <c r="CI139" s="468">
        <f>-MIN(CI130*$D$157,SUM(CI135:CI138))</f>
        <v/>
      </c>
      <c r="CJ139" s="468">
        <f>-MIN(CJ130*$D$157,SUM(CJ135:CJ138))</f>
        <v/>
      </c>
      <c r="CK139" s="468">
        <f>-MIN(CK130*$D$157,SUM(CK135:CK138))</f>
        <v/>
      </c>
      <c r="CL139" s="468">
        <f>-MIN(CL130*$D$157,SUM(CL135:CL138))</f>
        <v/>
      </c>
      <c r="CM139" s="468">
        <f>-MIN(CM130*$D$157,SUM(CM135:CM138))</f>
        <v/>
      </c>
      <c r="CN139" s="468">
        <f>-MIN(CN130*$D$157,SUM(CN135:CN138))</f>
        <v/>
      </c>
      <c r="CO139" s="468">
        <f>-MIN(CO130*$D$157,SUM(CO135:CO138))</f>
        <v/>
      </c>
      <c r="CP139" s="468">
        <f>-MIN(CP130*$D$157,SUM(CP135:CP138))</f>
        <v/>
      </c>
      <c r="CQ139" s="468">
        <f>-MIN(CQ130*$D$157,SUM(CQ135:CQ138))</f>
        <v/>
      </c>
      <c r="CR139" s="468">
        <f>-MIN(CR130*$D$157,SUM(CR135:CR138))</f>
        <v/>
      </c>
      <c r="CS139" s="468">
        <f>-MIN(CS130*$D$157,SUM(CS135:CS138))</f>
        <v/>
      </c>
      <c r="CT139" s="468">
        <f>-MIN(CT130*$D$157,SUM(CT135:CT138))</f>
        <v/>
      </c>
      <c r="CU139" s="468">
        <f>-MIN(CU130*$D$157,SUM(CU135:CU138))</f>
        <v/>
      </c>
      <c r="CV139" s="468">
        <f>-MIN(CV130*$D$157,SUM(CV135:CV138))</f>
        <v/>
      </c>
      <c r="CW139" s="468">
        <f>-MIN(CW130*$D$157,SUM(CW135:CW138))</f>
        <v/>
      </c>
      <c r="CX139" s="468">
        <f>-MIN(CX130*$D$157,SUM(CX135:CX138))</f>
        <v/>
      </c>
      <c r="CY139" s="468">
        <f>-MIN(CY130*$D$157,SUM(CY135:CY138))</f>
        <v/>
      </c>
      <c r="CZ139" s="468">
        <f>-MIN(CZ130*$D$157,SUM(CZ135:CZ138))</f>
        <v/>
      </c>
      <c r="DA139" s="468">
        <f>-MIN(DA130*$D$157,SUM(DA135:DA138))</f>
        <v/>
      </c>
      <c r="DB139" s="468">
        <f>-MIN(DB130*$D$157,SUM(DB135:DB138))</f>
        <v/>
      </c>
      <c r="DC139" s="468">
        <f>-MIN(DC130*$D$157,SUM(DC135:DC138))</f>
        <v/>
      </c>
      <c r="DD139" s="468">
        <f>-MIN(DD130*$D$157,SUM(DD135:DD138))</f>
        <v/>
      </c>
      <c r="DE139" s="468">
        <f>-MIN(DE130*$D$157,SUM(DE135:DE138))</f>
        <v/>
      </c>
      <c r="DF139" s="468">
        <f>-MIN(DF130*$D$157,SUM(DF135:DF138))</f>
        <v/>
      </c>
      <c r="DG139" s="468">
        <f>-MIN(DG130*$D$157,SUM(DG135:DG138))</f>
        <v/>
      </c>
      <c r="DH139" s="468">
        <f>-MIN(DH130*$D$157,SUM(DH135:DH138))</f>
        <v/>
      </c>
      <c r="DI139" s="468">
        <f>-MIN(DI130*$D$157,SUM(DI135:DI138))</f>
        <v/>
      </c>
      <c r="DJ139" s="468">
        <f>-MIN(DJ130*$D$157,SUM(DJ135:DJ138))</f>
        <v/>
      </c>
      <c r="DK139" s="468">
        <f>-MIN(DK130*$D$157,SUM(DK135:DK138))</f>
        <v/>
      </c>
      <c r="DL139" s="468">
        <f>-MIN(DL130*$D$157,SUM(DL135:DL138))</f>
        <v/>
      </c>
      <c r="DM139" s="468">
        <f>-MIN(DM130*$D$157,SUM(DM135:DM138))</f>
        <v/>
      </c>
      <c r="DN139" s="468">
        <f>-MIN(DN130*$D$157,SUM(DN135:DN138))</f>
        <v/>
      </c>
      <c r="DO139" s="468">
        <f>-MIN(DO130*$D$157,SUM(DO135:DO138))</f>
        <v/>
      </c>
      <c r="DP139" s="468">
        <f>-MIN(DP130*$D$157,SUM(DP135:DP138))</f>
        <v/>
      </c>
      <c r="DQ139" s="468">
        <f>-MIN(DQ130*$D$157,SUM(DQ135:DQ138))</f>
        <v/>
      </c>
      <c r="DR139" s="468">
        <f>-MIN(DR130*$D$157,SUM(DR135:DR138))</f>
        <v/>
      </c>
      <c r="DS139" s="468">
        <f>-MIN(DS130*$D$157,SUM(DS135:DS138))</f>
        <v/>
      </c>
      <c r="DT139" s="468">
        <f>-MIN(DT130*$D$157,SUM(DT135:DT138))</f>
        <v/>
      </c>
      <c r="DU139" s="468">
        <f>-MIN(DU130*$D$157,SUM(DU135:DU138))</f>
        <v/>
      </c>
      <c r="DV139" s="468">
        <f>-MIN(DV130*$D$157,SUM(DV135:DV138))</f>
        <v/>
      </c>
      <c r="DW139" s="322" t="inlineStr">
        <is>
          <t>x</t>
        </is>
      </c>
    </row>
    <row r="140" hidden="1" outlineLevel="1" ht="17.25" customHeight="1" thickBot="1">
      <c r="C140" s="490" t="inlineStr">
        <is>
          <t>Ending Balance</t>
        </is>
      </c>
      <c r="D140" s="360" t="n"/>
      <c r="E140" s="658">
        <f>SUM(E136:E139)</f>
        <v/>
      </c>
      <c r="F140" s="658">
        <f>SUM(F135:F139)</f>
        <v/>
      </c>
      <c r="G140" s="658">
        <f>SUM(G135:G139)</f>
        <v/>
      </c>
      <c r="H140" s="658">
        <f>SUM(H135:H139)</f>
        <v/>
      </c>
      <c r="I140" s="658">
        <f>SUM(I135:I139)</f>
        <v/>
      </c>
      <c r="J140" s="658">
        <f>SUM(J135:J139)</f>
        <v/>
      </c>
      <c r="K140" s="658">
        <f>SUM(K135:K139)</f>
        <v/>
      </c>
      <c r="L140" s="658">
        <f>SUM(L135:L139)</f>
        <v/>
      </c>
      <c r="M140" s="658">
        <f>SUM(M135:M139)</f>
        <v/>
      </c>
      <c r="N140" s="658">
        <f>SUM(N135:N139)</f>
        <v/>
      </c>
      <c r="O140" s="658">
        <f>SUM(O135:O139)</f>
        <v/>
      </c>
      <c r="P140" s="658">
        <f>SUM(P135:P139)</f>
        <v/>
      </c>
      <c r="Q140" s="658">
        <f>SUM(Q135:Q139)</f>
        <v/>
      </c>
      <c r="R140" s="658">
        <f>SUM(R135:R139)</f>
        <v/>
      </c>
      <c r="S140" s="658">
        <f>SUM(S135:S139)</f>
        <v/>
      </c>
      <c r="T140" s="658">
        <f>SUM(T135:T139)</f>
        <v/>
      </c>
      <c r="U140" s="658">
        <f>SUM(U135:U139)</f>
        <v/>
      </c>
      <c r="V140" s="658">
        <f>SUM(V135:V139)</f>
        <v/>
      </c>
      <c r="W140" s="658">
        <f>SUM(W135:W139)</f>
        <v/>
      </c>
      <c r="X140" s="658">
        <f>SUM(X135:X139)</f>
        <v/>
      </c>
      <c r="Y140" s="658">
        <f>SUM(Y135:Y139)</f>
        <v/>
      </c>
      <c r="Z140" s="658">
        <f>SUM(Z135:Z139)</f>
        <v/>
      </c>
      <c r="AA140" s="658">
        <f>SUM(AA135:AA139)</f>
        <v/>
      </c>
      <c r="AB140" s="658">
        <f>SUM(AB135:AB139)</f>
        <v/>
      </c>
      <c r="AC140" s="658">
        <f>SUM(AC135:AC139)</f>
        <v/>
      </c>
      <c r="AD140" s="658">
        <f>SUM(AD135:AD139)</f>
        <v/>
      </c>
      <c r="AE140" s="658">
        <f>SUM(AE135:AE139)</f>
        <v/>
      </c>
      <c r="AF140" s="658">
        <f>SUM(AF135:AF139)</f>
        <v/>
      </c>
      <c r="AG140" s="658">
        <f>SUM(AG135:AG139)</f>
        <v/>
      </c>
      <c r="AH140" s="658">
        <f>SUM(AH135:AH139)</f>
        <v/>
      </c>
      <c r="AI140" s="658">
        <f>SUM(AI135:AI139)</f>
        <v/>
      </c>
      <c r="AJ140" s="658">
        <f>SUM(AJ135:AJ139)</f>
        <v/>
      </c>
      <c r="AK140" s="658">
        <f>SUM(AK135:AK139)</f>
        <v/>
      </c>
      <c r="AL140" s="658">
        <f>SUM(AL135:AL139)</f>
        <v/>
      </c>
      <c r="AM140" s="658">
        <f>SUM(AM135:AM139)</f>
        <v/>
      </c>
      <c r="AN140" s="658">
        <f>SUM(AN135:AN139)</f>
        <v/>
      </c>
      <c r="AO140" s="658">
        <f>SUM(AO135:AO139)</f>
        <v/>
      </c>
      <c r="AP140" s="658">
        <f>SUM(AP135:AP139)</f>
        <v/>
      </c>
      <c r="AQ140" s="658">
        <f>SUM(AQ135:AQ139)</f>
        <v/>
      </c>
      <c r="AR140" s="658">
        <f>SUM(AR135:AR139)</f>
        <v/>
      </c>
      <c r="AS140" s="658">
        <f>SUM(AS135:AS139)</f>
        <v/>
      </c>
      <c r="AT140" s="658">
        <f>SUM(AT135:AT139)</f>
        <v/>
      </c>
      <c r="AU140" s="658">
        <f>SUM(AU135:AU139)</f>
        <v/>
      </c>
      <c r="AV140" s="658">
        <f>SUM(AV135:AV139)</f>
        <v/>
      </c>
      <c r="AW140" s="658">
        <f>SUM(AW135:AW139)</f>
        <v/>
      </c>
      <c r="AX140" s="658">
        <f>SUM(AX135:AX139)</f>
        <v/>
      </c>
      <c r="AY140" s="658">
        <f>SUM(AY135:AY139)</f>
        <v/>
      </c>
      <c r="AZ140" s="658">
        <f>SUM(AZ135:AZ139)</f>
        <v/>
      </c>
      <c r="BA140" s="658">
        <f>SUM(BA135:BA139)</f>
        <v/>
      </c>
      <c r="BB140" s="658">
        <f>SUM(BB135:BB139)</f>
        <v/>
      </c>
      <c r="BC140" s="658">
        <f>SUM(BC135:BC139)</f>
        <v/>
      </c>
      <c r="BD140" s="658">
        <f>SUM(BD135:BD139)</f>
        <v/>
      </c>
      <c r="BE140" s="658">
        <f>SUM(BE135:BE139)</f>
        <v/>
      </c>
      <c r="BF140" s="658">
        <f>SUM(BF135:BF139)</f>
        <v/>
      </c>
      <c r="BG140" s="658">
        <f>SUM(BG135:BG139)</f>
        <v/>
      </c>
      <c r="BH140" s="658">
        <f>SUM(BH135:BH139)</f>
        <v/>
      </c>
      <c r="BI140" s="658">
        <f>SUM(BI135:BI139)</f>
        <v/>
      </c>
      <c r="BJ140" s="658">
        <f>SUM(BJ135:BJ139)</f>
        <v/>
      </c>
      <c r="BK140" s="658">
        <f>SUM(BK135:BK139)</f>
        <v/>
      </c>
      <c r="BL140" s="658">
        <f>SUM(BL135:BL139)</f>
        <v/>
      </c>
      <c r="BM140" s="658">
        <f>SUM(BM135:BM139)</f>
        <v/>
      </c>
      <c r="BN140" s="658">
        <f>SUM(BN135:BN139)</f>
        <v/>
      </c>
      <c r="BO140" s="658">
        <f>SUM(BO135:BO139)</f>
        <v/>
      </c>
      <c r="BP140" s="658">
        <f>SUM(BP135:BP139)</f>
        <v/>
      </c>
      <c r="BQ140" s="658">
        <f>SUM(BQ135:BQ139)</f>
        <v/>
      </c>
      <c r="BR140" s="658">
        <f>SUM(BR135:BR139)</f>
        <v/>
      </c>
      <c r="BS140" s="658">
        <f>SUM(BS135:BS139)</f>
        <v/>
      </c>
      <c r="BT140" s="658">
        <f>SUM(BT135:BT139)</f>
        <v/>
      </c>
      <c r="BU140" s="658">
        <f>SUM(BU135:BU139)</f>
        <v/>
      </c>
      <c r="BV140" s="658">
        <f>SUM(BV135:BV139)</f>
        <v/>
      </c>
      <c r="BW140" s="658">
        <f>SUM(BW135:BW139)</f>
        <v/>
      </c>
      <c r="BX140" s="658">
        <f>SUM(BX135:BX139)</f>
        <v/>
      </c>
      <c r="BY140" s="658">
        <f>SUM(BY135:BY139)</f>
        <v/>
      </c>
      <c r="BZ140" s="658">
        <f>SUM(BZ135:BZ139)</f>
        <v/>
      </c>
      <c r="CA140" s="658">
        <f>SUM(CA135:CA139)</f>
        <v/>
      </c>
      <c r="CB140" s="658">
        <f>SUM(CB135:CB139)</f>
        <v/>
      </c>
      <c r="CC140" s="658">
        <f>SUM(CC135:CC139)</f>
        <v/>
      </c>
      <c r="CD140" s="658">
        <f>SUM(CD135:CD139)</f>
        <v/>
      </c>
      <c r="CE140" s="658">
        <f>SUM(CE135:CE139)</f>
        <v/>
      </c>
      <c r="CF140" s="658">
        <f>SUM(CF135:CF139)</f>
        <v/>
      </c>
      <c r="CG140" s="658">
        <f>SUM(CG135:CG139)</f>
        <v/>
      </c>
      <c r="CH140" s="658">
        <f>SUM(CH135:CH139)</f>
        <v/>
      </c>
      <c r="CI140" s="658">
        <f>SUM(CI135:CI139)</f>
        <v/>
      </c>
      <c r="CJ140" s="658">
        <f>SUM(CJ135:CJ139)</f>
        <v/>
      </c>
      <c r="CK140" s="658">
        <f>SUM(CK135:CK139)</f>
        <v/>
      </c>
      <c r="CL140" s="658">
        <f>SUM(CL135:CL139)</f>
        <v/>
      </c>
      <c r="CM140" s="658">
        <f>SUM(CM135:CM139)</f>
        <v/>
      </c>
      <c r="CN140" s="658">
        <f>SUM(CN135:CN139)</f>
        <v/>
      </c>
      <c r="CO140" s="658">
        <f>SUM(CO135:CO139)</f>
        <v/>
      </c>
      <c r="CP140" s="658">
        <f>SUM(CP135:CP139)</f>
        <v/>
      </c>
      <c r="CQ140" s="658">
        <f>SUM(CQ135:CQ139)</f>
        <v/>
      </c>
      <c r="CR140" s="658">
        <f>SUM(CR135:CR139)</f>
        <v/>
      </c>
      <c r="CS140" s="658">
        <f>SUM(CS135:CS139)</f>
        <v/>
      </c>
      <c r="CT140" s="658">
        <f>SUM(CT135:CT139)</f>
        <v/>
      </c>
      <c r="CU140" s="658">
        <f>SUM(CU135:CU139)</f>
        <v/>
      </c>
      <c r="CV140" s="658">
        <f>SUM(CV135:CV139)</f>
        <v/>
      </c>
      <c r="CW140" s="658">
        <f>SUM(CW135:CW139)</f>
        <v/>
      </c>
      <c r="CX140" s="658">
        <f>SUM(CX135:CX139)</f>
        <v/>
      </c>
      <c r="CY140" s="658">
        <f>SUM(CY135:CY139)</f>
        <v/>
      </c>
      <c r="CZ140" s="658">
        <f>SUM(CZ135:CZ139)</f>
        <v/>
      </c>
      <c r="DA140" s="658">
        <f>SUM(DA135:DA139)</f>
        <v/>
      </c>
      <c r="DB140" s="658">
        <f>SUM(DB135:DB139)</f>
        <v/>
      </c>
      <c r="DC140" s="658">
        <f>SUM(DC135:DC139)</f>
        <v/>
      </c>
      <c r="DD140" s="658">
        <f>SUM(DD135:DD139)</f>
        <v/>
      </c>
      <c r="DE140" s="658">
        <f>SUM(DE135:DE139)</f>
        <v/>
      </c>
      <c r="DF140" s="658">
        <f>SUM(DF135:DF139)</f>
        <v/>
      </c>
      <c r="DG140" s="658">
        <f>SUM(DG135:DG139)</f>
        <v/>
      </c>
      <c r="DH140" s="658">
        <f>SUM(DH135:DH139)</f>
        <v/>
      </c>
      <c r="DI140" s="658">
        <f>SUM(DI135:DI139)</f>
        <v/>
      </c>
      <c r="DJ140" s="658">
        <f>SUM(DJ135:DJ139)</f>
        <v/>
      </c>
      <c r="DK140" s="658">
        <f>SUM(DK135:DK139)</f>
        <v/>
      </c>
      <c r="DL140" s="658">
        <f>SUM(DL135:DL139)</f>
        <v/>
      </c>
      <c r="DM140" s="658">
        <f>SUM(DM135:DM139)</f>
        <v/>
      </c>
      <c r="DN140" s="658">
        <f>SUM(DN135:DN139)</f>
        <v/>
      </c>
      <c r="DO140" s="658">
        <f>SUM(DO135:DO139)</f>
        <v/>
      </c>
      <c r="DP140" s="658">
        <f>SUM(DP135:DP139)</f>
        <v/>
      </c>
      <c r="DQ140" s="658">
        <f>SUM(DQ135:DQ139)</f>
        <v/>
      </c>
      <c r="DR140" s="658">
        <f>SUM(DR135:DR139)</f>
        <v/>
      </c>
      <c r="DS140" s="658">
        <f>SUM(DS135:DS139)</f>
        <v/>
      </c>
      <c r="DT140" s="658">
        <f>SUM(DT135:DT139)</f>
        <v/>
      </c>
      <c r="DU140" s="658">
        <f>SUM(DU135:DU139)</f>
        <v/>
      </c>
      <c r="DV140" s="658">
        <f>SUM(DV135:DV139)</f>
        <v/>
      </c>
      <c r="DW140" s="322" t="inlineStr">
        <is>
          <t>x</t>
        </is>
      </c>
    </row>
    <row r="141" hidden="1" outlineLevel="1" ht="17.25" customHeight="1" thickTop="1">
      <c r="C141" s="360" t="n"/>
      <c r="D141" s="360" t="n"/>
      <c r="E141" s="360" t="n"/>
      <c r="F141" s="360" t="n"/>
      <c r="G141" s="360" t="n"/>
      <c r="H141" s="360" t="n"/>
      <c r="I141" s="360" t="n"/>
      <c r="J141" s="360" t="n"/>
      <c r="K141" s="360" t="n"/>
      <c r="L141" s="360" t="n"/>
      <c r="M141" s="360" t="n"/>
      <c r="N141" s="360" t="n"/>
      <c r="O141" s="360" t="n"/>
      <c r="P141" s="360" t="n"/>
      <c r="Q141" s="360" t="n"/>
      <c r="R141" s="360" t="n"/>
      <c r="S141" s="360" t="n"/>
      <c r="T141" s="360" t="n"/>
      <c r="U141" s="360" t="n"/>
      <c r="V141" s="360" t="n"/>
      <c r="W141" s="360" t="n"/>
      <c r="X141" s="360" t="n"/>
      <c r="Y141" s="360" t="n"/>
      <c r="Z141" s="360" t="n"/>
      <c r="AA141" s="360" t="n"/>
      <c r="AB141" s="360" t="n"/>
      <c r="AC141" s="360" t="n"/>
      <c r="AD141" s="360" t="n"/>
      <c r="AE141" s="360" t="n"/>
      <c r="AF141" s="360" t="n"/>
      <c r="AG141" s="360" t="n"/>
      <c r="AH141" s="360" t="n"/>
      <c r="AI141" s="360" t="n"/>
      <c r="AJ141" s="360" t="n"/>
      <c r="AK141" s="360" t="n"/>
      <c r="AL141" s="360" t="n"/>
      <c r="AM141" s="360" t="n"/>
      <c r="AN141" s="360" t="n"/>
      <c r="AO141" s="360" t="n"/>
      <c r="AP141" s="360" t="n"/>
      <c r="AQ141" s="360" t="n"/>
      <c r="AR141" s="360" t="n"/>
      <c r="AS141" s="360" t="n"/>
      <c r="AT141" s="360" t="n"/>
      <c r="AU141" s="360" t="n"/>
      <c r="AV141" s="360" t="n"/>
      <c r="AW141" s="360" t="n"/>
      <c r="AX141" s="360" t="n"/>
      <c r="AY141" s="360" t="n"/>
      <c r="AZ141" s="360" t="n"/>
      <c r="BA141" s="360" t="n"/>
      <c r="BB141" s="360" t="n"/>
      <c r="BC141" s="360" t="n"/>
      <c r="BD141" s="360" t="n"/>
      <c r="BE141" s="360" t="n"/>
      <c r="BF141" s="360" t="n"/>
      <c r="BG141" s="360" t="n"/>
      <c r="BH141" s="360" t="n"/>
      <c r="BI141" s="360" t="n"/>
      <c r="BJ141" s="360" t="n"/>
      <c r="BK141" s="360" t="n"/>
      <c r="BL141" s="360" t="n"/>
      <c r="BM141" s="360" t="n"/>
      <c r="BN141" s="360" t="n"/>
      <c r="BO141" s="360" t="n"/>
      <c r="BP141" s="360" t="n"/>
      <c r="BQ141" s="360" t="n"/>
      <c r="BR141" s="360" t="n"/>
      <c r="BS141" s="360" t="n"/>
      <c r="BT141" s="360" t="n"/>
      <c r="BU141" s="360" t="n"/>
      <c r="BV141" s="360" t="n"/>
      <c r="BW141" s="360" t="n"/>
      <c r="BX141" s="360" t="n"/>
      <c r="BY141" s="360" t="n"/>
      <c r="BZ141" s="360" t="n"/>
      <c r="CA141" s="360" t="n"/>
      <c r="CB141" s="360" t="n"/>
      <c r="CC141" s="360" t="n"/>
      <c r="CD141" s="360" t="n"/>
      <c r="CE141" s="360" t="n"/>
      <c r="CF141" s="360" t="n"/>
      <c r="CG141" s="360" t="n"/>
      <c r="CH141" s="360" t="n"/>
      <c r="CI141" s="360" t="n"/>
      <c r="CJ141" s="360" t="n"/>
      <c r="CK141" s="360" t="n"/>
      <c r="CL141" s="360" t="n"/>
      <c r="CM141" s="360" t="n"/>
      <c r="CN141" s="360" t="n"/>
      <c r="CO141" s="360" t="n"/>
      <c r="CP141" s="360" t="n"/>
      <c r="CQ141" s="360" t="n"/>
      <c r="CR141" s="360" t="n"/>
      <c r="CS141" s="360" t="n"/>
      <c r="CT141" s="360" t="n"/>
      <c r="CU141" s="360" t="n"/>
      <c r="CV141" s="360" t="n"/>
      <c r="CW141" s="360" t="n"/>
      <c r="CX141" s="360" t="n"/>
      <c r="CY141" s="360" t="n"/>
      <c r="CZ141" s="360" t="n"/>
      <c r="DA141" s="360" t="n"/>
      <c r="DB141" s="360" t="n"/>
      <c r="DC141" s="360" t="n"/>
      <c r="DD141" s="360" t="n"/>
      <c r="DE141" s="360" t="n"/>
      <c r="DF141" s="360" t="n"/>
      <c r="DG141" s="360" t="n"/>
      <c r="DH141" s="360" t="n"/>
      <c r="DI141" s="360" t="n"/>
      <c r="DJ141" s="360" t="n"/>
      <c r="DK141" s="360" t="n"/>
      <c r="DL141" s="360" t="n"/>
      <c r="DM141" s="360" t="n"/>
      <c r="DN141" s="360" t="n"/>
      <c r="DO141" s="360" t="n"/>
      <c r="DP141" s="360" t="n"/>
      <c r="DQ141" s="360" t="n"/>
      <c r="DR141" s="360" t="n"/>
      <c r="DS141" s="360" t="n"/>
      <c r="DT141" s="360" t="n"/>
      <c r="DU141" s="360" t="n"/>
      <c r="DV141" s="360" t="n"/>
      <c r="DW141" s="322" t="inlineStr">
        <is>
          <t>x</t>
        </is>
      </c>
    </row>
    <row r="142" hidden="1" outlineLevel="1">
      <c r="C142" s="360" t="n"/>
      <c r="D142" s="360" t="n"/>
      <c r="E142" s="360" t="n"/>
      <c r="F142" s="360" t="n"/>
      <c r="G142" s="360" t="n"/>
      <c r="H142" s="360" t="n"/>
      <c r="I142" s="360" t="n"/>
      <c r="J142" s="360" t="n"/>
      <c r="K142" s="360" t="n"/>
      <c r="L142" s="360" t="n"/>
      <c r="M142" s="360" t="n"/>
      <c r="N142" s="360" t="n"/>
      <c r="O142" s="360" t="n"/>
      <c r="P142" s="360" t="n"/>
      <c r="Q142" s="360" t="n"/>
      <c r="R142" s="360" t="n"/>
      <c r="S142" s="360" t="n"/>
      <c r="T142" s="360" t="n"/>
      <c r="U142" s="360" t="n"/>
      <c r="V142" s="360" t="n"/>
      <c r="W142" s="360" t="n"/>
      <c r="X142" s="360" t="n"/>
      <c r="Y142" s="360" t="n"/>
      <c r="Z142" s="360" t="n"/>
      <c r="AA142" s="360" t="n"/>
      <c r="AB142" s="360" t="n"/>
      <c r="AC142" s="360" t="n"/>
      <c r="AD142" s="360" t="n"/>
      <c r="AE142" s="360" t="n"/>
      <c r="AF142" s="360" t="n"/>
      <c r="AG142" s="360" t="n"/>
      <c r="AH142" s="360" t="n"/>
      <c r="AI142" s="360" t="n"/>
      <c r="AJ142" s="360" t="n"/>
      <c r="AK142" s="360" t="n"/>
      <c r="AL142" s="360" t="n"/>
      <c r="AM142" s="360" t="n"/>
      <c r="AN142" s="360" t="n"/>
      <c r="AO142" s="360" t="n"/>
      <c r="AP142" s="360" t="n"/>
      <c r="AQ142" s="360" t="n"/>
      <c r="AR142" s="360" t="n"/>
      <c r="AS142" s="360" t="n"/>
      <c r="AT142" s="360" t="n"/>
      <c r="AU142" s="360" t="n"/>
      <c r="AV142" s="360" t="n"/>
      <c r="AW142" s="360" t="n"/>
      <c r="AX142" s="360" t="n"/>
      <c r="AY142" s="360" t="n"/>
      <c r="AZ142" s="360" t="n"/>
      <c r="BA142" s="360" t="n"/>
      <c r="BB142" s="360" t="n"/>
      <c r="BC142" s="360" t="n"/>
      <c r="BD142" s="360" t="n"/>
      <c r="BE142" s="360" t="n"/>
      <c r="BF142" s="360" t="n"/>
      <c r="BG142" s="360" t="n"/>
      <c r="BH142" s="360" t="n"/>
      <c r="BI142" s="360" t="n"/>
      <c r="BJ142" s="360" t="n"/>
      <c r="BK142" s="360" t="n"/>
      <c r="BL142" s="360" t="n"/>
      <c r="BM142" s="360" t="n"/>
      <c r="BN142" s="360" t="n"/>
      <c r="BO142" s="360" t="n"/>
      <c r="BP142" s="360" t="n"/>
      <c r="BQ142" s="360" t="n"/>
      <c r="BR142" s="360" t="n"/>
      <c r="BS142" s="360" t="n"/>
      <c r="BT142" s="360" t="n"/>
      <c r="BU142" s="360" t="n"/>
      <c r="BV142" s="360" t="n"/>
      <c r="BW142" s="360" t="n"/>
      <c r="BX142" s="360" t="n"/>
      <c r="BY142" s="360" t="n"/>
      <c r="BZ142" s="360" t="n"/>
      <c r="CA142" s="360" t="n"/>
      <c r="CB142" s="360" t="n"/>
      <c r="CC142" s="360" t="n"/>
      <c r="CD142" s="360" t="n"/>
      <c r="CE142" s="360" t="n"/>
      <c r="CF142" s="360" t="n"/>
      <c r="CG142" s="360" t="n"/>
      <c r="CH142" s="360" t="n"/>
      <c r="CI142" s="360" t="n"/>
      <c r="CJ142" s="360" t="n"/>
      <c r="CK142" s="360" t="n"/>
      <c r="CL142" s="360" t="n"/>
      <c r="CM142" s="360" t="n"/>
      <c r="CN142" s="360" t="n"/>
      <c r="CO142" s="360" t="n"/>
      <c r="CP142" s="360" t="n"/>
      <c r="CQ142" s="360" t="n"/>
      <c r="CR142" s="360" t="n"/>
      <c r="CS142" s="360" t="n"/>
      <c r="CT142" s="360" t="n"/>
      <c r="CU142" s="360" t="n"/>
      <c r="CV142" s="360" t="n"/>
      <c r="CW142" s="360" t="n"/>
      <c r="CX142" s="360" t="n"/>
      <c r="CY142" s="360" t="n"/>
      <c r="CZ142" s="360" t="n"/>
      <c r="DA142" s="360" t="n"/>
      <c r="DB142" s="360" t="n"/>
      <c r="DC142" s="360" t="n"/>
      <c r="DD142" s="360" t="n"/>
      <c r="DE142" s="360" t="n"/>
      <c r="DF142" s="360" t="n"/>
      <c r="DG142" s="360" t="n"/>
      <c r="DH142" s="360" t="n"/>
      <c r="DI142" s="360" t="n"/>
      <c r="DJ142" s="360" t="n"/>
      <c r="DK142" s="360" t="n"/>
      <c r="DL142" s="360" t="n"/>
      <c r="DM142" s="360" t="n"/>
      <c r="DN142" s="360" t="n"/>
      <c r="DO142" s="360" t="n"/>
      <c r="DP142" s="360" t="n"/>
      <c r="DQ142" s="360" t="n"/>
      <c r="DR142" s="360" t="n"/>
      <c r="DS142" s="360" t="n"/>
      <c r="DT142" s="360" t="n"/>
      <c r="DU142" s="360" t="n"/>
      <c r="DV142" s="360" t="n"/>
      <c r="DW142" s="322" t="inlineStr">
        <is>
          <t>x</t>
        </is>
      </c>
    </row>
    <row r="143" hidden="1" outlineLevel="1">
      <c r="C143" s="382" t="inlineStr">
        <is>
          <t>Tier II - Levered Multiple Hurdle</t>
        </is>
      </c>
      <c r="D143" s="395" t="n"/>
      <c r="E143" s="471" t="n"/>
      <c r="F143" s="463" t="n"/>
      <c r="G143" s="463" t="n"/>
      <c r="H143" s="463" t="n"/>
      <c r="I143" s="463" t="n"/>
      <c r="J143" s="463" t="n"/>
      <c r="K143" s="463" t="n"/>
      <c r="L143" s="463" t="n"/>
      <c r="M143" s="463" t="n"/>
      <c r="N143" s="463" t="n"/>
      <c r="O143" s="463" t="n"/>
      <c r="P143" s="463" t="n"/>
      <c r="Q143" s="463" t="n"/>
      <c r="R143" s="463" t="n"/>
      <c r="S143" s="463" t="n"/>
      <c r="T143" s="463" t="n"/>
      <c r="U143" s="463" t="n"/>
      <c r="V143" s="463" t="n"/>
      <c r="W143" s="463" t="n"/>
      <c r="X143" s="463" t="n"/>
      <c r="Y143" s="463" t="n"/>
      <c r="Z143" s="463" t="n"/>
      <c r="AA143" s="463" t="n"/>
      <c r="AB143" s="463" t="n"/>
      <c r="AC143" s="463" t="n"/>
      <c r="AD143" s="463" t="n"/>
      <c r="AE143" s="463" t="n"/>
      <c r="AF143" s="463" t="n"/>
      <c r="AG143" s="463" t="n"/>
      <c r="AH143" s="463" t="n"/>
      <c r="AI143" s="463" t="n"/>
      <c r="AJ143" s="463" t="n"/>
      <c r="AK143" s="463" t="n"/>
      <c r="AL143" s="463" t="n"/>
      <c r="AM143" s="374" t="n"/>
      <c r="AN143" s="374" t="n"/>
      <c r="AO143" s="374" t="n"/>
      <c r="AP143" s="472" t="n"/>
      <c r="AQ143" s="472" t="n"/>
      <c r="AR143" s="472" t="n"/>
      <c r="AS143" s="472" t="n"/>
      <c r="AT143" s="472" t="n"/>
      <c r="AU143" s="472" t="n"/>
      <c r="AV143" s="473" t="inlineStr">
        <is>
          <t>x</t>
        </is>
      </c>
      <c r="AW143" s="360" t="n"/>
      <c r="AX143" s="360" t="n"/>
      <c r="AY143" s="360" t="n"/>
      <c r="AZ143" s="360" t="n"/>
      <c r="BA143" s="360" t="n"/>
      <c r="BB143" s="360" t="n"/>
      <c r="BC143" s="360" t="n"/>
      <c r="BD143" s="360" t="n"/>
      <c r="BE143" s="360" t="n"/>
      <c r="BF143" s="360" t="n"/>
      <c r="BG143" s="360" t="n"/>
      <c r="BH143" s="360" t="n"/>
      <c r="BI143" s="360" t="n"/>
      <c r="BJ143" s="360" t="n"/>
      <c r="BK143" s="360" t="n"/>
      <c r="BL143" s="360" t="n"/>
      <c r="BM143" s="360" t="n"/>
      <c r="BN143" s="360" t="n"/>
      <c r="BO143" s="360" t="n"/>
      <c r="BP143" s="360" t="n"/>
      <c r="BQ143" s="360" t="n"/>
      <c r="BR143" s="360" t="n"/>
      <c r="BS143" s="360" t="n"/>
      <c r="BT143" s="360" t="n"/>
      <c r="BU143" s="360" t="n"/>
      <c r="BV143" s="360" t="n"/>
      <c r="BW143" s="360" t="n"/>
      <c r="BX143" s="360" t="n"/>
      <c r="BY143" s="360" t="n"/>
      <c r="BZ143" s="360" t="n"/>
      <c r="CA143" s="360" t="n"/>
      <c r="CB143" s="360" t="n"/>
      <c r="CC143" s="360" t="n"/>
      <c r="CD143" s="360" t="n"/>
      <c r="CE143" s="360" t="n"/>
      <c r="CF143" s="360" t="n"/>
      <c r="CG143" s="360" t="n"/>
      <c r="CH143" s="360" t="n"/>
      <c r="CI143" s="360" t="n"/>
      <c r="CJ143" s="360" t="n"/>
      <c r="CK143" s="360" t="n"/>
      <c r="CL143" s="360" t="n"/>
      <c r="CM143" s="360" t="n"/>
      <c r="CN143" s="360" t="n"/>
      <c r="CO143" s="360" t="n"/>
      <c r="CP143" s="360" t="n"/>
      <c r="CQ143" s="360" t="n"/>
      <c r="CR143" s="360" t="n"/>
      <c r="CS143" s="360" t="n"/>
      <c r="CT143" s="360" t="n"/>
      <c r="CU143" s="360" t="n"/>
      <c r="CV143" s="360" t="n"/>
      <c r="CW143" s="360" t="n"/>
      <c r="CX143" s="360" t="n"/>
      <c r="CY143" s="360" t="n"/>
      <c r="CZ143" s="360" t="n"/>
      <c r="DA143" s="360" t="n"/>
      <c r="DB143" s="360" t="n"/>
      <c r="DC143" s="360" t="n"/>
      <c r="DD143" s="360" t="n"/>
      <c r="DE143" s="360" t="n"/>
      <c r="DF143" s="360" t="n"/>
      <c r="DG143" s="360" t="n"/>
      <c r="DH143" s="360" t="n"/>
      <c r="DI143" s="360" t="n"/>
      <c r="DJ143" s="360" t="n"/>
      <c r="DK143" s="360" t="n"/>
      <c r="DL143" s="360" t="n"/>
      <c r="DM143" s="360" t="n"/>
      <c r="DN143" s="360" t="n"/>
      <c r="DO143" s="360" t="n"/>
      <c r="DP143" s="360" t="n"/>
      <c r="DQ143" s="360" t="n"/>
      <c r="DR143" s="360" t="n"/>
      <c r="DS143" s="360" t="n"/>
      <c r="DT143" s="360" t="n"/>
      <c r="DU143" s="360" t="n"/>
      <c r="DV143" s="360" t="n"/>
      <c r="DW143" s="322" t="inlineStr">
        <is>
          <t>x</t>
        </is>
      </c>
    </row>
    <row r="144" hidden="1" outlineLevel="1">
      <c r="C144" s="374" t="inlineStr">
        <is>
          <t>Injections</t>
        </is>
      </c>
      <c r="D144" s="474" t="n"/>
      <c r="E144" s="681">
        <f>SUM(F144:BN144)</f>
        <v/>
      </c>
      <c r="F144" s="680">
        <f>F136</f>
        <v/>
      </c>
      <c r="G144" s="680">
        <f>G136</f>
        <v/>
      </c>
      <c r="H144" s="680">
        <f>H136</f>
        <v/>
      </c>
      <c r="I144" s="680">
        <f>I136</f>
        <v/>
      </c>
      <c r="J144" s="680">
        <f>J136</f>
        <v/>
      </c>
      <c r="K144" s="680">
        <f>K136</f>
        <v/>
      </c>
      <c r="L144" s="680">
        <f>L136</f>
        <v/>
      </c>
      <c r="M144" s="680">
        <f>M136</f>
        <v/>
      </c>
      <c r="N144" s="680">
        <f>N136</f>
        <v/>
      </c>
      <c r="O144" s="680">
        <f>O136</f>
        <v/>
      </c>
      <c r="P144" s="680">
        <f>P136</f>
        <v/>
      </c>
      <c r="Q144" s="680">
        <f>Q136</f>
        <v/>
      </c>
      <c r="R144" s="680">
        <f>R136</f>
        <v/>
      </c>
      <c r="S144" s="680">
        <f>S136</f>
        <v/>
      </c>
      <c r="T144" s="680">
        <f>T136</f>
        <v/>
      </c>
      <c r="U144" s="680">
        <f>U136</f>
        <v/>
      </c>
      <c r="V144" s="680">
        <f>V136</f>
        <v/>
      </c>
      <c r="W144" s="680">
        <f>W136</f>
        <v/>
      </c>
      <c r="X144" s="680">
        <f>X136</f>
        <v/>
      </c>
      <c r="Y144" s="680">
        <f>Y136</f>
        <v/>
      </c>
      <c r="Z144" s="680">
        <f>Z136</f>
        <v/>
      </c>
      <c r="AA144" s="680">
        <f>AA136</f>
        <v/>
      </c>
      <c r="AB144" s="680">
        <f>AB136</f>
        <v/>
      </c>
      <c r="AC144" s="680">
        <f>AC136</f>
        <v/>
      </c>
      <c r="AD144" s="680">
        <f>AD136</f>
        <v/>
      </c>
      <c r="AE144" s="680">
        <f>AE136</f>
        <v/>
      </c>
      <c r="AF144" s="680">
        <f>AF136</f>
        <v/>
      </c>
      <c r="AG144" s="680">
        <f>AG136</f>
        <v/>
      </c>
      <c r="AH144" s="680">
        <f>AH136</f>
        <v/>
      </c>
      <c r="AI144" s="680">
        <f>AI136</f>
        <v/>
      </c>
      <c r="AJ144" s="680">
        <f>AJ136</f>
        <v/>
      </c>
      <c r="AK144" s="680">
        <f>AK136</f>
        <v/>
      </c>
      <c r="AL144" s="680">
        <f>AL136</f>
        <v/>
      </c>
      <c r="AM144" s="680">
        <f>AM136</f>
        <v/>
      </c>
      <c r="AN144" s="680">
        <f>AN136</f>
        <v/>
      </c>
      <c r="AO144" s="680">
        <f>AO136</f>
        <v/>
      </c>
      <c r="AP144" s="680">
        <f>AP136</f>
        <v/>
      </c>
      <c r="AQ144" s="680">
        <f>AQ136</f>
        <v/>
      </c>
      <c r="AR144" s="680">
        <f>AR136</f>
        <v/>
      </c>
      <c r="AS144" s="680">
        <f>AS136</f>
        <v/>
      </c>
      <c r="AT144" s="680">
        <f>AT136</f>
        <v/>
      </c>
      <c r="AU144" s="680">
        <f>AU136</f>
        <v/>
      </c>
      <c r="AV144" s="680">
        <f>AV136</f>
        <v/>
      </c>
      <c r="AW144" s="680">
        <f>AW136</f>
        <v/>
      </c>
      <c r="AX144" s="680">
        <f>AX136</f>
        <v/>
      </c>
      <c r="AY144" s="680">
        <f>AY136</f>
        <v/>
      </c>
      <c r="AZ144" s="680">
        <f>AZ136</f>
        <v/>
      </c>
      <c r="BA144" s="680">
        <f>BA136</f>
        <v/>
      </c>
      <c r="BB144" s="680">
        <f>BB136</f>
        <v/>
      </c>
      <c r="BC144" s="680">
        <f>BC136</f>
        <v/>
      </c>
      <c r="BD144" s="680">
        <f>BD136</f>
        <v/>
      </c>
      <c r="BE144" s="680">
        <f>BE136</f>
        <v/>
      </c>
      <c r="BF144" s="680">
        <f>BF136</f>
        <v/>
      </c>
      <c r="BG144" s="680">
        <f>BG136</f>
        <v/>
      </c>
      <c r="BH144" s="680">
        <f>BH136</f>
        <v/>
      </c>
      <c r="BI144" s="680">
        <f>BI136</f>
        <v/>
      </c>
      <c r="BJ144" s="680">
        <f>BJ136</f>
        <v/>
      </c>
      <c r="BK144" s="680">
        <f>BK136</f>
        <v/>
      </c>
      <c r="BL144" s="680">
        <f>BL136</f>
        <v/>
      </c>
      <c r="BM144" s="680">
        <f>BM136</f>
        <v/>
      </c>
      <c r="BN144" s="680">
        <f>BN136</f>
        <v/>
      </c>
      <c r="BO144" s="680">
        <f>BO136</f>
        <v/>
      </c>
      <c r="BP144" s="680">
        <f>BP136</f>
        <v/>
      </c>
      <c r="BQ144" s="680">
        <f>BQ136</f>
        <v/>
      </c>
      <c r="BR144" s="680">
        <f>BR136</f>
        <v/>
      </c>
      <c r="BS144" s="680">
        <f>BS136</f>
        <v/>
      </c>
      <c r="BT144" s="680">
        <f>BT136</f>
        <v/>
      </c>
      <c r="BU144" s="680">
        <f>BU136</f>
        <v/>
      </c>
      <c r="BV144" s="680">
        <f>BV136</f>
        <v/>
      </c>
      <c r="BW144" s="680">
        <f>BW136</f>
        <v/>
      </c>
      <c r="BX144" s="680">
        <f>BX136</f>
        <v/>
      </c>
      <c r="BY144" s="680">
        <f>BY136</f>
        <v/>
      </c>
      <c r="BZ144" s="680">
        <f>BZ136</f>
        <v/>
      </c>
      <c r="CA144" s="680">
        <f>CA136</f>
        <v/>
      </c>
      <c r="CB144" s="680">
        <f>CB136</f>
        <v/>
      </c>
      <c r="CC144" s="680">
        <f>CC136</f>
        <v/>
      </c>
      <c r="CD144" s="680">
        <f>CD136</f>
        <v/>
      </c>
      <c r="CE144" s="680">
        <f>CE136</f>
        <v/>
      </c>
      <c r="CF144" s="680">
        <f>CF136</f>
        <v/>
      </c>
      <c r="CG144" s="680">
        <f>CG136</f>
        <v/>
      </c>
      <c r="CH144" s="680">
        <f>CH136</f>
        <v/>
      </c>
      <c r="CI144" s="680">
        <f>CI136</f>
        <v/>
      </c>
      <c r="CJ144" s="680">
        <f>CJ136</f>
        <v/>
      </c>
      <c r="CK144" s="680">
        <f>CK136</f>
        <v/>
      </c>
      <c r="CL144" s="680">
        <f>CL136</f>
        <v/>
      </c>
      <c r="CM144" s="680">
        <f>CM136</f>
        <v/>
      </c>
      <c r="CN144" s="680">
        <f>CN136</f>
        <v/>
      </c>
      <c r="CO144" s="680">
        <f>CO136</f>
        <v/>
      </c>
      <c r="CP144" s="680">
        <f>CP136</f>
        <v/>
      </c>
      <c r="CQ144" s="680">
        <f>CQ136</f>
        <v/>
      </c>
      <c r="CR144" s="680">
        <f>CR136</f>
        <v/>
      </c>
      <c r="CS144" s="680">
        <f>CS136</f>
        <v/>
      </c>
      <c r="CT144" s="680">
        <f>CT136</f>
        <v/>
      </c>
      <c r="CU144" s="680">
        <f>CU136</f>
        <v/>
      </c>
      <c r="CV144" s="680">
        <f>CV136</f>
        <v/>
      </c>
      <c r="CW144" s="680">
        <f>CW136</f>
        <v/>
      </c>
      <c r="CX144" s="680">
        <f>CX136</f>
        <v/>
      </c>
      <c r="CY144" s="680">
        <f>CY136</f>
        <v/>
      </c>
      <c r="CZ144" s="680">
        <f>CZ136</f>
        <v/>
      </c>
      <c r="DA144" s="680">
        <f>DA136</f>
        <v/>
      </c>
      <c r="DB144" s="680">
        <f>DB136</f>
        <v/>
      </c>
      <c r="DC144" s="680">
        <f>DC136</f>
        <v/>
      </c>
      <c r="DD144" s="680">
        <f>DD136</f>
        <v/>
      </c>
      <c r="DE144" s="680">
        <f>DE136</f>
        <v/>
      </c>
      <c r="DF144" s="680">
        <f>DF136</f>
        <v/>
      </c>
      <c r="DG144" s="680">
        <f>DG136</f>
        <v/>
      </c>
      <c r="DH144" s="680">
        <f>DH136</f>
        <v/>
      </c>
      <c r="DI144" s="680">
        <f>DI136</f>
        <v/>
      </c>
      <c r="DJ144" s="680">
        <f>DJ136</f>
        <v/>
      </c>
      <c r="DK144" s="680">
        <f>DK136</f>
        <v/>
      </c>
      <c r="DL144" s="680">
        <f>DL136</f>
        <v/>
      </c>
      <c r="DM144" s="680">
        <f>DM136</f>
        <v/>
      </c>
      <c r="DN144" s="680">
        <f>DN136</f>
        <v/>
      </c>
      <c r="DO144" s="680">
        <f>DO136</f>
        <v/>
      </c>
      <c r="DP144" s="680">
        <f>DP136</f>
        <v/>
      </c>
      <c r="DQ144" s="680">
        <f>DQ136</f>
        <v/>
      </c>
      <c r="DR144" s="680">
        <f>DR136</f>
        <v/>
      </c>
      <c r="DS144" s="680">
        <f>DS136</f>
        <v/>
      </c>
      <c r="DT144" s="680">
        <f>DT136</f>
        <v/>
      </c>
      <c r="DU144" s="680">
        <f>DU136</f>
        <v/>
      </c>
      <c r="DV144" s="680">
        <f>DV136</f>
        <v/>
      </c>
      <c r="DW144" s="322" t="inlineStr">
        <is>
          <t>x</t>
        </is>
      </c>
    </row>
    <row r="145" hidden="1" outlineLevel="1">
      <c r="C145" s="374" t="inlineStr">
        <is>
          <t>Beginning Balance</t>
        </is>
      </c>
      <c r="D145" s="484" t="n"/>
      <c r="E145" s="463">
        <f>SUM(F145:BN145)</f>
        <v/>
      </c>
      <c r="F145" s="683" t="n">
        <v>0</v>
      </c>
      <c r="G145" s="681">
        <f>F149</f>
        <v/>
      </c>
      <c r="H145" s="681">
        <f>G149</f>
        <v/>
      </c>
      <c r="I145" s="681">
        <f>H149</f>
        <v/>
      </c>
      <c r="J145" s="681">
        <f>I149</f>
        <v/>
      </c>
      <c r="K145" s="681">
        <f>J149</f>
        <v/>
      </c>
      <c r="L145" s="681">
        <f>K149</f>
        <v/>
      </c>
      <c r="M145" s="681">
        <f>L149</f>
        <v/>
      </c>
      <c r="N145" s="681">
        <f>M149</f>
        <v/>
      </c>
      <c r="O145" s="681">
        <f>N149</f>
        <v/>
      </c>
      <c r="P145" s="681">
        <f>O149</f>
        <v/>
      </c>
      <c r="Q145" s="681">
        <f>P149</f>
        <v/>
      </c>
      <c r="R145" s="681">
        <f>Q149</f>
        <v/>
      </c>
      <c r="S145" s="681">
        <f>R149</f>
        <v/>
      </c>
      <c r="T145" s="681">
        <f>S149</f>
        <v/>
      </c>
      <c r="U145" s="681">
        <f>T149</f>
        <v/>
      </c>
      <c r="V145" s="681">
        <f>U149</f>
        <v/>
      </c>
      <c r="W145" s="681">
        <f>V149</f>
        <v/>
      </c>
      <c r="X145" s="681">
        <f>W149</f>
        <v/>
      </c>
      <c r="Y145" s="681">
        <f>X149</f>
        <v/>
      </c>
      <c r="Z145" s="681">
        <f>Y149</f>
        <v/>
      </c>
      <c r="AA145" s="681">
        <f>Z149</f>
        <v/>
      </c>
      <c r="AB145" s="681">
        <f>AA149</f>
        <v/>
      </c>
      <c r="AC145" s="681">
        <f>AB149</f>
        <v/>
      </c>
      <c r="AD145" s="681">
        <f>AC149</f>
        <v/>
      </c>
      <c r="AE145" s="681">
        <f>AD149</f>
        <v/>
      </c>
      <c r="AF145" s="681">
        <f>AE149</f>
        <v/>
      </c>
      <c r="AG145" s="681">
        <f>AF149</f>
        <v/>
      </c>
      <c r="AH145" s="681">
        <f>AG149</f>
        <v/>
      </c>
      <c r="AI145" s="681">
        <f>AH149</f>
        <v/>
      </c>
      <c r="AJ145" s="681">
        <f>AI149</f>
        <v/>
      </c>
      <c r="AK145" s="681">
        <f>AJ149</f>
        <v/>
      </c>
      <c r="AL145" s="681">
        <f>AK149</f>
        <v/>
      </c>
      <c r="AM145" s="681">
        <f>AL149</f>
        <v/>
      </c>
      <c r="AN145" s="681">
        <f>AM149</f>
        <v/>
      </c>
      <c r="AO145" s="681">
        <f>AN149</f>
        <v/>
      </c>
      <c r="AP145" s="681">
        <f>AO149</f>
        <v/>
      </c>
      <c r="AQ145" s="681">
        <f>AP149</f>
        <v/>
      </c>
      <c r="AR145" s="681">
        <f>AQ149</f>
        <v/>
      </c>
      <c r="AS145" s="681">
        <f>AR149</f>
        <v/>
      </c>
      <c r="AT145" s="681">
        <f>AS149</f>
        <v/>
      </c>
      <c r="AU145" s="681">
        <f>AT149</f>
        <v/>
      </c>
      <c r="AV145" s="681">
        <f>AU149</f>
        <v/>
      </c>
      <c r="AW145" s="681">
        <f>AV149</f>
        <v/>
      </c>
      <c r="AX145" s="681">
        <f>AW149</f>
        <v/>
      </c>
      <c r="AY145" s="681">
        <f>AX149</f>
        <v/>
      </c>
      <c r="AZ145" s="681">
        <f>AY149</f>
        <v/>
      </c>
      <c r="BA145" s="681">
        <f>AZ149</f>
        <v/>
      </c>
      <c r="BB145" s="681">
        <f>BA149</f>
        <v/>
      </c>
      <c r="BC145" s="681">
        <f>BB149</f>
        <v/>
      </c>
      <c r="BD145" s="681">
        <f>BC149</f>
        <v/>
      </c>
      <c r="BE145" s="681">
        <f>BD149</f>
        <v/>
      </c>
      <c r="BF145" s="681">
        <f>BE149</f>
        <v/>
      </c>
      <c r="BG145" s="681">
        <f>BF149</f>
        <v/>
      </c>
      <c r="BH145" s="681">
        <f>BG149</f>
        <v/>
      </c>
      <c r="BI145" s="681">
        <f>BH149</f>
        <v/>
      </c>
      <c r="BJ145" s="681">
        <f>BI149</f>
        <v/>
      </c>
      <c r="BK145" s="681">
        <f>BJ149</f>
        <v/>
      </c>
      <c r="BL145" s="681">
        <f>BK149</f>
        <v/>
      </c>
      <c r="BM145" s="681">
        <f>BL149</f>
        <v/>
      </c>
      <c r="BN145" s="681">
        <f>BM149</f>
        <v/>
      </c>
      <c r="BO145" s="681">
        <f>BN149</f>
        <v/>
      </c>
      <c r="BP145" s="681">
        <f>BO149</f>
        <v/>
      </c>
      <c r="BQ145" s="681">
        <f>BP149</f>
        <v/>
      </c>
      <c r="BR145" s="681">
        <f>BQ149</f>
        <v/>
      </c>
      <c r="BS145" s="681">
        <f>BR149</f>
        <v/>
      </c>
      <c r="BT145" s="681">
        <f>BS149</f>
        <v/>
      </c>
      <c r="BU145" s="681">
        <f>BT149</f>
        <v/>
      </c>
      <c r="BV145" s="681">
        <f>BU149</f>
        <v/>
      </c>
      <c r="BW145" s="681">
        <f>BV149</f>
        <v/>
      </c>
      <c r="BX145" s="681">
        <f>BW149</f>
        <v/>
      </c>
      <c r="BY145" s="681">
        <f>BX149</f>
        <v/>
      </c>
      <c r="BZ145" s="681">
        <f>BY149</f>
        <v/>
      </c>
      <c r="CA145" s="681">
        <f>BZ149</f>
        <v/>
      </c>
      <c r="CB145" s="681">
        <f>CA149</f>
        <v/>
      </c>
      <c r="CC145" s="681">
        <f>CB149</f>
        <v/>
      </c>
      <c r="CD145" s="681">
        <f>CC149</f>
        <v/>
      </c>
      <c r="CE145" s="681">
        <f>CD149</f>
        <v/>
      </c>
      <c r="CF145" s="681">
        <f>CE149</f>
        <v/>
      </c>
      <c r="CG145" s="681">
        <f>CF149</f>
        <v/>
      </c>
      <c r="CH145" s="681">
        <f>CG149</f>
        <v/>
      </c>
      <c r="CI145" s="681">
        <f>CH149</f>
        <v/>
      </c>
      <c r="CJ145" s="681">
        <f>CI149</f>
        <v/>
      </c>
      <c r="CK145" s="681">
        <f>CJ149</f>
        <v/>
      </c>
      <c r="CL145" s="681">
        <f>CK149</f>
        <v/>
      </c>
      <c r="CM145" s="681">
        <f>CL149</f>
        <v/>
      </c>
      <c r="CN145" s="681">
        <f>CM149</f>
        <v/>
      </c>
      <c r="CO145" s="681">
        <f>CN149</f>
        <v/>
      </c>
      <c r="CP145" s="681">
        <f>CO149</f>
        <v/>
      </c>
      <c r="CQ145" s="681">
        <f>CP149</f>
        <v/>
      </c>
      <c r="CR145" s="681">
        <f>CQ149</f>
        <v/>
      </c>
      <c r="CS145" s="681">
        <f>CR149</f>
        <v/>
      </c>
      <c r="CT145" s="681">
        <f>CS149</f>
        <v/>
      </c>
      <c r="CU145" s="681">
        <f>CT149</f>
        <v/>
      </c>
      <c r="CV145" s="681">
        <f>CU149</f>
        <v/>
      </c>
      <c r="CW145" s="681">
        <f>CV149</f>
        <v/>
      </c>
      <c r="CX145" s="681">
        <f>CW149</f>
        <v/>
      </c>
      <c r="CY145" s="681">
        <f>CX149</f>
        <v/>
      </c>
      <c r="CZ145" s="681">
        <f>CY149</f>
        <v/>
      </c>
      <c r="DA145" s="681">
        <f>CZ149</f>
        <v/>
      </c>
      <c r="DB145" s="681">
        <f>DA149</f>
        <v/>
      </c>
      <c r="DC145" s="681">
        <f>DB149</f>
        <v/>
      </c>
      <c r="DD145" s="681">
        <f>DC149</f>
        <v/>
      </c>
      <c r="DE145" s="681">
        <f>DD149</f>
        <v/>
      </c>
      <c r="DF145" s="681">
        <f>DE149</f>
        <v/>
      </c>
      <c r="DG145" s="681">
        <f>DF149</f>
        <v/>
      </c>
      <c r="DH145" s="681">
        <f>DG149</f>
        <v/>
      </c>
      <c r="DI145" s="681">
        <f>DH149</f>
        <v/>
      </c>
      <c r="DJ145" s="681">
        <f>DI149</f>
        <v/>
      </c>
      <c r="DK145" s="681">
        <f>DJ149</f>
        <v/>
      </c>
      <c r="DL145" s="681">
        <f>DK149</f>
        <v/>
      </c>
      <c r="DM145" s="681">
        <f>DL149</f>
        <v/>
      </c>
      <c r="DN145" s="681">
        <f>DM149</f>
        <v/>
      </c>
      <c r="DO145" s="681">
        <f>DN149</f>
        <v/>
      </c>
      <c r="DP145" s="681">
        <f>DO149</f>
        <v/>
      </c>
      <c r="DQ145" s="681">
        <f>DP149</f>
        <v/>
      </c>
      <c r="DR145" s="681">
        <f>DQ149</f>
        <v/>
      </c>
      <c r="DS145" s="681">
        <f>DR149</f>
        <v/>
      </c>
      <c r="DT145" s="681">
        <f>DS149</f>
        <v/>
      </c>
      <c r="DU145" s="681">
        <f>DT149</f>
        <v/>
      </c>
      <c r="DV145" s="681">
        <f>DU149</f>
        <v/>
      </c>
      <c r="DW145" s="322" t="inlineStr">
        <is>
          <t>x</t>
        </is>
      </c>
    </row>
    <row r="146" hidden="1" outlineLevel="1">
      <c r="C146" s="476" t="inlineStr">
        <is>
          <t>Investor Accrual</t>
        </is>
      </c>
      <c r="D146" s="477">
        <f>F39</f>
        <v/>
      </c>
      <c r="E146" s="463">
        <f>SUM(F146:BN146)</f>
        <v/>
      </c>
      <c r="F146" s="468">
        <f>F144*$D$146</f>
        <v/>
      </c>
      <c r="G146" s="468">
        <f>G144*$D$146</f>
        <v/>
      </c>
      <c r="H146" s="468">
        <f>H144*$D$146</f>
        <v/>
      </c>
      <c r="I146" s="468">
        <f>I144*$D$146</f>
        <v/>
      </c>
      <c r="J146" s="468">
        <f>J144*$D$146</f>
        <v/>
      </c>
      <c r="K146" s="468">
        <f>K144*$D$146</f>
        <v/>
      </c>
      <c r="L146" s="468">
        <f>L144*$D$146</f>
        <v/>
      </c>
      <c r="M146" s="468">
        <f>M144*$D$146</f>
        <v/>
      </c>
      <c r="N146" s="468">
        <f>N144*$D$146</f>
        <v/>
      </c>
      <c r="O146" s="468">
        <f>O144*$D$146</f>
        <v/>
      </c>
      <c r="P146" s="468">
        <f>P144*$D$146</f>
        <v/>
      </c>
      <c r="Q146" s="468">
        <f>Q144*$D$146</f>
        <v/>
      </c>
      <c r="R146" s="468">
        <f>R144*$D$146</f>
        <v/>
      </c>
      <c r="S146" s="468">
        <f>S144*$D$146</f>
        <v/>
      </c>
      <c r="T146" s="468">
        <f>T144*$D$146</f>
        <v/>
      </c>
      <c r="U146" s="468">
        <f>U144*$D$146</f>
        <v/>
      </c>
      <c r="V146" s="468">
        <f>V144*$D$146</f>
        <v/>
      </c>
      <c r="W146" s="468">
        <f>W144*$D$146</f>
        <v/>
      </c>
      <c r="X146" s="468">
        <f>X144*$D$146</f>
        <v/>
      </c>
      <c r="Y146" s="468">
        <f>Y144*$D$146</f>
        <v/>
      </c>
      <c r="Z146" s="468">
        <f>Z144*$D$146</f>
        <v/>
      </c>
      <c r="AA146" s="468">
        <f>AA144*$D$146</f>
        <v/>
      </c>
      <c r="AB146" s="468">
        <f>AB144*$D$146</f>
        <v/>
      </c>
      <c r="AC146" s="468">
        <f>AC144*$D$146</f>
        <v/>
      </c>
      <c r="AD146" s="468">
        <f>AD144*$D$146</f>
        <v/>
      </c>
      <c r="AE146" s="468">
        <f>AE144*$D$146</f>
        <v/>
      </c>
      <c r="AF146" s="468">
        <f>AF144*$D$146</f>
        <v/>
      </c>
      <c r="AG146" s="468">
        <f>AG144*$D$146</f>
        <v/>
      </c>
      <c r="AH146" s="468">
        <f>AH144*$D$146</f>
        <v/>
      </c>
      <c r="AI146" s="468">
        <f>AI144*$D$146</f>
        <v/>
      </c>
      <c r="AJ146" s="468">
        <f>AJ144*$D$146</f>
        <v/>
      </c>
      <c r="AK146" s="468">
        <f>AK144*$D$146</f>
        <v/>
      </c>
      <c r="AL146" s="468">
        <f>AL144*$D$146</f>
        <v/>
      </c>
      <c r="AM146" s="468">
        <f>AM144*$D$146</f>
        <v/>
      </c>
      <c r="AN146" s="468">
        <f>AN144*$D$146</f>
        <v/>
      </c>
      <c r="AO146" s="468">
        <f>AO144*$D$146</f>
        <v/>
      </c>
      <c r="AP146" s="468">
        <f>AP144*$D$146</f>
        <v/>
      </c>
      <c r="AQ146" s="468">
        <f>AQ144*$D$146</f>
        <v/>
      </c>
      <c r="AR146" s="468">
        <f>AR144*$D$146</f>
        <v/>
      </c>
      <c r="AS146" s="468">
        <f>AS144*$D$146</f>
        <v/>
      </c>
      <c r="AT146" s="468">
        <f>AT144*$D$146</f>
        <v/>
      </c>
      <c r="AU146" s="468">
        <f>AU144*$D$146</f>
        <v/>
      </c>
      <c r="AV146" s="468">
        <f>AV144*$D$146</f>
        <v/>
      </c>
      <c r="AW146" s="468">
        <f>AW144*$D$146</f>
        <v/>
      </c>
      <c r="AX146" s="468">
        <f>AX144*$D$146</f>
        <v/>
      </c>
      <c r="AY146" s="468">
        <f>AY144*$D$146</f>
        <v/>
      </c>
      <c r="AZ146" s="468">
        <f>AZ144*$D$146</f>
        <v/>
      </c>
      <c r="BA146" s="468">
        <f>BA144*$D$146</f>
        <v/>
      </c>
      <c r="BB146" s="468">
        <f>BB144*$D$146</f>
        <v/>
      </c>
      <c r="BC146" s="468">
        <f>BC144*$D$146</f>
        <v/>
      </c>
      <c r="BD146" s="468">
        <f>BD144*$D$146</f>
        <v/>
      </c>
      <c r="BE146" s="468">
        <f>BE144*$D$146</f>
        <v/>
      </c>
      <c r="BF146" s="468">
        <f>BF144*$D$146</f>
        <v/>
      </c>
      <c r="BG146" s="468">
        <f>BG144*$D$146</f>
        <v/>
      </c>
      <c r="BH146" s="468">
        <f>BH144*$D$146</f>
        <v/>
      </c>
      <c r="BI146" s="468">
        <f>BI144*$D$146</f>
        <v/>
      </c>
      <c r="BJ146" s="468">
        <f>BJ144*$D$146</f>
        <v/>
      </c>
      <c r="BK146" s="468">
        <f>BK144*$D$146</f>
        <v/>
      </c>
      <c r="BL146" s="468">
        <f>BL144*$D$146</f>
        <v/>
      </c>
      <c r="BM146" s="468">
        <f>BM144*$D$146</f>
        <v/>
      </c>
      <c r="BN146" s="468">
        <f>BN144*$D$146</f>
        <v/>
      </c>
      <c r="BO146" s="468">
        <f>BO144*$D$146</f>
        <v/>
      </c>
      <c r="BP146" s="468">
        <f>BP144*$D$146</f>
        <v/>
      </c>
      <c r="BQ146" s="468">
        <f>BQ144*$D$146</f>
        <v/>
      </c>
      <c r="BR146" s="468">
        <f>BR144*$D$146</f>
        <v/>
      </c>
      <c r="BS146" s="468">
        <f>BS144*$D$146</f>
        <v/>
      </c>
      <c r="BT146" s="468">
        <f>BT144*$D$146</f>
        <v/>
      </c>
      <c r="BU146" s="468">
        <f>BU144*$D$146</f>
        <v/>
      </c>
      <c r="BV146" s="468">
        <f>BV144*$D$146</f>
        <v/>
      </c>
      <c r="BW146" s="468">
        <f>BW144*$D$146</f>
        <v/>
      </c>
      <c r="BX146" s="468">
        <f>BX144*$D$146</f>
        <v/>
      </c>
      <c r="BY146" s="468">
        <f>BY144*$D$146</f>
        <v/>
      </c>
      <c r="BZ146" s="468">
        <f>BZ144*$D$146</f>
        <v/>
      </c>
      <c r="CA146" s="468">
        <f>CA144*$D$146</f>
        <v/>
      </c>
      <c r="CB146" s="468">
        <f>CB144*$D$146</f>
        <v/>
      </c>
      <c r="CC146" s="468">
        <f>CC144*$D$146</f>
        <v/>
      </c>
      <c r="CD146" s="468">
        <f>CD144*$D$146</f>
        <v/>
      </c>
      <c r="CE146" s="468">
        <f>CE144*$D$146</f>
        <v/>
      </c>
      <c r="CF146" s="468">
        <f>CF144*$D$146</f>
        <v/>
      </c>
      <c r="CG146" s="468">
        <f>CG144*$D$146</f>
        <v/>
      </c>
      <c r="CH146" s="468">
        <f>CH144*$D$146</f>
        <v/>
      </c>
      <c r="CI146" s="468">
        <f>CI144*$D$146</f>
        <v/>
      </c>
      <c r="CJ146" s="468">
        <f>CJ144*$D$146</f>
        <v/>
      </c>
      <c r="CK146" s="468">
        <f>CK144*$D$146</f>
        <v/>
      </c>
      <c r="CL146" s="468">
        <f>CL144*$D$146</f>
        <v/>
      </c>
      <c r="CM146" s="468">
        <f>CM144*$D$146</f>
        <v/>
      </c>
      <c r="CN146" s="468">
        <f>CN144*$D$146</f>
        <v/>
      </c>
      <c r="CO146" s="468">
        <f>CO144*$D$146</f>
        <v/>
      </c>
      <c r="CP146" s="468">
        <f>CP144*$D$146</f>
        <v/>
      </c>
      <c r="CQ146" s="468">
        <f>CQ144*$D$146</f>
        <v/>
      </c>
      <c r="CR146" s="468">
        <f>CR144*$D$146</f>
        <v/>
      </c>
      <c r="CS146" s="468">
        <f>CS144*$D$146</f>
        <v/>
      </c>
      <c r="CT146" s="468">
        <f>CT144*$D$146</f>
        <v/>
      </c>
      <c r="CU146" s="468">
        <f>CU144*$D$146</f>
        <v/>
      </c>
      <c r="CV146" s="468">
        <f>CV144*$D$146</f>
        <v/>
      </c>
      <c r="CW146" s="468">
        <f>CW144*$D$146</f>
        <v/>
      </c>
      <c r="CX146" s="468">
        <f>CX144*$D$146</f>
        <v/>
      </c>
      <c r="CY146" s="468">
        <f>CY144*$D$146</f>
        <v/>
      </c>
      <c r="CZ146" s="468">
        <f>CZ144*$D$146</f>
        <v/>
      </c>
      <c r="DA146" s="468">
        <f>DA144*$D$146</f>
        <v/>
      </c>
      <c r="DB146" s="468">
        <f>DB144*$D$146</f>
        <v/>
      </c>
      <c r="DC146" s="468">
        <f>DC144*$D$146</f>
        <v/>
      </c>
      <c r="DD146" s="468">
        <f>DD144*$D$146</f>
        <v/>
      </c>
      <c r="DE146" s="468">
        <f>DE144*$D$146</f>
        <v/>
      </c>
      <c r="DF146" s="468">
        <f>DF144*$D$146</f>
        <v/>
      </c>
      <c r="DG146" s="468">
        <f>DG144*$D$146</f>
        <v/>
      </c>
      <c r="DH146" s="468">
        <f>DH144*$D$146</f>
        <v/>
      </c>
      <c r="DI146" s="468">
        <f>DI144*$D$146</f>
        <v/>
      </c>
      <c r="DJ146" s="468">
        <f>DJ144*$D$146</f>
        <v/>
      </c>
      <c r="DK146" s="468">
        <f>DK144*$D$146</f>
        <v/>
      </c>
      <c r="DL146" s="468">
        <f>DL144*$D$146</f>
        <v/>
      </c>
      <c r="DM146" s="468">
        <f>DM144*$D$146</f>
        <v/>
      </c>
      <c r="DN146" s="468">
        <f>DN144*$D$146</f>
        <v/>
      </c>
      <c r="DO146" s="468">
        <f>DO144*$D$146</f>
        <v/>
      </c>
      <c r="DP146" s="468">
        <f>DP144*$D$146</f>
        <v/>
      </c>
      <c r="DQ146" s="468">
        <f>DQ144*$D$146</f>
        <v/>
      </c>
      <c r="DR146" s="468">
        <f>DR144*$D$146</f>
        <v/>
      </c>
      <c r="DS146" s="468">
        <f>DS144*$D$146</f>
        <v/>
      </c>
      <c r="DT146" s="468">
        <f>DT144*$D$146</f>
        <v/>
      </c>
      <c r="DU146" s="468">
        <f>DU144*$D$146</f>
        <v/>
      </c>
      <c r="DV146" s="468">
        <f>DV144*$D$146</f>
        <v/>
      </c>
      <c r="DW146" s="322" t="inlineStr">
        <is>
          <t>x</t>
        </is>
      </c>
    </row>
    <row r="147" hidden="1" outlineLevel="1">
      <c r="C147" s="682">
        <f>C138</f>
        <v/>
      </c>
      <c r="D147" s="478" t="n"/>
      <c r="E147" s="463">
        <f>SUM(F147:BN147)</f>
        <v/>
      </c>
      <c r="F147" s="468">
        <f>F138</f>
        <v/>
      </c>
      <c r="G147" s="468">
        <f>G138</f>
        <v/>
      </c>
      <c r="H147" s="468">
        <f>H138</f>
        <v/>
      </c>
      <c r="I147" s="468">
        <f>I138</f>
        <v/>
      </c>
      <c r="J147" s="468">
        <f>J138</f>
        <v/>
      </c>
      <c r="K147" s="468">
        <f>K138</f>
        <v/>
      </c>
      <c r="L147" s="468">
        <f>L138</f>
        <v/>
      </c>
      <c r="M147" s="468">
        <f>M138</f>
        <v/>
      </c>
      <c r="N147" s="468">
        <f>N138</f>
        <v/>
      </c>
      <c r="O147" s="468">
        <f>O138</f>
        <v/>
      </c>
      <c r="P147" s="468">
        <f>P138</f>
        <v/>
      </c>
      <c r="Q147" s="468">
        <f>Q138</f>
        <v/>
      </c>
      <c r="R147" s="468">
        <f>R138</f>
        <v/>
      </c>
      <c r="S147" s="468">
        <f>S138</f>
        <v/>
      </c>
      <c r="T147" s="468">
        <f>T138</f>
        <v/>
      </c>
      <c r="U147" s="468">
        <f>U138</f>
        <v/>
      </c>
      <c r="V147" s="468">
        <f>V138</f>
        <v/>
      </c>
      <c r="W147" s="468">
        <f>W138</f>
        <v/>
      </c>
      <c r="X147" s="468">
        <f>X138</f>
        <v/>
      </c>
      <c r="Y147" s="468">
        <f>Y138</f>
        <v/>
      </c>
      <c r="Z147" s="468">
        <f>Z138</f>
        <v/>
      </c>
      <c r="AA147" s="468">
        <f>AA138</f>
        <v/>
      </c>
      <c r="AB147" s="468">
        <f>AB138</f>
        <v/>
      </c>
      <c r="AC147" s="468">
        <f>AC138</f>
        <v/>
      </c>
      <c r="AD147" s="468">
        <f>AD138</f>
        <v/>
      </c>
      <c r="AE147" s="468">
        <f>AE138</f>
        <v/>
      </c>
      <c r="AF147" s="468">
        <f>AF138</f>
        <v/>
      </c>
      <c r="AG147" s="468">
        <f>AG138</f>
        <v/>
      </c>
      <c r="AH147" s="468">
        <f>AH138</f>
        <v/>
      </c>
      <c r="AI147" s="468">
        <f>AI138</f>
        <v/>
      </c>
      <c r="AJ147" s="468">
        <f>AJ138</f>
        <v/>
      </c>
      <c r="AK147" s="468">
        <f>AK138</f>
        <v/>
      </c>
      <c r="AL147" s="468">
        <f>AL138</f>
        <v/>
      </c>
      <c r="AM147" s="468">
        <f>AM138</f>
        <v/>
      </c>
      <c r="AN147" s="468">
        <f>AN138</f>
        <v/>
      </c>
      <c r="AO147" s="468">
        <f>AO138</f>
        <v/>
      </c>
      <c r="AP147" s="468">
        <f>AP138</f>
        <v/>
      </c>
      <c r="AQ147" s="468">
        <f>AQ138</f>
        <v/>
      </c>
      <c r="AR147" s="468">
        <f>AR138</f>
        <v/>
      </c>
      <c r="AS147" s="468">
        <f>AS138</f>
        <v/>
      </c>
      <c r="AT147" s="468">
        <f>AT138</f>
        <v/>
      </c>
      <c r="AU147" s="468">
        <f>AU138</f>
        <v/>
      </c>
      <c r="AV147" s="468">
        <f>AV138</f>
        <v/>
      </c>
      <c r="AW147" s="468">
        <f>AW138</f>
        <v/>
      </c>
      <c r="AX147" s="468">
        <f>AX138</f>
        <v/>
      </c>
      <c r="AY147" s="468">
        <f>AY138</f>
        <v/>
      </c>
      <c r="AZ147" s="468">
        <f>AZ138</f>
        <v/>
      </c>
      <c r="BA147" s="468">
        <f>BA138</f>
        <v/>
      </c>
      <c r="BB147" s="468">
        <f>BB138</f>
        <v/>
      </c>
      <c r="BC147" s="468">
        <f>BC138</f>
        <v/>
      </c>
      <c r="BD147" s="468">
        <f>BD138</f>
        <v/>
      </c>
      <c r="BE147" s="468">
        <f>BE138</f>
        <v/>
      </c>
      <c r="BF147" s="468">
        <f>BF138</f>
        <v/>
      </c>
      <c r="BG147" s="468">
        <f>BG138</f>
        <v/>
      </c>
      <c r="BH147" s="468">
        <f>BH138</f>
        <v/>
      </c>
      <c r="BI147" s="468">
        <f>BI138</f>
        <v/>
      </c>
      <c r="BJ147" s="468">
        <f>BJ138</f>
        <v/>
      </c>
      <c r="BK147" s="468">
        <f>BK138</f>
        <v/>
      </c>
      <c r="BL147" s="468">
        <f>BL138</f>
        <v/>
      </c>
      <c r="BM147" s="468">
        <f>BM138</f>
        <v/>
      </c>
      <c r="BN147" s="468">
        <f>BN138</f>
        <v/>
      </c>
      <c r="BO147" s="468">
        <f>BO138</f>
        <v/>
      </c>
      <c r="BP147" s="468">
        <f>BP138</f>
        <v/>
      </c>
      <c r="BQ147" s="468">
        <f>BQ138</f>
        <v/>
      </c>
      <c r="BR147" s="468">
        <f>BR138</f>
        <v/>
      </c>
      <c r="BS147" s="468">
        <f>BS138</f>
        <v/>
      </c>
      <c r="BT147" s="468">
        <f>BT138</f>
        <v/>
      </c>
      <c r="BU147" s="468">
        <f>BU138</f>
        <v/>
      </c>
      <c r="BV147" s="468">
        <f>BV138</f>
        <v/>
      </c>
      <c r="BW147" s="468">
        <f>BW138</f>
        <v/>
      </c>
      <c r="BX147" s="468">
        <f>BX138</f>
        <v/>
      </c>
      <c r="BY147" s="468">
        <f>BY138</f>
        <v/>
      </c>
      <c r="BZ147" s="468">
        <f>BZ138</f>
        <v/>
      </c>
      <c r="CA147" s="468">
        <f>CA138</f>
        <v/>
      </c>
      <c r="CB147" s="468">
        <f>CB138</f>
        <v/>
      </c>
      <c r="CC147" s="468">
        <f>CC138</f>
        <v/>
      </c>
      <c r="CD147" s="468">
        <f>CD138</f>
        <v/>
      </c>
      <c r="CE147" s="468">
        <f>CE138</f>
        <v/>
      </c>
      <c r="CF147" s="468">
        <f>CF138</f>
        <v/>
      </c>
      <c r="CG147" s="468">
        <f>CG138</f>
        <v/>
      </c>
      <c r="CH147" s="468">
        <f>CH138</f>
        <v/>
      </c>
      <c r="CI147" s="468">
        <f>CI138</f>
        <v/>
      </c>
      <c r="CJ147" s="468">
        <f>CJ138</f>
        <v/>
      </c>
      <c r="CK147" s="468">
        <f>CK138</f>
        <v/>
      </c>
      <c r="CL147" s="468">
        <f>CL138</f>
        <v/>
      </c>
      <c r="CM147" s="468">
        <f>CM138</f>
        <v/>
      </c>
      <c r="CN147" s="468">
        <f>CN138</f>
        <v/>
      </c>
      <c r="CO147" s="468">
        <f>CO138</f>
        <v/>
      </c>
      <c r="CP147" s="468">
        <f>CP138</f>
        <v/>
      </c>
      <c r="CQ147" s="468">
        <f>CQ138</f>
        <v/>
      </c>
      <c r="CR147" s="468">
        <f>CR138</f>
        <v/>
      </c>
      <c r="CS147" s="468">
        <f>CS138</f>
        <v/>
      </c>
      <c r="CT147" s="468">
        <f>CT138</f>
        <v/>
      </c>
      <c r="CU147" s="468">
        <f>CU138</f>
        <v/>
      </c>
      <c r="CV147" s="468">
        <f>CV138</f>
        <v/>
      </c>
      <c r="CW147" s="468">
        <f>CW138</f>
        <v/>
      </c>
      <c r="CX147" s="468">
        <f>CX138</f>
        <v/>
      </c>
      <c r="CY147" s="468">
        <f>CY138</f>
        <v/>
      </c>
      <c r="CZ147" s="468">
        <f>CZ138</f>
        <v/>
      </c>
      <c r="DA147" s="468">
        <f>DA138</f>
        <v/>
      </c>
      <c r="DB147" s="468">
        <f>DB138</f>
        <v/>
      </c>
      <c r="DC147" s="468">
        <f>DC138</f>
        <v/>
      </c>
      <c r="DD147" s="468">
        <f>DD138</f>
        <v/>
      </c>
      <c r="DE147" s="468">
        <f>DE138</f>
        <v/>
      </c>
      <c r="DF147" s="468">
        <f>DF138</f>
        <v/>
      </c>
      <c r="DG147" s="468">
        <f>DG138</f>
        <v/>
      </c>
      <c r="DH147" s="468">
        <f>DH138</f>
        <v/>
      </c>
      <c r="DI147" s="468">
        <f>DI138</f>
        <v/>
      </c>
      <c r="DJ147" s="468">
        <f>DJ138</f>
        <v/>
      </c>
      <c r="DK147" s="468">
        <f>DK138</f>
        <v/>
      </c>
      <c r="DL147" s="468">
        <f>DL138</f>
        <v/>
      </c>
      <c r="DM147" s="468">
        <f>DM138</f>
        <v/>
      </c>
      <c r="DN147" s="468">
        <f>DN138</f>
        <v/>
      </c>
      <c r="DO147" s="468">
        <f>DO138</f>
        <v/>
      </c>
      <c r="DP147" s="468">
        <f>DP138</f>
        <v/>
      </c>
      <c r="DQ147" s="468">
        <f>DQ138</f>
        <v/>
      </c>
      <c r="DR147" s="468">
        <f>DR138</f>
        <v/>
      </c>
      <c r="DS147" s="468">
        <f>DS138</f>
        <v/>
      </c>
      <c r="DT147" s="468">
        <f>DT138</f>
        <v/>
      </c>
      <c r="DU147" s="468">
        <f>DU138</f>
        <v/>
      </c>
      <c r="DV147" s="468">
        <f>DV138</f>
        <v/>
      </c>
      <c r="DW147" s="322" t="inlineStr">
        <is>
          <t>x</t>
        </is>
      </c>
    </row>
    <row r="148" hidden="1" outlineLevel="1">
      <c r="C148" s="476">
        <f>TEXT(D146,"0.0x")&amp;" Accrual Distribution"</f>
        <v/>
      </c>
      <c r="D148" s="484" t="n"/>
      <c r="E148" s="463">
        <f>SUM(F148:BN148)</f>
        <v/>
      </c>
      <c r="F148" s="468">
        <f>-MIN(SUM(F145:F147),-F160)</f>
        <v/>
      </c>
      <c r="G148" s="468">
        <f>-MIN(SUM(G145:G147),-G160)</f>
        <v/>
      </c>
      <c r="H148" s="468">
        <f>-MIN(SUM(H145:H147),-H160)</f>
        <v/>
      </c>
      <c r="I148" s="468">
        <f>-MIN(SUM(I145:I147),-I160)</f>
        <v/>
      </c>
      <c r="J148" s="468">
        <f>-MIN(SUM(J145:J147),-J160)</f>
        <v/>
      </c>
      <c r="K148" s="468">
        <f>-MIN(SUM(K145:K147),-K160)</f>
        <v/>
      </c>
      <c r="L148" s="468">
        <f>-MIN(SUM(L145:L147),-L160)</f>
        <v/>
      </c>
      <c r="M148" s="468">
        <f>-MIN(SUM(M145:M147),-M160)</f>
        <v/>
      </c>
      <c r="N148" s="468">
        <f>-MIN(SUM(N145:N147),-N160)</f>
        <v/>
      </c>
      <c r="O148" s="468">
        <f>-MIN(SUM(O145:O147),-O160)</f>
        <v/>
      </c>
      <c r="P148" s="468">
        <f>-MIN(SUM(P145:P147),-P160)</f>
        <v/>
      </c>
      <c r="Q148" s="468">
        <f>-MIN(SUM(Q145:Q147),-Q160)</f>
        <v/>
      </c>
      <c r="R148" s="468">
        <f>-MIN(SUM(R145:R147),-R160)</f>
        <v/>
      </c>
      <c r="S148" s="468">
        <f>-MIN(SUM(S145:S147),-S160)</f>
        <v/>
      </c>
      <c r="T148" s="468">
        <f>-MIN(SUM(T145:T147),-T160)</f>
        <v/>
      </c>
      <c r="U148" s="468">
        <f>-MIN(SUM(U145:U147),-U160)</f>
        <v/>
      </c>
      <c r="V148" s="468">
        <f>-MIN(SUM(V145:V147),-V160)</f>
        <v/>
      </c>
      <c r="W148" s="468">
        <f>-MIN(SUM(W145:W147),-W160)</f>
        <v/>
      </c>
      <c r="X148" s="468">
        <f>-MIN(SUM(X145:X147),-X160)</f>
        <v/>
      </c>
      <c r="Y148" s="468">
        <f>-MIN(SUM(Y145:Y147),-Y160)</f>
        <v/>
      </c>
      <c r="Z148" s="468">
        <f>-MIN(SUM(Z145:Z147),-Z160)</f>
        <v/>
      </c>
      <c r="AA148" s="468">
        <f>-MIN(SUM(AA145:AA147),-AA160)</f>
        <v/>
      </c>
      <c r="AB148" s="468">
        <f>-MIN(SUM(AB145:AB147),-AB160)</f>
        <v/>
      </c>
      <c r="AC148" s="468">
        <f>-MIN(SUM(AC145:AC147),-AC160)</f>
        <v/>
      </c>
      <c r="AD148" s="468">
        <f>-MIN(SUM(AD145:AD147),-AD160)</f>
        <v/>
      </c>
      <c r="AE148" s="468">
        <f>-MIN(SUM(AE145:AE147),-AE160)</f>
        <v/>
      </c>
      <c r="AF148" s="468">
        <f>-MIN(SUM(AF145:AF147),-AF160)</f>
        <v/>
      </c>
      <c r="AG148" s="468">
        <f>-MIN(SUM(AG145:AG147),-AG160)</f>
        <v/>
      </c>
      <c r="AH148" s="468">
        <f>-MIN(SUM(AH145:AH147),-AH160)</f>
        <v/>
      </c>
      <c r="AI148" s="468">
        <f>-MIN(SUM(AI145:AI147),-AI160)</f>
        <v/>
      </c>
      <c r="AJ148" s="468">
        <f>-MIN(SUM(AJ145:AJ147),-AJ160)</f>
        <v/>
      </c>
      <c r="AK148" s="468">
        <f>-MIN(SUM(AK145:AK147),-AK160)</f>
        <v/>
      </c>
      <c r="AL148" s="468">
        <f>-MIN(SUM(AL145:AL147),-AL160)</f>
        <v/>
      </c>
      <c r="AM148" s="468">
        <f>-MIN(SUM(AM145:AM147),-AM160)</f>
        <v/>
      </c>
      <c r="AN148" s="468">
        <f>-MIN(SUM(AN145:AN147),-AN160)</f>
        <v/>
      </c>
      <c r="AO148" s="468">
        <f>-MIN(SUM(AO145:AO147),-AO160)</f>
        <v/>
      </c>
      <c r="AP148" s="468">
        <f>-MIN(SUM(AP145:AP147),-AP160)</f>
        <v/>
      </c>
      <c r="AQ148" s="468">
        <f>-MIN(SUM(AQ145:AQ147),-AQ160)</f>
        <v/>
      </c>
      <c r="AR148" s="468">
        <f>-MIN(SUM(AR145:AR147),-AR160)</f>
        <v/>
      </c>
      <c r="AS148" s="468">
        <f>-MIN(SUM(AS145:AS147),-AS160)</f>
        <v/>
      </c>
      <c r="AT148" s="468">
        <f>-MIN(SUM(AT145:AT147),-AT160)</f>
        <v/>
      </c>
      <c r="AU148" s="468">
        <f>-MIN(SUM(AU145:AU147),-AU160)</f>
        <v/>
      </c>
      <c r="AV148" s="468">
        <f>-MIN(SUM(AV145:AV147),-AV160)</f>
        <v/>
      </c>
      <c r="AW148" s="468">
        <f>-MIN(SUM(AW145:AW147),-AW160)</f>
        <v/>
      </c>
      <c r="AX148" s="468">
        <f>-MIN(SUM(AX145:AX147),-AX160)</f>
        <v/>
      </c>
      <c r="AY148" s="468">
        <f>-MIN(SUM(AY145:AY147),-AY160)</f>
        <v/>
      </c>
      <c r="AZ148" s="468">
        <f>-MIN(SUM(AZ145:AZ147),-AZ160)</f>
        <v/>
      </c>
      <c r="BA148" s="468">
        <f>-MIN(SUM(BA145:BA147),-BA160)</f>
        <v/>
      </c>
      <c r="BB148" s="468">
        <f>-MIN(SUM(BB145:BB147),-BB160)</f>
        <v/>
      </c>
      <c r="BC148" s="468">
        <f>-MIN(SUM(BC145:BC147),-BC160)</f>
        <v/>
      </c>
      <c r="BD148" s="468">
        <f>-MIN(SUM(BD145:BD147),-BD160)</f>
        <v/>
      </c>
      <c r="BE148" s="468">
        <f>-MIN(SUM(BE145:BE147),-BE160)</f>
        <v/>
      </c>
      <c r="BF148" s="468">
        <f>-MIN(SUM(BF145:BF147),-BF160)</f>
        <v/>
      </c>
      <c r="BG148" s="468">
        <f>-MIN(SUM(BG145:BG147),-BG160)</f>
        <v/>
      </c>
      <c r="BH148" s="468">
        <f>-MIN(SUM(BH145:BH147),-BH160)</f>
        <v/>
      </c>
      <c r="BI148" s="468">
        <f>-MIN(SUM(BI145:BI147),-BI160)</f>
        <v/>
      </c>
      <c r="BJ148" s="468">
        <f>-MIN(SUM(BJ145:BJ147),-BJ160)</f>
        <v/>
      </c>
      <c r="BK148" s="468">
        <f>-MIN(SUM(BK145:BK147),-BK160)</f>
        <v/>
      </c>
      <c r="BL148" s="468">
        <f>-MIN(SUM(BL145:BL147),-BL160)</f>
        <v/>
      </c>
      <c r="BM148" s="468">
        <f>-MIN(SUM(BM145:BM147),-BM160)</f>
        <v/>
      </c>
      <c r="BN148" s="468">
        <f>-MIN(SUM(BN145:BN147),-BN160)</f>
        <v/>
      </c>
      <c r="BO148" s="468">
        <f>-MIN(SUM(BO145:BO147),-BO160)</f>
        <v/>
      </c>
      <c r="BP148" s="468">
        <f>-MIN(SUM(BP145:BP147),-BP160)</f>
        <v/>
      </c>
      <c r="BQ148" s="468">
        <f>-MIN(SUM(BQ145:BQ147),-BQ160)</f>
        <v/>
      </c>
      <c r="BR148" s="468">
        <f>-MIN(SUM(BR145:BR147),-BR160)</f>
        <v/>
      </c>
      <c r="BS148" s="468">
        <f>-MIN(SUM(BS145:BS147),-BS160)</f>
        <v/>
      </c>
      <c r="BT148" s="468">
        <f>-MIN(SUM(BT145:BT147),-BT160)</f>
        <v/>
      </c>
      <c r="BU148" s="468">
        <f>-MIN(SUM(BU145:BU147),-BU160)</f>
        <v/>
      </c>
      <c r="BV148" s="468">
        <f>-MIN(SUM(BV145:BV147),-BV160)</f>
        <v/>
      </c>
      <c r="BW148" s="468">
        <f>-MIN(SUM(BW145:BW147),-BW160)</f>
        <v/>
      </c>
      <c r="BX148" s="468">
        <f>-MIN(SUM(BX145:BX147),-BX160)</f>
        <v/>
      </c>
      <c r="BY148" s="468">
        <f>-MIN(SUM(BY145:BY147),-BY160)</f>
        <v/>
      </c>
      <c r="BZ148" s="468">
        <f>-MIN(SUM(BZ145:BZ147),-BZ160)</f>
        <v/>
      </c>
      <c r="CA148" s="468">
        <f>-MIN(SUM(CA145:CA147),-CA160)</f>
        <v/>
      </c>
      <c r="CB148" s="468">
        <f>-MIN(SUM(CB145:CB147),-CB160)</f>
        <v/>
      </c>
      <c r="CC148" s="468">
        <f>-MIN(SUM(CC145:CC147),-CC160)</f>
        <v/>
      </c>
      <c r="CD148" s="468">
        <f>-MIN(SUM(CD145:CD147),-CD160)</f>
        <v/>
      </c>
      <c r="CE148" s="468">
        <f>-MIN(SUM(CE145:CE147),-CE160)</f>
        <v/>
      </c>
      <c r="CF148" s="468">
        <f>-MIN(SUM(CF145:CF147),-CF160)</f>
        <v/>
      </c>
      <c r="CG148" s="468">
        <f>-MIN(SUM(CG145:CG147),-CG160)</f>
        <v/>
      </c>
      <c r="CH148" s="468">
        <f>-MIN(SUM(CH145:CH147),-CH160)</f>
        <v/>
      </c>
      <c r="CI148" s="468">
        <f>-MIN(SUM(CI145:CI147),-CI160)</f>
        <v/>
      </c>
      <c r="CJ148" s="468">
        <f>-MIN(SUM(CJ145:CJ147),-CJ160)</f>
        <v/>
      </c>
      <c r="CK148" s="468">
        <f>-MIN(SUM(CK145:CK147),-CK160)</f>
        <v/>
      </c>
      <c r="CL148" s="468">
        <f>-MIN(SUM(CL145:CL147),-CL160)</f>
        <v/>
      </c>
      <c r="CM148" s="468">
        <f>-MIN(SUM(CM145:CM147),-CM160)</f>
        <v/>
      </c>
      <c r="CN148" s="468">
        <f>-MIN(SUM(CN145:CN147),-CN160)</f>
        <v/>
      </c>
      <c r="CO148" s="468">
        <f>-MIN(SUM(CO145:CO147),-CO160)</f>
        <v/>
      </c>
      <c r="CP148" s="468">
        <f>-MIN(SUM(CP145:CP147),-CP160)</f>
        <v/>
      </c>
      <c r="CQ148" s="468">
        <f>-MIN(SUM(CQ145:CQ147),-CQ160)</f>
        <v/>
      </c>
      <c r="CR148" s="468">
        <f>-MIN(SUM(CR145:CR147),-CR160)</f>
        <v/>
      </c>
      <c r="CS148" s="468">
        <f>-MIN(SUM(CS145:CS147),-CS160)</f>
        <v/>
      </c>
      <c r="CT148" s="468">
        <f>-MIN(SUM(CT145:CT147),-CT160)</f>
        <v/>
      </c>
      <c r="CU148" s="468">
        <f>-MIN(SUM(CU145:CU147),-CU160)</f>
        <v/>
      </c>
      <c r="CV148" s="468">
        <f>-MIN(SUM(CV145:CV147),-CV160)</f>
        <v/>
      </c>
      <c r="CW148" s="468">
        <f>-MIN(SUM(CW145:CW147),-CW160)</f>
        <v/>
      </c>
      <c r="CX148" s="468">
        <f>-MIN(SUM(CX145:CX147),-CX160)</f>
        <v/>
      </c>
      <c r="CY148" s="468">
        <f>-MIN(SUM(CY145:CY147),-CY160)</f>
        <v/>
      </c>
      <c r="CZ148" s="468">
        <f>-MIN(SUM(CZ145:CZ147),-CZ160)</f>
        <v/>
      </c>
      <c r="DA148" s="468">
        <f>-MIN(SUM(DA145:DA147),-DA160)</f>
        <v/>
      </c>
      <c r="DB148" s="468">
        <f>-MIN(SUM(DB145:DB147),-DB160)</f>
        <v/>
      </c>
      <c r="DC148" s="468">
        <f>-MIN(SUM(DC145:DC147),-DC160)</f>
        <v/>
      </c>
      <c r="DD148" s="468">
        <f>-MIN(SUM(DD145:DD147),-DD160)</f>
        <v/>
      </c>
      <c r="DE148" s="468">
        <f>-MIN(SUM(DE145:DE147),-DE160)</f>
        <v/>
      </c>
      <c r="DF148" s="468">
        <f>-MIN(SUM(DF145:DF147),-DF160)</f>
        <v/>
      </c>
      <c r="DG148" s="468">
        <f>-MIN(SUM(DG145:DG147),-DG160)</f>
        <v/>
      </c>
      <c r="DH148" s="468">
        <f>-MIN(SUM(DH145:DH147),-DH160)</f>
        <v/>
      </c>
      <c r="DI148" s="468">
        <f>-MIN(SUM(DI145:DI147),-DI160)</f>
        <v/>
      </c>
      <c r="DJ148" s="468">
        <f>-MIN(SUM(DJ145:DJ147),-DJ160)</f>
        <v/>
      </c>
      <c r="DK148" s="468">
        <f>-MIN(SUM(DK145:DK147),-DK160)</f>
        <v/>
      </c>
      <c r="DL148" s="468">
        <f>-MIN(SUM(DL145:DL147),-DL160)</f>
        <v/>
      </c>
      <c r="DM148" s="468">
        <f>-MIN(SUM(DM145:DM147),-DM160)</f>
        <v/>
      </c>
      <c r="DN148" s="468">
        <f>-MIN(SUM(DN145:DN147),-DN160)</f>
        <v/>
      </c>
      <c r="DO148" s="468">
        <f>-MIN(SUM(DO145:DO147),-DO160)</f>
        <v/>
      </c>
      <c r="DP148" s="468">
        <f>-MIN(SUM(DP145:DP147),-DP160)</f>
        <v/>
      </c>
      <c r="DQ148" s="468">
        <f>-MIN(SUM(DQ145:DQ147),-DQ160)</f>
        <v/>
      </c>
      <c r="DR148" s="468">
        <f>-MIN(SUM(DR145:DR147),-DR160)</f>
        <v/>
      </c>
      <c r="DS148" s="468">
        <f>-MIN(SUM(DS145:DS147),-DS160)</f>
        <v/>
      </c>
      <c r="DT148" s="468">
        <f>-MIN(SUM(DT145:DT147),-DT160)</f>
        <v/>
      </c>
      <c r="DU148" s="468">
        <f>-MIN(SUM(DU145:DU147),-DU160)</f>
        <v/>
      </c>
      <c r="DV148" s="468">
        <f>-MIN(SUM(DV145:DV147),-DV160)</f>
        <v/>
      </c>
      <c r="DW148" s="322" t="inlineStr">
        <is>
          <t>x</t>
        </is>
      </c>
    </row>
    <row r="149" hidden="1" outlineLevel="1" ht="17.25" customHeight="1" thickBot="1">
      <c r="C149" s="365" t="inlineStr">
        <is>
          <t>Ending Balance</t>
        </is>
      </c>
      <c r="D149" s="484" t="n"/>
      <c r="E149" s="657" t="n">
        <v>0</v>
      </c>
      <c r="F149" s="657">
        <f>SUM(F145:F148)</f>
        <v/>
      </c>
      <c r="G149" s="657">
        <f>SUM(G145:G148)</f>
        <v/>
      </c>
      <c r="H149" s="657">
        <f>SUM(H145:H148)</f>
        <v/>
      </c>
      <c r="I149" s="657">
        <f>SUM(I145:I148)</f>
        <v/>
      </c>
      <c r="J149" s="657">
        <f>SUM(J145:J148)</f>
        <v/>
      </c>
      <c r="K149" s="657">
        <f>SUM(K145:K148)</f>
        <v/>
      </c>
      <c r="L149" s="657">
        <f>SUM(L145:L148)</f>
        <v/>
      </c>
      <c r="M149" s="657">
        <f>SUM(M145:M148)</f>
        <v/>
      </c>
      <c r="N149" s="657">
        <f>SUM(N145:N148)</f>
        <v/>
      </c>
      <c r="O149" s="657">
        <f>SUM(O145:O148)</f>
        <v/>
      </c>
      <c r="P149" s="657">
        <f>SUM(P145:P148)</f>
        <v/>
      </c>
      <c r="Q149" s="657">
        <f>SUM(Q145:Q148)</f>
        <v/>
      </c>
      <c r="R149" s="657">
        <f>SUM(R145:R148)</f>
        <v/>
      </c>
      <c r="S149" s="657">
        <f>SUM(S145:S148)</f>
        <v/>
      </c>
      <c r="T149" s="657">
        <f>SUM(T145:T148)</f>
        <v/>
      </c>
      <c r="U149" s="657">
        <f>SUM(U145:U148)</f>
        <v/>
      </c>
      <c r="V149" s="657">
        <f>SUM(V145:V148)</f>
        <v/>
      </c>
      <c r="W149" s="657">
        <f>SUM(W145:W148)</f>
        <v/>
      </c>
      <c r="X149" s="657">
        <f>SUM(X145:X148)</f>
        <v/>
      </c>
      <c r="Y149" s="657">
        <f>SUM(Y145:Y148)</f>
        <v/>
      </c>
      <c r="Z149" s="657">
        <f>SUM(Z145:Z148)</f>
        <v/>
      </c>
      <c r="AA149" s="657">
        <f>SUM(AA145:AA148)</f>
        <v/>
      </c>
      <c r="AB149" s="657">
        <f>SUM(AB145:AB148)</f>
        <v/>
      </c>
      <c r="AC149" s="657">
        <f>SUM(AC145:AC148)</f>
        <v/>
      </c>
      <c r="AD149" s="657">
        <f>SUM(AD145:AD148)</f>
        <v/>
      </c>
      <c r="AE149" s="657">
        <f>SUM(AE145:AE148)</f>
        <v/>
      </c>
      <c r="AF149" s="657">
        <f>SUM(AF145:AF148)</f>
        <v/>
      </c>
      <c r="AG149" s="657">
        <f>SUM(AG145:AG148)</f>
        <v/>
      </c>
      <c r="AH149" s="657">
        <f>SUM(AH145:AH148)</f>
        <v/>
      </c>
      <c r="AI149" s="657">
        <f>SUM(AI145:AI148)</f>
        <v/>
      </c>
      <c r="AJ149" s="657">
        <f>SUM(AJ145:AJ148)</f>
        <v/>
      </c>
      <c r="AK149" s="657">
        <f>SUM(AK145:AK148)</f>
        <v/>
      </c>
      <c r="AL149" s="657">
        <f>SUM(AL145:AL148)</f>
        <v/>
      </c>
      <c r="AM149" s="657">
        <f>SUM(AM145:AM148)</f>
        <v/>
      </c>
      <c r="AN149" s="657">
        <f>SUM(AN145:AN148)</f>
        <v/>
      </c>
      <c r="AO149" s="657">
        <f>SUM(AO145:AO148)</f>
        <v/>
      </c>
      <c r="AP149" s="657">
        <f>SUM(AP145:AP148)</f>
        <v/>
      </c>
      <c r="AQ149" s="657">
        <f>SUM(AQ145:AQ148)</f>
        <v/>
      </c>
      <c r="AR149" s="657">
        <f>SUM(AR145:AR148)</f>
        <v/>
      </c>
      <c r="AS149" s="657">
        <f>SUM(AS145:AS148)</f>
        <v/>
      </c>
      <c r="AT149" s="657">
        <f>SUM(AT145:AT148)</f>
        <v/>
      </c>
      <c r="AU149" s="657">
        <f>SUM(AU145:AU148)</f>
        <v/>
      </c>
      <c r="AV149" s="657">
        <f>SUM(AV145:AV148)</f>
        <v/>
      </c>
      <c r="AW149" s="657">
        <f>SUM(AW145:AW148)</f>
        <v/>
      </c>
      <c r="AX149" s="657">
        <f>SUM(AX145:AX148)</f>
        <v/>
      </c>
      <c r="AY149" s="657">
        <f>SUM(AY145:AY148)</f>
        <v/>
      </c>
      <c r="AZ149" s="657">
        <f>SUM(AZ145:AZ148)</f>
        <v/>
      </c>
      <c r="BA149" s="657">
        <f>SUM(BA145:BA148)</f>
        <v/>
      </c>
      <c r="BB149" s="657">
        <f>SUM(BB145:BB148)</f>
        <v/>
      </c>
      <c r="BC149" s="657">
        <f>SUM(BC145:BC148)</f>
        <v/>
      </c>
      <c r="BD149" s="657">
        <f>SUM(BD145:BD148)</f>
        <v/>
      </c>
      <c r="BE149" s="657">
        <f>SUM(BE145:BE148)</f>
        <v/>
      </c>
      <c r="BF149" s="657">
        <f>SUM(BF145:BF148)</f>
        <v/>
      </c>
      <c r="BG149" s="657">
        <f>SUM(BG145:BG148)</f>
        <v/>
      </c>
      <c r="BH149" s="657">
        <f>SUM(BH145:BH148)</f>
        <v/>
      </c>
      <c r="BI149" s="657">
        <f>SUM(BI145:BI148)</f>
        <v/>
      </c>
      <c r="BJ149" s="657">
        <f>SUM(BJ145:BJ148)</f>
        <v/>
      </c>
      <c r="BK149" s="657">
        <f>SUM(BK145:BK148)</f>
        <v/>
      </c>
      <c r="BL149" s="657">
        <f>SUM(BL145:BL148)</f>
        <v/>
      </c>
      <c r="BM149" s="657">
        <f>SUM(BM145:BM148)</f>
        <v/>
      </c>
      <c r="BN149" s="657">
        <f>SUM(BN145:BN148)</f>
        <v/>
      </c>
      <c r="BO149" s="657">
        <f>SUM(BO145:BO148)</f>
        <v/>
      </c>
      <c r="BP149" s="657">
        <f>SUM(BP145:BP148)</f>
        <v/>
      </c>
      <c r="BQ149" s="657">
        <f>SUM(BQ145:BQ148)</f>
        <v/>
      </c>
      <c r="BR149" s="657">
        <f>SUM(BR145:BR148)</f>
        <v/>
      </c>
      <c r="BS149" s="657">
        <f>SUM(BS145:BS148)</f>
        <v/>
      </c>
      <c r="BT149" s="657">
        <f>SUM(BT145:BT148)</f>
        <v/>
      </c>
      <c r="BU149" s="657">
        <f>SUM(BU145:BU148)</f>
        <v/>
      </c>
      <c r="BV149" s="657">
        <f>SUM(BV145:BV148)</f>
        <v/>
      </c>
      <c r="BW149" s="657">
        <f>SUM(BW145:BW148)</f>
        <v/>
      </c>
      <c r="BX149" s="657">
        <f>SUM(BX145:BX148)</f>
        <v/>
      </c>
      <c r="BY149" s="657">
        <f>SUM(BY145:BY148)</f>
        <v/>
      </c>
      <c r="BZ149" s="657">
        <f>SUM(BZ145:BZ148)</f>
        <v/>
      </c>
      <c r="CA149" s="657">
        <f>SUM(CA145:CA148)</f>
        <v/>
      </c>
      <c r="CB149" s="657">
        <f>SUM(CB145:CB148)</f>
        <v/>
      </c>
      <c r="CC149" s="657">
        <f>SUM(CC145:CC148)</f>
        <v/>
      </c>
      <c r="CD149" s="657">
        <f>SUM(CD145:CD148)</f>
        <v/>
      </c>
      <c r="CE149" s="657">
        <f>SUM(CE145:CE148)</f>
        <v/>
      </c>
      <c r="CF149" s="657">
        <f>SUM(CF145:CF148)</f>
        <v/>
      </c>
      <c r="CG149" s="657">
        <f>SUM(CG145:CG148)</f>
        <v/>
      </c>
      <c r="CH149" s="657">
        <f>SUM(CH145:CH148)</f>
        <v/>
      </c>
      <c r="CI149" s="657">
        <f>SUM(CI145:CI148)</f>
        <v/>
      </c>
      <c r="CJ149" s="657">
        <f>SUM(CJ145:CJ148)</f>
        <v/>
      </c>
      <c r="CK149" s="657">
        <f>SUM(CK145:CK148)</f>
        <v/>
      </c>
      <c r="CL149" s="657">
        <f>SUM(CL145:CL148)</f>
        <v/>
      </c>
      <c r="CM149" s="657">
        <f>SUM(CM145:CM148)</f>
        <v/>
      </c>
      <c r="CN149" s="657">
        <f>SUM(CN145:CN148)</f>
        <v/>
      </c>
      <c r="CO149" s="657">
        <f>SUM(CO145:CO148)</f>
        <v/>
      </c>
      <c r="CP149" s="657">
        <f>SUM(CP145:CP148)</f>
        <v/>
      </c>
      <c r="CQ149" s="657">
        <f>SUM(CQ145:CQ148)</f>
        <v/>
      </c>
      <c r="CR149" s="657">
        <f>SUM(CR145:CR148)</f>
        <v/>
      </c>
      <c r="CS149" s="657">
        <f>SUM(CS145:CS148)</f>
        <v/>
      </c>
      <c r="CT149" s="657">
        <f>SUM(CT145:CT148)</f>
        <v/>
      </c>
      <c r="CU149" s="657">
        <f>SUM(CU145:CU148)</f>
        <v/>
      </c>
      <c r="CV149" s="657">
        <f>SUM(CV145:CV148)</f>
        <v/>
      </c>
      <c r="CW149" s="657">
        <f>SUM(CW145:CW148)</f>
        <v/>
      </c>
      <c r="CX149" s="657">
        <f>SUM(CX145:CX148)</f>
        <v/>
      </c>
      <c r="CY149" s="657">
        <f>SUM(CY145:CY148)</f>
        <v/>
      </c>
      <c r="CZ149" s="657">
        <f>SUM(CZ145:CZ148)</f>
        <v/>
      </c>
      <c r="DA149" s="657">
        <f>SUM(DA145:DA148)</f>
        <v/>
      </c>
      <c r="DB149" s="657">
        <f>SUM(DB145:DB148)</f>
        <v/>
      </c>
      <c r="DC149" s="657">
        <f>SUM(DC145:DC148)</f>
        <v/>
      </c>
      <c r="DD149" s="657">
        <f>SUM(DD145:DD148)</f>
        <v/>
      </c>
      <c r="DE149" s="657">
        <f>SUM(DE145:DE148)</f>
        <v/>
      </c>
      <c r="DF149" s="657">
        <f>SUM(DF145:DF148)</f>
        <v/>
      </c>
      <c r="DG149" s="657">
        <f>SUM(DG145:DG148)</f>
        <v/>
      </c>
      <c r="DH149" s="657">
        <f>SUM(DH145:DH148)</f>
        <v/>
      </c>
      <c r="DI149" s="657">
        <f>SUM(DI145:DI148)</f>
        <v/>
      </c>
      <c r="DJ149" s="657">
        <f>SUM(DJ145:DJ148)</f>
        <v/>
      </c>
      <c r="DK149" s="657">
        <f>SUM(DK145:DK148)</f>
        <v/>
      </c>
      <c r="DL149" s="657">
        <f>SUM(DL145:DL148)</f>
        <v/>
      </c>
      <c r="DM149" s="657">
        <f>SUM(DM145:DM148)</f>
        <v/>
      </c>
      <c r="DN149" s="657">
        <f>SUM(DN145:DN148)</f>
        <v/>
      </c>
      <c r="DO149" s="657">
        <f>SUM(DO145:DO148)</f>
        <v/>
      </c>
      <c r="DP149" s="657">
        <f>SUM(DP145:DP148)</f>
        <v/>
      </c>
      <c r="DQ149" s="657">
        <f>SUM(DQ145:DQ148)</f>
        <v/>
      </c>
      <c r="DR149" s="657">
        <f>SUM(DR145:DR148)</f>
        <v/>
      </c>
      <c r="DS149" s="657">
        <f>SUM(DS145:DS148)</f>
        <v/>
      </c>
      <c r="DT149" s="657">
        <f>SUM(DT145:DT148)</f>
        <v/>
      </c>
      <c r="DU149" s="657">
        <f>SUM(DU145:DU148)</f>
        <v/>
      </c>
      <c r="DV149" s="657">
        <f>SUM(DV145:DV148)</f>
        <v/>
      </c>
      <c r="DW149" s="322" t="inlineStr">
        <is>
          <t>x</t>
        </is>
      </c>
    </row>
    <row r="150" hidden="1" outlineLevel="1" ht="17.25" customHeight="1" thickTop="1">
      <c r="C150" s="365" t="n"/>
      <c r="D150" s="484" t="n"/>
      <c r="E150" s="654" t="n"/>
      <c r="F150" s="654" t="n"/>
      <c r="G150" s="654" t="n"/>
      <c r="H150" s="654" t="n"/>
      <c r="I150" s="654" t="n"/>
      <c r="J150" s="654" t="n"/>
      <c r="K150" s="654" t="n"/>
      <c r="L150" s="654" t="n"/>
      <c r="M150" s="654" t="n"/>
      <c r="N150" s="654" t="n"/>
      <c r="O150" s="654" t="n"/>
      <c r="P150" s="654" t="n"/>
      <c r="Q150" s="654" t="n"/>
      <c r="R150" s="654" t="n"/>
      <c r="S150" s="654" t="n"/>
      <c r="T150" s="654" t="n"/>
      <c r="U150" s="654" t="n"/>
      <c r="V150" s="654" t="n"/>
      <c r="W150" s="654" t="n"/>
      <c r="X150" s="654" t="n"/>
      <c r="Y150" s="654" t="n"/>
      <c r="Z150" s="654" t="n"/>
      <c r="AA150" s="654" t="n"/>
      <c r="AB150" s="654" t="n"/>
      <c r="AC150" s="654" t="n"/>
      <c r="AD150" s="654" t="n"/>
      <c r="AE150" s="654" t="n"/>
      <c r="AF150" s="654" t="n"/>
      <c r="AG150" s="654" t="n"/>
      <c r="AH150" s="654" t="n"/>
      <c r="AI150" s="654" t="n"/>
      <c r="AJ150" s="654" t="n"/>
      <c r="AK150" s="654" t="n"/>
      <c r="AL150" s="654" t="n"/>
      <c r="AM150" s="374" t="n"/>
      <c r="AN150" s="374" t="n"/>
      <c r="AO150" s="374" t="n"/>
      <c r="AP150" s="472" t="n"/>
      <c r="AQ150" s="472" t="n"/>
      <c r="AR150" s="472" t="n"/>
      <c r="AS150" s="472" t="n"/>
      <c r="AT150" s="472" t="n"/>
      <c r="AU150" s="472" t="n"/>
      <c r="AV150" s="473" t="n"/>
      <c r="AW150" s="360" t="n"/>
      <c r="AX150" s="360" t="n"/>
      <c r="AY150" s="360" t="n"/>
      <c r="AZ150" s="360" t="n"/>
      <c r="BA150" s="360" t="n"/>
      <c r="BB150" s="360" t="n"/>
      <c r="BC150" s="360" t="n"/>
      <c r="BD150" s="360" t="n"/>
      <c r="BE150" s="360" t="n"/>
      <c r="BF150" s="360" t="n"/>
      <c r="BG150" s="360" t="n"/>
      <c r="BH150" s="360" t="n"/>
      <c r="BI150" s="360" t="n"/>
      <c r="BJ150" s="360" t="n"/>
      <c r="BK150" s="360" t="n"/>
      <c r="BL150" s="360" t="n"/>
      <c r="BM150" s="360" t="n"/>
      <c r="BN150" s="360" t="n"/>
      <c r="BO150" s="360" t="n"/>
      <c r="BP150" s="360" t="n"/>
      <c r="BQ150" s="360" t="n"/>
      <c r="BR150" s="360" t="n"/>
      <c r="BS150" s="360" t="n"/>
      <c r="BT150" s="360" t="n"/>
      <c r="BU150" s="360" t="n"/>
      <c r="BV150" s="360" t="n"/>
      <c r="BW150" s="360" t="n"/>
      <c r="BX150" s="360" t="n"/>
      <c r="BY150" s="360" t="n"/>
      <c r="BZ150" s="360" t="n"/>
      <c r="CA150" s="360" t="n"/>
      <c r="CB150" s="360" t="n"/>
      <c r="CC150" s="360" t="n"/>
      <c r="CD150" s="360" t="n"/>
      <c r="CE150" s="360" t="n"/>
      <c r="CF150" s="360" t="n"/>
      <c r="CG150" s="360" t="n"/>
      <c r="CH150" s="360" t="n"/>
      <c r="CI150" s="360" t="n"/>
      <c r="CJ150" s="360" t="n"/>
      <c r="CK150" s="360" t="n"/>
      <c r="CL150" s="360" t="n"/>
      <c r="CM150" s="360" t="n"/>
      <c r="CN150" s="360" t="n"/>
      <c r="CO150" s="360" t="n"/>
      <c r="CP150" s="360" t="n"/>
      <c r="CQ150" s="360" t="n"/>
      <c r="CR150" s="360" t="n"/>
      <c r="CS150" s="360" t="n"/>
      <c r="CT150" s="360" t="n"/>
      <c r="CU150" s="360" t="n"/>
      <c r="CV150" s="360" t="n"/>
      <c r="CW150" s="360" t="n"/>
      <c r="CX150" s="360" t="n"/>
      <c r="CY150" s="360" t="n"/>
      <c r="CZ150" s="360" t="n"/>
      <c r="DA150" s="360" t="n"/>
      <c r="DB150" s="360" t="n"/>
      <c r="DC150" s="360" t="n"/>
      <c r="DD150" s="360" t="n"/>
      <c r="DE150" s="360" t="n"/>
      <c r="DF150" s="360" t="n"/>
      <c r="DG150" s="360" t="n"/>
      <c r="DH150" s="360" t="n"/>
      <c r="DI150" s="360" t="n"/>
      <c r="DJ150" s="360" t="n"/>
      <c r="DK150" s="360" t="n"/>
      <c r="DL150" s="360" t="n"/>
      <c r="DM150" s="360" t="n"/>
      <c r="DN150" s="360" t="n"/>
      <c r="DO150" s="360" t="n"/>
      <c r="DP150" s="360" t="n"/>
      <c r="DQ150" s="360" t="n"/>
      <c r="DR150" s="360" t="n"/>
      <c r="DS150" s="360" t="n"/>
      <c r="DT150" s="360" t="n"/>
      <c r="DU150" s="360" t="n"/>
      <c r="DV150" s="360" t="n"/>
      <c r="DW150" s="322" t="inlineStr">
        <is>
          <t>x</t>
        </is>
      </c>
    </row>
    <row r="151" hidden="1" outlineLevel="1">
      <c r="C151" s="479" t="inlineStr">
        <is>
          <t xml:space="preserve">Amount Required to Satisfy greater of </t>
        </is>
      </c>
      <c r="D151" s="480" t="n"/>
      <c r="E151" s="481" t="n"/>
      <c r="F151" s="481" t="n"/>
      <c r="G151" s="481" t="n"/>
      <c r="H151" s="481" t="n"/>
      <c r="I151" s="481" t="n"/>
      <c r="J151" s="481" t="n"/>
      <c r="K151" s="481" t="n"/>
      <c r="L151" s="481" t="n"/>
      <c r="M151" s="481" t="n"/>
      <c r="N151" s="481" t="n"/>
      <c r="O151" s="481" t="n"/>
      <c r="P151" s="481" t="n"/>
      <c r="Q151" s="481" t="n"/>
      <c r="R151" s="481" t="n"/>
      <c r="S151" s="481" t="n"/>
      <c r="T151" s="481" t="n"/>
      <c r="U151" s="481" t="n"/>
      <c r="V151" s="481" t="n"/>
      <c r="W151" s="481" t="n"/>
      <c r="X151" s="481" t="n"/>
      <c r="Y151" s="481" t="n"/>
      <c r="Z151" s="481" t="n"/>
      <c r="AA151" s="481" t="n"/>
      <c r="AB151" s="481" t="n"/>
      <c r="AC151" s="481" t="n"/>
      <c r="AD151" s="481" t="n"/>
      <c r="AE151" s="481" t="n"/>
      <c r="AF151" s="481" t="n"/>
      <c r="AG151" s="481" t="n"/>
      <c r="AH151" s="481" t="n"/>
      <c r="AI151" s="481" t="n"/>
      <c r="AJ151" s="481" t="n"/>
      <c r="AK151" s="481" t="n"/>
      <c r="AL151" s="481" t="n"/>
      <c r="AM151" s="481" t="n"/>
      <c r="AN151" s="481" t="n"/>
      <c r="AO151" s="481" t="n"/>
      <c r="AP151" s="481" t="n"/>
      <c r="AQ151" s="481" t="n"/>
      <c r="AR151" s="481" t="n"/>
      <c r="AS151" s="481" t="n"/>
      <c r="AT151" s="481" t="n"/>
      <c r="AU151" s="481" t="n"/>
      <c r="AV151" s="481" t="n"/>
      <c r="AW151" s="481" t="n"/>
      <c r="AX151" s="481" t="n"/>
      <c r="AY151" s="481" t="n"/>
      <c r="AZ151" s="481" t="n"/>
      <c r="BA151" s="481" t="n"/>
      <c r="BB151" s="481" t="n"/>
      <c r="BC151" s="481" t="n"/>
      <c r="BD151" s="481" t="n"/>
      <c r="BE151" s="481" t="n"/>
      <c r="BF151" s="481" t="n"/>
      <c r="BG151" s="481" t="n"/>
      <c r="BH151" s="481" t="n"/>
      <c r="BI151" s="481" t="n"/>
      <c r="BJ151" s="481" t="n"/>
      <c r="BK151" s="481" t="n"/>
      <c r="BL151" s="481" t="n"/>
      <c r="BM151" s="481" t="n"/>
      <c r="BN151" s="481" t="n"/>
      <c r="BO151" s="481" t="n"/>
      <c r="BP151" s="481" t="n"/>
      <c r="BQ151" s="481" t="n"/>
      <c r="BR151" s="481" t="n"/>
      <c r="BS151" s="481" t="n"/>
      <c r="BT151" s="481" t="n"/>
      <c r="BU151" s="481" t="n"/>
      <c r="BV151" s="481" t="n"/>
      <c r="BW151" s="481" t="n"/>
      <c r="BX151" s="481" t="n"/>
      <c r="BY151" s="481" t="n"/>
      <c r="BZ151" s="481" t="n"/>
      <c r="CA151" s="481" t="n"/>
      <c r="CB151" s="481" t="n"/>
      <c r="CC151" s="481" t="n"/>
      <c r="CD151" s="481" t="n"/>
      <c r="CE151" s="481" t="n"/>
      <c r="CF151" s="481" t="n"/>
      <c r="CG151" s="481" t="n"/>
      <c r="CH151" s="481" t="n"/>
      <c r="CI151" s="481" t="n"/>
      <c r="CJ151" s="481" t="n"/>
      <c r="CK151" s="481" t="n"/>
      <c r="CL151" s="481" t="n"/>
      <c r="CM151" s="481" t="n"/>
      <c r="CN151" s="481" t="n"/>
      <c r="CO151" s="481" t="n"/>
      <c r="CP151" s="481" t="n"/>
      <c r="CQ151" s="481" t="n"/>
      <c r="CR151" s="481" t="n"/>
      <c r="CS151" s="481" t="n"/>
      <c r="CT151" s="481" t="n"/>
      <c r="CU151" s="481" t="n"/>
      <c r="CV151" s="481" t="n"/>
      <c r="CW151" s="481" t="n"/>
      <c r="CX151" s="481" t="n"/>
      <c r="CY151" s="481" t="n"/>
      <c r="CZ151" s="481" t="n"/>
      <c r="DA151" s="481" t="n"/>
      <c r="DB151" s="481" t="n"/>
      <c r="DC151" s="481" t="n"/>
      <c r="DD151" s="481" t="n"/>
      <c r="DE151" s="481" t="n"/>
      <c r="DF151" s="481" t="n"/>
      <c r="DG151" s="481" t="n"/>
      <c r="DH151" s="481" t="n"/>
      <c r="DI151" s="481" t="n"/>
      <c r="DJ151" s="481" t="n"/>
      <c r="DK151" s="481" t="n"/>
      <c r="DL151" s="481" t="n"/>
      <c r="DM151" s="481" t="n"/>
      <c r="DN151" s="481" t="n"/>
      <c r="DO151" s="481" t="n"/>
      <c r="DP151" s="481" t="n"/>
      <c r="DQ151" s="481" t="n"/>
      <c r="DR151" s="481" t="n"/>
      <c r="DS151" s="481" t="n"/>
      <c r="DT151" s="481" t="n"/>
      <c r="DU151" s="481" t="n"/>
      <c r="DV151" s="481" t="n"/>
      <c r="DW151" s="322" t="inlineStr">
        <is>
          <t>x</t>
        </is>
      </c>
    </row>
    <row r="152" hidden="1" outlineLevel="1">
      <c r="C152" s="479">
        <f>"IRR and Equity Multiple Test for "&amp;C86</f>
        <v/>
      </c>
      <c r="D152" s="480" t="n"/>
      <c r="E152" s="481" t="n"/>
      <c r="F152" s="481">
        <f>MAX(SUM(F135:F138),SUM(F145:F147))</f>
        <v/>
      </c>
      <c r="G152" s="481">
        <f>MAX(SUM(G135:G138),SUM(G145:G147))</f>
        <v/>
      </c>
      <c r="H152" s="481">
        <f>MAX(SUM(H135:H138),SUM(H145:H147))</f>
        <v/>
      </c>
      <c r="I152" s="481">
        <f>MAX(SUM(I135:I138),SUM(I145:I147))</f>
        <v/>
      </c>
      <c r="J152" s="481">
        <f>MAX(SUM(J135:J138),SUM(J145:J147))</f>
        <v/>
      </c>
      <c r="K152" s="481">
        <f>MAX(SUM(K135:K138),SUM(K145:K147))</f>
        <v/>
      </c>
      <c r="L152" s="481">
        <f>MAX(SUM(L135:L138),SUM(L145:L147))</f>
        <v/>
      </c>
      <c r="M152" s="481">
        <f>MAX(SUM(M135:M138),SUM(M145:M147))</f>
        <v/>
      </c>
      <c r="N152" s="481">
        <f>MAX(SUM(N135:N138),SUM(N145:N147))</f>
        <v/>
      </c>
      <c r="O152" s="481">
        <f>MAX(SUM(O135:O138),SUM(O145:O147))</f>
        <v/>
      </c>
      <c r="P152" s="481">
        <f>MAX(SUM(P135:P138),SUM(P145:P147))</f>
        <v/>
      </c>
      <c r="Q152" s="481">
        <f>MAX(SUM(Q135:Q138),SUM(Q145:Q147))</f>
        <v/>
      </c>
      <c r="R152" s="481">
        <f>MAX(SUM(R135:R138),SUM(R145:R147))</f>
        <v/>
      </c>
      <c r="S152" s="481">
        <f>MAX(SUM(S135:S138),SUM(S145:S147))</f>
        <v/>
      </c>
      <c r="T152" s="481">
        <f>MAX(SUM(T135:T138),SUM(T145:T147))</f>
        <v/>
      </c>
      <c r="U152" s="481">
        <f>MAX(SUM(U135:U138),SUM(U145:U147))</f>
        <v/>
      </c>
      <c r="V152" s="481">
        <f>MAX(SUM(V135:V138),SUM(V145:V147))</f>
        <v/>
      </c>
      <c r="W152" s="481">
        <f>MAX(SUM(W135:W138),SUM(W145:W147))</f>
        <v/>
      </c>
      <c r="X152" s="481">
        <f>MAX(SUM(X135:X138),SUM(X145:X147))</f>
        <v/>
      </c>
      <c r="Y152" s="481">
        <f>MAX(SUM(Y135:Y138),SUM(Y145:Y147))</f>
        <v/>
      </c>
      <c r="Z152" s="481">
        <f>MAX(SUM(Z135:Z138),SUM(Z145:Z147))</f>
        <v/>
      </c>
      <c r="AA152" s="481">
        <f>MAX(SUM(AA135:AA138),SUM(AA145:AA147))</f>
        <v/>
      </c>
      <c r="AB152" s="481">
        <f>MAX(SUM(AB135:AB138),SUM(AB145:AB147))</f>
        <v/>
      </c>
      <c r="AC152" s="481">
        <f>MAX(SUM(AC135:AC138),SUM(AC145:AC147))</f>
        <v/>
      </c>
      <c r="AD152" s="481">
        <f>MAX(SUM(AD135:AD138),SUM(AD145:AD147))</f>
        <v/>
      </c>
      <c r="AE152" s="481">
        <f>MAX(SUM(AE135:AE138),SUM(AE145:AE147))</f>
        <v/>
      </c>
      <c r="AF152" s="481">
        <f>MAX(SUM(AF135:AF138),SUM(AF145:AF147))</f>
        <v/>
      </c>
      <c r="AG152" s="481">
        <f>MAX(SUM(AG135:AG138),SUM(AG145:AG147))</f>
        <v/>
      </c>
      <c r="AH152" s="481">
        <f>MAX(SUM(AH135:AH138),SUM(AH145:AH147))</f>
        <v/>
      </c>
      <c r="AI152" s="481">
        <f>MAX(SUM(AI135:AI138),SUM(AI145:AI147))</f>
        <v/>
      </c>
      <c r="AJ152" s="481">
        <f>MAX(SUM(AJ135:AJ138),SUM(AJ145:AJ147))</f>
        <v/>
      </c>
      <c r="AK152" s="481">
        <f>MAX(SUM(AK135:AK138),SUM(AK145:AK147))</f>
        <v/>
      </c>
      <c r="AL152" s="481">
        <f>MAX(SUM(AL135:AL138),SUM(AL145:AL147))</f>
        <v/>
      </c>
      <c r="AM152" s="481">
        <f>MAX(SUM(AM135:AM138),SUM(AM145:AM147))</f>
        <v/>
      </c>
      <c r="AN152" s="481">
        <f>MAX(SUM(AN135:AN138),SUM(AN145:AN147))</f>
        <v/>
      </c>
      <c r="AO152" s="481">
        <f>MAX(SUM(AO135:AO138),SUM(AO145:AO147))</f>
        <v/>
      </c>
      <c r="AP152" s="481">
        <f>MAX(SUM(AP135:AP138),SUM(AP145:AP147))</f>
        <v/>
      </c>
      <c r="AQ152" s="481">
        <f>MAX(SUM(AQ135:AQ138),SUM(AQ145:AQ147))</f>
        <v/>
      </c>
      <c r="AR152" s="481">
        <f>MAX(SUM(AR135:AR138),SUM(AR145:AR147))</f>
        <v/>
      </c>
      <c r="AS152" s="481">
        <f>MAX(SUM(AS135:AS138),SUM(AS145:AS147))</f>
        <v/>
      </c>
      <c r="AT152" s="481">
        <f>MAX(SUM(AT135:AT138),SUM(AT145:AT147))</f>
        <v/>
      </c>
      <c r="AU152" s="481">
        <f>MAX(SUM(AU135:AU138),SUM(AU145:AU147))</f>
        <v/>
      </c>
      <c r="AV152" s="481">
        <f>MAX(SUM(AV135:AV138),SUM(AV145:AV147))</f>
        <v/>
      </c>
      <c r="AW152" s="481">
        <f>MAX(SUM(AW135:AW138),SUM(AW145:AW147))</f>
        <v/>
      </c>
      <c r="AX152" s="481">
        <f>MAX(SUM(AX135:AX138),SUM(AX145:AX147))</f>
        <v/>
      </c>
      <c r="AY152" s="481">
        <f>MAX(SUM(AY135:AY138),SUM(AY145:AY147))</f>
        <v/>
      </c>
      <c r="AZ152" s="481">
        <f>MAX(SUM(AZ135:AZ138),SUM(AZ145:AZ147))</f>
        <v/>
      </c>
      <c r="BA152" s="481">
        <f>MAX(SUM(BA135:BA138),SUM(BA145:BA147))</f>
        <v/>
      </c>
      <c r="BB152" s="481">
        <f>MAX(SUM(BB135:BB138),SUM(BB145:BB147))</f>
        <v/>
      </c>
      <c r="BC152" s="481">
        <f>MAX(SUM(BC135:BC138),SUM(BC145:BC147))</f>
        <v/>
      </c>
      <c r="BD152" s="481">
        <f>MAX(SUM(BD135:BD138),SUM(BD145:BD147))</f>
        <v/>
      </c>
      <c r="BE152" s="481">
        <f>MAX(SUM(BE135:BE138),SUM(BE145:BE147))</f>
        <v/>
      </c>
      <c r="BF152" s="481">
        <f>MAX(SUM(BF135:BF138),SUM(BF145:BF147))</f>
        <v/>
      </c>
      <c r="BG152" s="481">
        <f>MAX(SUM(BG135:BG138),SUM(BG145:BG147))</f>
        <v/>
      </c>
      <c r="BH152" s="481">
        <f>MAX(SUM(BH135:BH138),SUM(BH145:BH147))</f>
        <v/>
      </c>
      <c r="BI152" s="481">
        <f>MAX(SUM(BI135:BI138),SUM(BI145:BI147))</f>
        <v/>
      </c>
      <c r="BJ152" s="481">
        <f>MAX(SUM(BJ135:BJ138),SUM(BJ145:BJ147))</f>
        <v/>
      </c>
      <c r="BK152" s="481">
        <f>MAX(SUM(BK135:BK138),SUM(BK145:BK147))</f>
        <v/>
      </c>
      <c r="BL152" s="481">
        <f>MAX(SUM(BL135:BL138),SUM(BL145:BL147))</f>
        <v/>
      </c>
      <c r="BM152" s="481">
        <f>MAX(SUM(BM135:BM138),SUM(BM145:BM147))</f>
        <v/>
      </c>
      <c r="BN152" s="481">
        <f>MAX(SUM(BN135:BN138),SUM(BN145:BN147))</f>
        <v/>
      </c>
      <c r="BO152" s="481">
        <f>MAX(SUM(BO135:BO138),SUM(BO145:BO147))</f>
        <v/>
      </c>
      <c r="BP152" s="481">
        <f>MAX(SUM(BP135:BP138),SUM(BP145:BP147))</f>
        <v/>
      </c>
      <c r="BQ152" s="481">
        <f>MAX(SUM(BQ135:BQ138),SUM(BQ145:BQ147))</f>
        <v/>
      </c>
      <c r="BR152" s="481">
        <f>MAX(SUM(BR135:BR138),SUM(BR145:BR147))</f>
        <v/>
      </c>
      <c r="BS152" s="481">
        <f>MAX(SUM(BS135:BS138),SUM(BS145:BS147))</f>
        <v/>
      </c>
      <c r="BT152" s="481">
        <f>MAX(SUM(BT135:BT138),SUM(BT145:BT147))</f>
        <v/>
      </c>
      <c r="BU152" s="481">
        <f>MAX(SUM(BU135:BU138),SUM(BU145:BU147))</f>
        <v/>
      </c>
      <c r="BV152" s="481">
        <f>MAX(SUM(BV135:BV138),SUM(BV145:BV147))</f>
        <v/>
      </c>
      <c r="BW152" s="481">
        <f>MAX(SUM(BW135:BW138),SUM(BW145:BW147))</f>
        <v/>
      </c>
      <c r="BX152" s="481">
        <f>MAX(SUM(BX135:BX138),SUM(BX145:BX147))</f>
        <v/>
      </c>
      <c r="BY152" s="481">
        <f>MAX(SUM(BY135:BY138),SUM(BY145:BY147))</f>
        <v/>
      </c>
      <c r="BZ152" s="481">
        <f>MAX(SUM(BZ135:BZ138),SUM(BZ145:BZ147))</f>
        <v/>
      </c>
      <c r="CA152" s="481">
        <f>MAX(SUM(CA135:CA138),SUM(CA145:CA147))</f>
        <v/>
      </c>
      <c r="CB152" s="481">
        <f>MAX(SUM(CB135:CB138),SUM(CB145:CB147))</f>
        <v/>
      </c>
      <c r="CC152" s="481">
        <f>MAX(SUM(CC135:CC138),SUM(CC145:CC147))</f>
        <v/>
      </c>
      <c r="CD152" s="481">
        <f>MAX(SUM(CD135:CD138),SUM(CD145:CD147))</f>
        <v/>
      </c>
      <c r="CE152" s="481">
        <f>MAX(SUM(CE135:CE138),SUM(CE145:CE147))</f>
        <v/>
      </c>
      <c r="CF152" s="481">
        <f>MAX(SUM(CF135:CF138),SUM(CF145:CF147))</f>
        <v/>
      </c>
      <c r="CG152" s="481">
        <f>MAX(SUM(CG135:CG138),SUM(CG145:CG147))</f>
        <v/>
      </c>
      <c r="CH152" s="481">
        <f>MAX(SUM(CH135:CH138),SUM(CH145:CH147))</f>
        <v/>
      </c>
      <c r="CI152" s="481">
        <f>MAX(SUM(CI135:CI138),SUM(CI145:CI147))</f>
        <v/>
      </c>
      <c r="CJ152" s="481">
        <f>MAX(SUM(CJ135:CJ138),SUM(CJ145:CJ147))</f>
        <v/>
      </c>
      <c r="CK152" s="481">
        <f>MAX(SUM(CK135:CK138),SUM(CK145:CK147))</f>
        <v/>
      </c>
      <c r="CL152" s="481">
        <f>MAX(SUM(CL135:CL138),SUM(CL145:CL147))</f>
        <v/>
      </c>
      <c r="CM152" s="481">
        <f>MAX(SUM(CM135:CM138),SUM(CM145:CM147))</f>
        <v/>
      </c>
      <c r="CN152" s="481">
        <f>MAX(SUM(CN135:CN138),SUM(CN145:CN147))</f>
        <v/>
      </c>
      <c r="CO152" s="481">
        <f>MAX(SUM(CO135:CO138),SUM(CO145:CO147))</f>
        <v/>
      </c>
      <c r="CP152" s="481">
        <f>MAX(SUM(CP135:CP138),SUM(CP145:CP147))</f>
        <v/>
      </c>
      <c r="CQ152" s="481">
        <f>MAX(SUM(CQ135:CQ138),SUM(CQ145:CQ147))</f>
        <v/>
      </c>
      <c r="CR152" s="481">
        <f>MAX(SUM(CR135:CR138),SUM(CR145:CR147))</f>
        <v/>
      </c>
      <c r="CS152" s="481">
        <f>MAX(SUM(CS135:CS138),SUM(CS145:CS147))</f>
        <v/>
      </c>
      <c r="CT152" s="481">
        <f>MAX(SUM(CT135:CT138),SUM(CT145:CT147))</f>
        <v/>
      </c>
      <c r="CU152" s="481">
        <f>MAX(SUM(CU135:CU138),SUM(CU145:CU147))</f>
        <v/>
      </c>
      <c r="CV152" s="481">
        <f>MAX(SUM(CV135:CV138),SUM(CV145:CV147))</f>
        <v/>
      </c>
      <c r="CW152" s="481">
        <f>MAX(SUM(CW135:CW138),SUM(CW145:CW147))</f>
        <v/>
      </c>
      <c r="CX152" s="481">
        <f>MAX(SUM(CX135:CX138),SUM(CX145:CX147))</f>
        <v/>
      </c>
      <c r="CY152" s="481">
        <f>MAX(SUM(CY135:CY138),SUM(CY145:CY147))</f>
        <v/>
      </c>
      <c r="CZ152" s="481">
        <f>MAX(SUM(CZ135:CZ138),SUM(CZ145:CZ147))</f>
        <v/>
      </c>
      <c r="DA152" s="481">
        <f>MAX(SUM(DA135:DA138),SUM(DA145:DA147))</f>
        <v/>
      </c>
      <c r="DB152" s="481">
        <f>MAX(SUM(DB135:DB138),SUM(DB145:DB147))</f>
        <v/>
      </c>
      <c r="DC152" s="481">
        <f>MAX(SUM(DC135:DC138),SUM(DC145:DC147))</f>
        <v/>
      </c>
      <c r="DD152" s="481">
        <f>MAX(SUM(DD135:DD138),SUM(DD145:DD147))</f>
        <v/>
      </c>
      <c r="DE152" s="481">
        <f>MAX(SUM(DE135:DE138),SUM(DE145:DE147))</f>
        <v/>
      </c>
      <c r="DF152" s="481">
        <f>MAX(SUM(DF135:DF138),SUM(DF145:DF147))</f>
        <v/>
      </c>
      <c r="DG152" s="481">
        <f>MAX(SUM(DG135:DG138),SUM(DG145:DG147))</f>
        <v/>
      </c>
      <c r="DH152" s="481">
        <f>MAX(SUM(DH135:DH138),SUM(DH145:DH147))</f>
        <v/>
      </c>
      <c r="DI152" s="481">
        <f>MAX(SUM(DI135:DI138),SUM(DI145:DI147))</f>
        <v/>
      </c>
      <c r="DJ152" s="481">
        <f>MAX(SUM(DJ135:DJ138),SUM(DJ145:DJ147))</f>
        <v/>
      </c>
      <c r="DK152" s="481">
        <f>MAX(SUM(DK135:DK138),SUM(DK145:DK147))</f>
        <v/>
      </c>
      <c r="DL152" s="481">
        <f>MAX(SUM(DL135:DL138),SUM(DL145:DL147))</f>
        <v/>
      </c>
      <c r="DM152" s="481">
        <f>MAX(SUM(DM135:DM138),SUM(DM145:DM147))</f>
        <v/>
      </c>
      <c r="DN152" s="481">
        <f>MAX(SUM(DN135:DN138),SUM(DN145:DN147))</f>
        <v/>
      </c>
      <c r="DO152" s="481">
        <f>MAX(SUM(DO135:DO138),SUM(DO145:DO147))</f>
        <v/>
      </c>
      <c r="DP152" s="481">
        <f>MAX(SUM(DP135:DP138),SUM(DP145:DP147))</f>
        <v/>
      </c>
      <c r="DQ152" s="481">
        <f>MAX(SUM(DQ135:DQ138),SUM(DQ145:DQ147))</f>
        <v/>
      </c>
      <c r="DR152" s="481">
        <f>MAX(SUM(DR135:DR138),SUM(DR145:DR147))</f>
        <v/>
      </c>
      <c r="DS152" s="481">
        <f>MAX(SUM(DS135:DS138),SUM(DS145:DS147))</f>
        <v/>
      </c>
      <c r="DT152" s="481">
        <f>MAX(SUM(DT135:DT138),SUM(DT145:DT147))</f>
        <v/>
      </c>
      <c r="DU152" s="481">
        <f>MAX(SUM(DU135:DU138),SUM(DU145:DU147))</f>
        <v/>
      </c>
      <c r="DV152" s="481">
        <f>MAX(SUM(DV135:DV138),SUM(DV145:DV147))</f>
        <v/>
      </c>
      <c r="DW152" s="322" t="inlineStr">
        <is>
          <t>x</t>
        </is>
      </c>
    </row>
    <row r="153" hidden="1" outlineLevel="1">
      <c r="C153" s="479" t="n"/>
      <c r="D153" s="480" t="n"/>
      <c r="E153" s="481" t="n"/>
      <c r="F153" s="481" t="n"/>
      <c r="G153" s="481" t="n"/>
      <c r="H153" s="481" t="n"/>
      <c r="I153" s="481" t="n"/>
      <c r="J153" s="481" t="n"/>
      <c r="K153" s="481" t="n"/>
      <c r="L153" s="481" t="n"/>
      <c r="M153" s="481" t="n"/>
      <c r="N153" s="481" t="n"/>
      <c r="O153" s="481" t="n"/>
      <c r="P153" s="481" t="n"/>
      <c r="Q153" s="481" t="n"/>
      <c r="R153" s="481" t="n"/>
      <c r="S153" s="481" t="n"/>
      <c r="T153" s="481" t="n"/>
      <c r="U153" s="481" t="n"/>
      <c r="V153" s="481" t="n"/>
      <c r="W153" s="481" t="n"/>
      <c r="X153" s="481" t="n"/>
      <c r="Y153" s="481" t="n"/>
      <c r="Z153" s="481" t="n"/>
      <c r="AA153" s="481" t="n"/>
      <c r="AB153" s="481" t="n"/>
      <c r="AC153" s="481" t="n"/>
      <c r="AD153" s="481" t="n"/>
      <c r="AE153" s="481" t="n"/>
      <c r="AF153" s="481" t="n"/>
      <c r="AG153" s="481" t="n"/>
      <c r="AH153" s="481" t="n"/>
      <c r="AI153" s="481" t="n"/>
      <c r="AJ153" s="481" t="n"/>
      <c r="AK153" s="481" t="n"/>
      <c r="AL153" s="481" t="n"/>
      <c r="AM153" s="481" t="n"/>
      <c r="AN153" s="481" t="n"/>
      <c r="AO153" s="481" t="n"/>
      <c r="AP153" s="481" t="n"/>
      <c r="AQ153" s="481" t="n"/>
      <c r="AR153" s="481" t="n"/>
      <c r="AS153" s="481" t="n"/>
      <c r="AT153" s="481" t="n"/>
      <c r="AU153" s="481" t="n"/>
      <c r="AV153" s="481" t="n"/>
      <c r="AW153" s="481" t="n"/>
      <c r="AX153" s="481" t="n"/>
      <c r="AY153" s="481" t="n"/>
      <c r="AZ153" s="481" t="n"/>
      <c r="BA153" s="481" t="n"/>
      <c r="BB153" s="481" t="n"/>
      <c r="BC153" s="481" t="n"/>
      <c r="BD153" s="481" t="n"/>
      <c r="BE153" s="481" t="n"/>
      <c r="BF153" s="481" t="n"/>
      <c r="BG153" s="481" t="n"/>
      <c r="BH153" s="481" t="n"/>
      <c r="BI153" s="481" t="n"/>
      <c r="BJ153" s="481" t="n"/>
      <c r="BK153" s="481" t="n"/>
      <c r="BL153" s="481" t="n"/>
      <c r="BM153" s="481" t="n"/>
      <c r="BN153" s="481" t="n"/>
      <c r="BO153" s="481" t="n"/>
      <c r="BP153" s="481" t="n"/>
      <c r="BQ153" s="481" t="n"/>
      <c r="BR153" s="481" t="n"/>
      <c r="BS153" s="481" t="n"/>
      <c r="BT153" s="481" t="n"/>
      <c r="BU153" s="481" t="n"/>
      <c r="BV153" s="481" t="n"/>
      <c r="BW153" s="481" t="n"/>
      <c r="BX153" s="481" t="n"/>
      <c r="BY153" s="481" t="n"/>
      <c r="BZ153" s="481" t="n"/>
      <c r="CA153" s="481" t="n"/>
      <c r="CB153" s="481" t="n"/>
      <c r="CC153" s="481" t="n"/>
      <c r="CD153" s="481" t="n"/>
      <c r="CE153" s="481" t="n"/>
      <c r="CF153" s="481" t="n"/>
      <c r="CG153" s="481" t="n"/>
      <c r="CH153" s="481" t="n"/>
      <c r="CI153" s="481" t="n"/>
      <c r="CJ153" s="481" t="n"/>
      <c r="CK153" s="481" t="n"/>
      <c r="CL153" s="481" t="n"/>
      <c r="CM153" s="481" t="n"/>
      <c r="CN153" s="481" t="n"/>
      <c r="CO153" s="481" t="n"/>
      <c r="CP153" s="481" t="n"/>
      <c r="CQ153" s="481" t="n"/>
      <c r="CR153" s="481" t="n"/>
      <c r="CS153" s="481" t="n"/>
      <c r="CT153" s="481" t="n"/>
      <c r="CU153" s="481" t="n"/>
      <c r="CV153" s="481" t="n"/>
      <c r="CW153" s="481" t="n"/>
      <c r="CX153" s="481" t="n"/>
      <c r="CY153" s="481" t="n"/>
      <c r="CZ153" s="481" t="n"/>
      <c r="DA153" s="481" t="n"/>
      <c r="DB153" s="481" t="n"/>
      <c r="DC153" s="481" t="n"/>
      <c r="DD153" s="481" t="n"/>
      <c r="DE153" s="481" t="n"/>
      <c r="DF153" s="481" t="n"/>
      <c r="DG153" s="481" t="n"/>
      <c r="DH153" s="481" t="n"/>
      <c r="DI153" s="481" t="n"/>
      <c r="DJ153" s="481" t="n"/>
      <c r="DK153" s="481" t="n"/>
      <c r="DL153" s="481" t="n"/>
      <c r="DM153" s="481" t="n"/>
      <c r="DN153" s="481" t="n"/>
      <c r="DO153" s="481" t="n"/>
      <c r="DP153" s="481" t="n"/>
      <c r="DQ153" s="481" t="n"/>
      <c r="DR153" s="481" t="n"/>
      <c r="DS153" s="481" t="n"/>
      <c r="DT153" s="481" t="n"/>
      <c r="DU153" s="481" t="n"/>
      <c r="DV153" s="481" t="n"/>
      <c r="DW153" s="322" t="inlineStr">
        <is>
          <t>x</t>
        </is>
      </c>
    </row>
    <row r="154" hidden="1" outlineLevel="1" ht="17.25" customHeight="1" thickBot="1">
      <c r="C154" s="480">
        <f>"Total Distribution Per Tier II to "&amp;C86</f>
        <v/>
      </c>
      <c r="D154" s="480" t="n"/>
      <c r="E154" s="482" t="n">
        <v>-2077334.382751219</v>
      </c>
      <c r="F154" s="483">
        <f>-MAX(MIN(F152,F130*$D$157),0)</f>
        <v/>
      </c>
      <c r="G154" s="483">
        <f>-MAX(MIN(G152,G130*$D$157),0)</f>
        <v/>
      </c>
      <c r="H154" s="483">
        <f>-MAX(MIN(H152,H130*$D$157),0)</f>
        <v/>
      </c>
      <c r="I154" s="483">
        <f>-MAX(MIN(I152,I130*$D$157),0)</f>
        <v/>
      </c>
      <c r="J154" s="483">
        <f>-MAX(MIN(J152,J130*$D$157),0)</f>
        <v/>
      </c>
      <c r="K154" s="483">
        <f>-MAX(MIN(K152,K130*$D$157),0)</f>
        <v/>
      </c>
      <c r="L154" s="483">
        <f>-MAX(MIN(L152,L130*$D$157),0)</f>
        <v/>
      </c>
      <c r="M154" s="483">
        <f>-MAX(MIN(M152,M130*$D$157),0)</f>
        <v/>
      </c>
      <c r="N154" s="483">
        <f>-MAX(MIN(N152,N130*$D$157),0)</f>
        <v/>
      </c>
      <c r="O154" s="483">
        <f>-MAX(MIN(O152,O130*$D$157),0)</f>
        <v/>
      </c>
      <c r="P154" s="483">
        <f>-MAX(MIN(P152,P130*$D$157),0)</f>
        <v/>
      </c>
      <c r="Q154" s="483">
        <f>-MAX(MIN(Q152,Q130*$D$157),0)</f>
        <v/>
      </c>
      <c r="R154" s="483">
        <f>-MAX(MIN(R152,R130*$D$157),0)</f>
        <v/>
      </c>
      <c r="S154" s="483">
        <f>-MAX(MIN(S152,S130*$D$157),0)</f>
        <v/>
      </c>
      <c r="T154" s="483">
        <f>-MAX(MIN(T152,T130*$D$157),0)</f>
        <v/>
      </c>
      <c r="U154" s="483">
        <f>-MAX(MIN(U152,U130*$D$157),0)</f>
        <v/>
      </c>
      <c r="V154" s="483">
        <f>-MAX(MIN(V152,V130*$D$157),0)</f>
        <v/>
      </c>
      <c r="W154" s="483">
        <f>-MAX(MIN(W152,W130*$D$157),0)</f>
        <v/>
      </c>
      <c r="X154" s="483">
        <f>-MAX(MIN(X152,X130*$D$157),0)</f>
        <v/>
      </c>
      <c r="Y154" s="483">
        <f>-MAX(MIN(Y152,Y130*$D$157),0)</f>
        <v/>
      </c>
      <c r="Z154" s="483">
        <f>-MAX(MIN(Z152,Z130*$D$157),0)</f>
        <v/>
      </c>
      <c r="AA154" s="483">
        <f>-MAX(MIN(AA152,AA130*$D$157),0)</f>
        <v/>
      </c>
      <c r="AB154" s="483">
        <f>-MAX(MIN(AB152,AB130*$D$157),0)</f>
        <v/>
      </c>
      <c r="AC154" s="483">
        <f>-MAX(MIN(AC152,AC130*$D$157),0)</f>
        <v/>
      </c>
      <c r="AD154" s="483">
        <f>-MAX(MIN(AD152,AD130*$D$157),0)</f>
        <v/>
      </c>
      <c r="AE154" s="483">
        <f>-MAX(MIN(AE152,AE130*$D$157),0)</f>
        <v/>
      </c>
      <c r="AF154" s="483">
        <f>-MAX(MIN(AF152,AF130*$D$157),0)</f>
        <v/>
      </c>
      <c r="AG154" s="483">
        <f>-MAX(MIN(AG152,AG130*$D$157),0)</f>
        <v/>
      </c>
      <c r="AH154" s="483">
        <f>-MAX(MIN(AH152,AH130*$D$157),0)</f>
        <v/>
      </c>
      <c r="AI154" s="483">
        <f>-MAX(MIN(AI152,AI130*$D$157),0)</f>
        <v/>
      </c>
      <c r="AJ154" s="483">
        <f>-MAX(MIN(AJ152,AJ130*$D$157),0)</f>
        <v/>
      </c>
      <c r="AK154" s="483">
        <f>-MAX(MIN(AK152,AK130*$D$157),0)</f>
        <v/>
      </c>
      <c r="AL154" s="483">
        <f>-MAX(MIN(AL152,AL130*$D$157),0)</f>
        <v/>
      </c>
      <c r="AM154" s="483">
        <f>-MAX(MIN(AM152,AM130*$D$157),0)</f>
        <v/>
      </c>
      <c r="AN154" s="483">
        <f>-MAX(MIN(AN152,AN130*$D$157),0)</f>
        <v/>
      </c>
      <c r="AO154" s="483">
        <f>-MAX(MIN(AO152,AO130*$D$157),0)</f>
        <v/>
      </c>
      <c r="AP154" s="483">
        <f>-MAX(MIN(AP152,AP130*$D$157),0)</f>
        <v/>
      </c>
      <c r="AQ154" s="483">
        <f>-MAX(MIN(AQ152,AQ130*$D$157),0)</f>
        <v/>
      </c>
      <c r="AR154" s="483">
        <f>-MAX(MIN(AR152,AR130*$D$157),0)</f>
        <v/>
      </c>
      <c r="AS154" s="483">
        <f>-MAX(MIN(AS152,AS130*$D$157),0)</f>
        <v/>
      </c>
      <c r="AT154" s="483">
        <f>-MAX(MIN(AT152,AT130*$D$157),0)</f>
        <v/>
      </c>
      <c r="AU154" s="483">
        <f>-MAX(MIN(AU152,AU130*$D$157),0)</f>
        <v/>
      </c>
      <c r="AV154" s="483">
        <f>-MAX(MIN(AV152,AV130*$D$157),0)</f>
        <v/>
      </c>
      <c r="AW154" s="483">
        <f>-MAX(MIN(AW152,AW130*$D$157),0)</f>
        <v/>
      </c>
      <c r="AX154" s="483">
        <f>-MAX(MIN(AX152,AX130*$D$157),0)</f>
        <v/>
      </c>
      <c r="AY154" s="483">
        <f>-MAX(MIN(AY152,AY130*$D$157),0)</f>
        <v/>
      </c>
      <c r="AZ154" s="483">
        <f>-MAX(MIN(AZ152,AZ130*$D$157),0)</f>
        <v/>
      </c>
      <c r="BA154" s="483">
        <f>-MAX(MIN(BA152,BA130*$D$157),0)</f>
        <v/>
      </c>
      <c r="BB154" s="483">
        <f>-MAX(MIN(BB152,BB130*$D$157),0)</f>
        <v/>
      </c>
      <c r="BC154" s="483">
        <f>-MAX(MIN(BC152,BC130*$D$157),0)</f>
        <v/>
      </c>
      <c r="BD154" s="483">
        <f>-MAX(MIN(BD152,BD130*$D$157),0)</f>
        <v/>
      </c>
      <c r="BE154" s="483">
        <f>-MAX(MIN(BE152,BE130*$D$157),0)</f>
        <v/>
      </c>
      <c r="BF154" s="483">
        <f>-MAX(MIN(BF152,BF130*$D$157),0)</f>
        <v/>
      </c>
      <c r="BG154" s="483">
        <f>-MAX(MIN(BG152,BG130*$D$157),0)</f>
        <v/>
      </c>
      <c r="BH154" s="483">
        <f>-MAX(MIN(BH152,BH130*$D$157),0)</f>
        <v/>
      </c>
      <c r="BI154" s="483">
        <f>-MAX(MIN(BI152,BI130*$D$157),0)</f>
        <v/>
      </c>
      <c r="BJ154" s="483">
        <f>-MAX(MIN(BJ152,BJ130*$D$157),0)</f>
        <v/>
      </c>
      <c r="BK154" s="483">
        <f>-MAX(MIN(BK152,BK130*$D$157),0)</f>
        <v/>
      </c>
      <c r="BL154" s="483">
        <f>-MAX(MIN(BL152,BL130*$D$157),0)</f>
        <v/>
      </c>
      <c r="BM154" s="483">
        <f>-MAX(MIN(BM152,BM130*$D$157),0)</f>
        <v/>
      </c>
      <c r="BN154" s="483">
        <f>-MAX(MIN(BN152,BN130*$D$157),0)</f>
        <v/>
      </c>
      <c r="BO154" s="483">
        <f>-MAX(MIN(BO152,BO130*$D$157),0)</f>
        <v/>
      </c>
      <c r="BP154" s="483">
        <f>-MAX(MIN(BP152,BP130*$D$157),0)</f>
        <v/>
      </c>
      <c r="BQ154" s="483">
        <f>-MAX(MIN(BQ152,BQ130*$D$157),0)</f>
        <v/>
      </c>
      <c r="BR154" s="483">
        <f>-MAX(MIN(BR152,BR130*$D$157),0)</f>
        <v/>
      </c>
      <c r="BS154" s="483">
        <f>-MAX(MIN(BS152,BS130*$D$157),0)</f>
        <v/>
      </c>
      <c r="BT154" s="483">
        <f>-MAX(MIN(BT152,BT130*$D$157),0)</f>
        <v/>
      </c>
      <c r="BU154" s="483">
        <f>-MAX(MIN(BU152,BU130*$D$157),0)</f>
        <v/>
      </c>
      <c r="BV154" s="483">
        <f>-MAX(MIN(BV152,BV130*$D$157),0)</f>
        <v/>
      </c>
      <c r="BW154" s="483">
        <f>-MAX(MIN(BW152,BW130*$D$157),0)</f>
        <v/>
      </c>
      <c r="BX154" s="483">
        <f>-MAX(MIN(BX152,BX130*$D$157),0)</f>
        <v/>
      </c>
      <c r="BY154" s="483">
        <f>-MAX(MIN(BY152,BY130*$D$157),0)</f>
        <v/>
      </c>
      <c r="BZ154" s="483">
        <f>-MAX(MIN(BZ152,BZ130*$D$157),0)</f>
        <v/>
      </c>
      <c r="CA154" s="483">
        <f>-MAX(MIN(CA152,CA130*$D$157),0)</f>
        <v/>
      </c>
      <c r="CB154" s="483">
        <f>-MAX(MIN(CB152,CB130*$D$157),0)</f>
        <v/>
      </c>
      <c r="CC154" s="483">
        <f>-MAX(MIN(CC152,CC130*$D$157),0)</f>
        <v/>
      </c>
      <c r="CD154" s="483">
        <f>-MAX(MIN(CD152,CD130*$D$157),0)</f>
        <v/>
      </c>
      <c r="CE154" s="483">
        <f>-MAX(MIN(CE152,CE130*$D$157),0)</f>
        <v/>
      </c>
      <c r="CF154" s="483">
        <f>-MAX(MIN(CF152,CF130*$D$157),0)</f>
        <v/>
      </c>
      <c r="CG154" s="483">
        <f>-MAX(MIN(CG152,CG130*$D$157),0)</f>
        <v/>
      </c>
      <c r="CH154" s="483">
        <f>-MAX(MIN(CH152,CH130*$D$157),0)</f>
        <v/>
      </c>
      <c r="CI154" s="483">
        <f>-MAX(MIN(CI152,CI130*$D$157),0)</f>
        <v/>
      </c>
      <c r="CJ154" s="483">
        <f>-MAX(MIN(CJ152,CJ130*$D$157),0)</f>
        <v/>
      </c>
      <c r="CK154" s="483">
        <f>-MAX(MIN(CK152,CK130*$D$157),0)</f>
        <v/>
      </c>
      <c r="CL154" s="483">
        <f>-MAX(MIN(CL152,CL130*$D$157),0)</f>
        <v/>
      </c>
      <c r="CM154" s="483">
        <f>-MAX(MIN(CM152,CM130*$D$157),0)</f>
        <v/>
      </c>
      <c r="CN154" s="483">
        <f>-MAX(MIN(CN152,CN130*$D$157),0)</f>
        <v/>
      </c>
      <c r="CO154" s="483">
        <f>-MAX(MIN(CO152,CO130*$D$157),0)</f>
        <v/>
      </c>
      <c r="CP154" s="483">
        <f>-MAX(MIN(CP152,CP130*$D$157),0)</f>
        <v/>
      </c>
      <c r="CQ154" s="483">
        <f>-MAX(MIN(CQ152,CQ130*$D$157),0)</f>
        <v/>
      </c>
      <c r="CR154" s="483">
        <f>-MAX(MIN(CR152,CR130*$D$157),0)</f>
        <v/>
      </c>
      <c r="CS154" s="483">
        <f>-MAX(MIN(CS152,CS130*$D$157),0)</f>
        <v/>
      </c>
      <c r="CT154" s="483">
        <f>-MAX(MIN(CT152,CT130*$D$157),0)</f>
        <v/>
      </c>
      <c r="CU154" s="483">
        <f>-MAX(MIN(CU152,CU130*$D$157),0)</f>
        <v/>
      </c>
      <c r="CV154" s="483">
        <f>-MAX(MIN(CV152,CV130*$D$157),0)</f>
        <v/>
      </c>
      <c r="CW154" s="483">
        <f>-MAX(MIN(CW152,CW130*$D$157),0)</f>
        <v/>
      </c>
      <c r="CX154" s="483">
        <f>-MAX(MIN(CX152,CX130*$D$157),0)</f>
        <v/>
      </c>
      <c r="CY154" s="483">
        <f>-MAX(MIN(CY152,CY130*$D$157),0)</f>
        <v/>
      </c>
      <c r="CZ154" s="483">
        <f>-MAX(MIN(CZ152,CZ130*$D$157),0)</f>
        <v/>
      </c>
      <c r="DA154" s="483">
        <f>-MAX(MIN(DA152,DA130*$D$157),0)</f>
        <v/>
      </c>
      <c r="DB154" s="483">
        <f>-MAX(MIN(DB152,DB130*$D$157),0)</f>
        <v/>
      </c>
      <c r="DC154" s="483">
        <f>-MAX(MIN(DC152,DC130*$D$157),0)</f>
        <v/>
      </c>
      <c r="DD154" s="483">
        <f>-MAX(MIN(DD152,DD130*$D$157),0)</f>
        <v/>
      </c>
      <c r="DE154" s="483">
        <f>-MAX(MIN(DE152,DE130*$D$157),0)</f>
        <v/>
      </c>
      <c r="DF154" s="483">
        <f>-MAX(MIN(DF152,DF130*$D$157),0)</f>
        <v/>
      </c>
      <c r="DG154" s="483">
        <f>-MAX(MIN(DG152,DG130*$D$157),0)</f>
        <v/>
      </c>
      <c r="DH154" s="483">
        <f>-MAX(MIN(DH152,DH130*$D$157),0)</f>
        <v/>
      </c>
      <c r="DI154" s="483">
        <f>-MAX(MIN(DI152,DI130*$D$157),0)</f>
        <v/>
      </c>
      <c r="DJ154" s="483">
        <f>-MAX(MIN(DJ152,DJ130*$D$157),0)</f>
        <v/>
      </c>
      <c r="DK154" s="483">
        <f>-MAX(MIN(DK152,DK130*$D$157),0)</f>
        <v/>
      </c>
      <c r="DL154" s="483">
        <f>-MAX(MIN(DL152,DL130*$D$157),0)</f>
        <v/>
      </c>
      <c r="DM154" s="483">
        <f>-MAX(MIN(DM152,DM130*$D$157),0)</f>
        <v/>
      </c>
      <c r="DN154" s="483">
        <f>-MAX(MIN(DN152,DN130*$D$157),0)</f>
        <v/>
      </c>
      <c r="DO154" s="483">
        <f>-MAX(MIN(DO152,DO130*$D$157),0)</f>
        <v/>
      </c>
      <c r="DP154" s="483">
        <f>-MAX(MIN(DP152,DP130*$D$157),0)</f>
        <v/>
      </c>
      <c r="DQ154" s="483">
        <f>-MAX(MIN(DQ152,DQ130*$D$157),0)</f>
        <v/>
      </c>
      <c r="DR154" s="483">
        <f>-MAX(MIN(DR152,DR130*$D$157),0)</f>
        <v/>
      </c>
      <c r="DS154" s="483">
        <f>-MAX(MIN(DS152,DS130*$D$157),0)</f>
        <v/>
      </c>
      <c r="DT154" s="483">
        <f>-MAX(MIN(DT152,DT130*$D$157),0)</f>
        <v/>
      </c>
      <c r="DU154" s="483">
        <f>-MAX(MIN(DU152,DU130*$D$157),0)</f>
        <v/>
      </c>
      <c r="DV154" s="483">
        <f>-MAX(MIN(DV152,DV130*$D$157),0)</f>
        <v/>
      </c>
      <c r="DW154" s="322" t="inlineStr">
        <is>
          <t>x</t>
        </is>
      </c>
    </row>
    <row r="155" hidden="1" outlineLevel="1" ht="17.25" customHeight="1" thickTop="1">
      <c r="C155" s="360" t="n"/>
      <c r="D155" s="360" t="n"/>
      <c r="E155" s="360" t="n"/>
      <c r="F155" s="360" t="n"/>
      <c r="G155" s="360" t="n"/>
      <c r="H155" s="360" t="n"/>
      <c r="I155" s="360" t="n"/>
      <c r="J155" s="360" t="n"/>
      <c r="K155" s="360" t="n"/>
      <c r="L155" s="360" t="n"/>
      <c r="M155" s="360" t="n"/>
      <c r="N155" s="360" t="n"/>
      <c r="O155" s="360" t="n"/>
      <c r="P155" s="360" t="n"/>
      <c r="Q155" s="360" t="n"/>
      <c r="R155" s="360" t="n"/>
      <c r="S155" s="360" t="n"/>
      <c r="T155" s="360" t="n"/>
      <c r="U155" s="360" t="n"/>
      <c r="V155" s="360" t="n"/>
      <c r="W155" s="360" t="n"/>
      <c r="X155" s="360" t="n"/>
      <c r="Y155" s="360" t="n"/>
      <c r="Z155" s="360" t="n"/>
      <c r="AA155" s="360" t="n"/>
      <c r="AB155" s="360" t="n"/>
      <c r="AC155" s="360" t="n"/>
      <c r="AD155" s="360" t="n"/>
      <c r="AE155" s="360" t="n"/>
      <c r="AF155" s="360" t="n"/>
      <c r="AG155" s="360" t="n"/>
      <c r="AH155" s="360" t="n"/>
      <c r="AI155" s="360" t="n"/>
      <c r="AJ155" s="360" t="n"/>
      <c r="AK155" s="360" t="n"/>
      <c r="AL155" s="360" t="n"/>
      <c r="AM155" s="360" t="n"/>
      <c r="AN155" s="360" t="n"/>
      <c r="AO155" s="360" t="n"/>
      <c r="AP155" s="360" t="n"/>
      <c r="AQ155" s="360" t="n"/>
      <c r="AR155" s="360" t="n"/>
      <c r="AS155" s="360" t="n"/>
      <c r="AT155" s="360" t="n"/>
      <c r="AU155" s="360" t="n"/>
      <c r="AV155" s="360" t="n"/>
      <c r="AW155" s="360" t="n"/>
      <c r="AX155" s="360" t="n"/>
      <c r="AY155" s="360" t="n"/>
      <c r="AZ155" s="360" t="n"/>
      <c r="BA155" s="360" t="n"/>
      <c r="BB155" s="360" t="n"/>
      <c r="BC155" s="360" t="n"/>
      <c r="BD155" s="360" t="n"/>
      <c r="BE155" s="360" t="n"/>
      <c r="BF155" s="360" t="n"/>
      <c r="BG155" s="360" t="n"/>
      <c r="BH155" s="360" t="n"/>
      <c r="BI155" s="360" t="n"/>
      <c r="BJ155" s="360" t="n"/>
      <c r="BK155" s="360" t="n"/>
      <c r="BL155" s="360" t="n"/>
      <c r="BM155" s="360" t="n"/>
      <c r="BN155" s="360" t="n"/>
      <c r="BO155" s="360" t="n"/>
      <c r="BP155" s="360" t="n"/>
      <c r="BQ155" s="360" t="n"/>
      <c r="BR155" s="360" t="n"/>
      <c r="BS155" s="360" t="n"/>
      <c r="BT155" s="360" t="n"/>
      <c r="BU155" s="360" t="n"/>
      <c r="BV155" s="360" t="n"/>
      <c r="BW155" s="360" t="n"/>
      <c r="BX155" s="360" t="n"/>
      <c r="BY155" s="360" t="n"/>
      <c r="BZ155" s="360" t="n"/>
      <c r="CA155" s="360" t="n"/>
      <c r="CB155" s="360" t="n"/>
      <c r="CC155" s="360" t="n"/>
      <c r="CD155" s="360" t="n"/>
      <c r="CE155" s="360" t="n"/>
      <c r="CF155" s="360" t="n"/>
      <c r="CG155" s="360" t="n"/>
      <c r="CH155" s="360" t="n"/>
      <c r="CI155" s="360" t="n"/>
      <c r="CJ155" s="360" t="n"/>
      <c r="CK155" s="360" t="n"/>
      <c r="CL155" s="360" t="n"/>
      <c r="CM155" s="360" t="n"/>
      <c r="CN155" s="360" t="n"/>
      <c r="CO155" s="360" t="n"/>
      <c r="CP155" s="360" t="n"/>
      <c r="CQ155" s="360" t="n"/>
      <c r="CR155" s="360" t="n"/>
      <c r="CS155" s="360" t="n"/>
      <c r="CT155" s="360" t="n"/>
      <c r="CU155" s="360" t="n"/>
      <c r="CV155" s="360" t="n"/>
      <c r="CW155" s="360" t="n"/>
      <c r="CX155" s="360" t="n"/>
      <c r="CY155" s="360" t="n"/>
      <c r="CZ155" s="360" t="n"/>
      <c r="DA155" s="360" t="n"/>
      <c r="DB155" s="360" t="n"/>
      <c r="DC155" s="360" t="n"/>
      <c r="DD155" s="360" t="n"/>
      <c r="DE155" s="360" t="n"/>
      <c r="DF155" s="360" t="n"/>
      <c r="DG155" s="360" t="n"/>
      <c r="DH155" s="360" t="n"/>
      <c r="DI155" s="360" t="n"/>
      <c r="DJ155" s="360" t="n"/>
      <c r="DK155" s="360" t="n"/>
      <c r="DL155" s="360" t="n"/>
      <c r="DM155" s="360" t="n"/>
      <c r="DN155" s="360" t="n"/>
      <c r="DO155" s="360" t="n"/>
      <c r="DP155" s="360" t="n"/>
      <c r="DQ155" s="360" t="n"/>
      <c r="DR155" s="360" t="n"/>
      <c r="DS155" s="360" t="n"/>
      <c r="DT155" s="360" t="n"/>
      <c r="DU155" s="360" t="n"/>
      <c r="DV155" s="360" t="n"/>
      <c r="DW155" s="322" t="inlineStr">
        <is>
          <t>x</t>
        </is>
      </c>
    </row>
    <row r="156" hidden="1" outlineLevel="1">
      <c r="C156" s="485" t="inlineStr">
        <is>
          <t>Splits</t>
        </is>
      </c>
      <c r="D156" s="374" t="n"/>
      <c r="E156" s="463" t="n"/>
      <c r="F156" s="374" t="n"/>
      <c r="G156" s="374" t="n"/>
      <c r="H156" s="463" t="n"/>
      <c r="I156" s="463" t="n"/>
      <c r="J156" s="463" t="n"/>
      <c r="K156" s="463" t="n"/>
      <c r="L156" s="463" t="n"/>
      <c r="M156" s="463" t="n"/>
      <c r="N156" s="463" t="n"/>
      <c r="O156" s="463" t="n"/>
      <c r="P156" s="463" t="n"/>
      <c r="Q156" s="463" t="n"/>
      <c r="R156" s="463" t="n"/>
      <c r="S156" s="463" t="n"/>
      <c r="T156" s="463" t="n"/>
      <c r="U156" s="463" t="n"/>
      <c r="V156" s="463" t="n"/>
      <c r="W156" s="463" t="n"/>
      <c r="X156" s="463" t="n"/>
      <c r="Y156" s="463" t="n"/>
      <c r="Z156" s="463" t="n"/>
      <c r="AA156" s="463" t="n"/>
      <c r="AB156" s="463" t="n"/>
      <c r="AC156" s="463" t="n"/>
      <c r="AD156" s="463" t="n"/>
      <c r="AE156" s="463" t="n"/>
      <c r="AF156" s="463" t="n"/>
      <c r="AG156" s="463" t="n"/>
      <c r="AH156" s="463" t="n"/>
      <c r="AI156" s="463" t="n"/>
      <c r="AJ156" s="463" t="n"/>
      <c r="AK156" s="463" t="n"/>
      <c r="AL156" s="463" t="n"/>
      <c r="AM156" s="463" t="n"/>
      <c r="AN156" s="463" t="n"/>
      <c r="AO156" s="463" t="n"/>
      <c r="AP156" s="463" t="n"/>
      <c r="AQ156" s="463" t="n"/>
      <c r="AR156" s="463" t="n"/>
      <c r="AS156" s="463" t="n"/>
      <c r="AT156" s="463" t="n"/>
      <c r="AU156" s="463" t="n"/>
      <c r="AV156" s="463" t="n"/>
      <c r="AW156" s="463" t="n"/>
      <c r="AX156" s="463" t="n"/>
      <c r="AY156" s="463" t="n"/>
      <c r="AZ156" s="463" t="n"/>
      <c r="BA156" s="463" t="n"/>
      <c r="BB156" s="463" t="n"/>
      <c r="BC156" s="463" t="n"/>
      <c r="BD156" s="463" t="n"/>
      <c r="BE156" s="463" t="n"/>
      <c r="BF156" s="463" t="n"/>
      <c r="BG156" s="463" t="n"/>
      <c r="BH156" s="463" t="n"/>
      <c r="BI156" s="463" t="n"/>
      <c r="BJ156" s="463" t="n"/>
      <c r="BK156" s="463" t="n"/>
      <c r="BL156" s="463" t="n"/>
      <c r="BM156" s="463" t="n"/>
      <c r="BN156" s="463" t="n"/>
      <c r="BO156" s="463" t="n"/>
      <c r="BP156" s="463" t="n"/>
      <c r="BQ156" s="463" t="n"/>
      <c r="BR156" s="463" t="n"/>
      <c r="BS156" s="463" t="n"/>
      <c r="BT156" s="463" t="n"/>
      <c r="BU156" s="463" t="n"/>
      <c r="BV156" s="463" t="n"/>
      <c r="BW156" s="463" t="n"/>
      <c r="BX156" s="463" t="n"/>
      <c r="BY156" s="463" t="n"/>
      <c r="BZ156" s="463" t="n"/>
      <c r="CA156" s="463" t="n"/>
      <c r="CB156" s="463" t="n"/>
      <c r="CC156" s="463" t="n"/>
      <c r="CD156" s="463" t="n"/>
      <c r="CE156" s="463" t="n"/>
      <c r="CF156" s="463" t="n"/>
      <c r="CG156" s="463" t="n"/>
      <c r="CH156" s="463" t="n"/>
      <c r="CI156" s="463" t="n"/>
      <c r="CJ156" s="463" t="n"/>
      <c r="CK156" s="463" t="n"/>
      <c r="CL156" s="463" t="n"/>
      <c r="CM156" s="463" t="n"/>
      <c r="CN156" s="463" t="n"/>
      <c r="CO156" s="463" t="n"/>
      <c r="CP156" s="463" t="n"/>
      <c r="CQ156" s="463" t="n"/>
      <c r="CR156" s="463" t="n"/>
      <c r="CS156" s="463" t="n"/>
      <c r="CT156" s="463" t="n"/>
      <c r="CU156" s="463" t="n"/>
      <c r="CV156" s="463" t="n"/>
      <c r="CW156" s="463" t="n"/>
      <c r="CX156" s="463" t="n"/>
      <c r="CY156" s="463" t="n"/>
      <c r="CZ156" s="463" t="n"/>
      <c r="DA156" s="463" t="n"/>
      <c r="DB156" s="463" t="n"/>
      <c r="DC156" s="463" t="n"/>
      <c r="DD156" s="463" t="n"/>
      <c r="DE156" s="463" t="n"/>
      <c r="DF156" s="463" t="n"/>
      <c r="DG156" s="463" t="n"/>
      <c r="DH156" s="463" t="n"/>
      <c r="DI156" s="463" t="n"/>
      <c r="DJ156" s="463" t="n"/>
      <c r="DK156" s="463" t="n"/>
      <c r="DL156" s="463" t="n"/>
      <c r="DM156" s="463" t="n"/>
      <c r="DN156" s="463" t="n"/>
      <c r="DO156" s="463" t="n"/>
      <c r="DP156" s="463" t="n"/>
      <c r="DQ156" s="463" t="n"/>
      <c r="DR156" s="463" t="n"/>
      <c r="DS156" s="463" t="n"/>
      <c r="DT156" s="463" t="n"/>
      <c r="DU156" s="463" t="n"/>
      <c r="DV156" s="463" t="n"/>
      <c r="DW156" s="322" t="inlineStr">
        <is>
          <t>x</t>
        </is>
      </c>
    </row>
    <row r="157" hidden="1" outlineLevel="1">
      <c r="C157" s="374">
        <f>$C$126</f>
        <v/>
      </c>
      <c r="D157" s="486">
        <f>H39</f>
        <v/>
      </c>
      <c r="E157" s="681">
        <f>SUM(F157:DV157)</f>
        <v/>
      </c>
      <c r="F157" s="680">
        <f>-F154</f>
        <v/>
      </c>
      <c r="G157" s="680">
        <f>-G154</f>
        <v/>
      </c>
      <c r="H157" s="680">
        <f>-H154</f>
        <v/>
      </c>
      <c r="I157" s="680">
        <f>-I154</f>
        <v/>
      </c>
      <c r="J157" s="680">
        <f>-J154</f>
        <v/>
      </c>
      <c r="K157" s="680">
        <f>-K154</f>
        <v/>
      </c>
      <c r="L157" s="680">
        <f>-L154</f>
        <v/>
      </c>
      <c r="M157" s="680">
        <f>-M154</f>
        <v/>
      </c>
      <c r="N157" s="680">
        <f>-N154</f>
        <v/>
      </c>
      <c r="O157" s="680">
        <f>-O154</f>
        <v/>
      </c>
      <c r="P157" s="680">
        <f>-P154</f>
        <v/>
      </c>
      <c r="Q157" s="680">
        <f>-Q154</f>
        <v/>
      </c>
      <c r="R157" s="680">
        <f>-R154</f>
        <v/>
      </c>
      <c r="S157" s="680">
        <f>-S154</f>
        <v/>
      </c>
      <c r="T157" s="680">
        <f>-T154</f>
        <v/>
      </c>
      <c r="U157" s="680">
        <f>-U154</f>
        <v/>
      </c>
      <c r="V157" s="680">
        <f>-V154</f>
        <v/>
      </c>
      <c r="W157" s="680">
        <f>-W154</f>
        <v/>
      </c>
      <c r="X157" s="680">
        <f>-X154</f>
        <v/>
      </c>
      <c r="Y157" s="680">
        <f>-Y154</f>
        <v/>
      </c>
      <c r="Z157" s="680">
        <f>-Z154</f>
        <v/>
      </c>
      <c r="AA157" s="680">
        <f>-AA154</f>
        <v/>
      </c>
      <c r="AB157" s="680">
        <f>-AB154</f>
        <v/>
      </c>
      <c r="AC157" s="680">
        <f>-AC154</f>
        <v/>
      </c>
      <c r="AD157" s="680">
        <f>-AD154</f>
        <v/>
      </c>
      <c r="AE157" s="680">
        <f>-AE154</f>
        <v/>
      </c>
      <c r="AF157" s="680">
        <f>-AF154</f>
        <v/>
      </c>
      <c r="AG157" s="680">
        <f>-AG154</f>
        <v/>
      </c>
      <c r="AH157" s="680">
        <f>-AH154</f>
        <v/>
      </c>
      <c r="AI157" s="680">
        <f>-AI154</f>
        <v/>
      </c>
      <c r="AJ157" s="680">
        <f>-AJ154</f>
        <v/>
      </c>
      <c r="AK157" s="680">
        <f>-AK154</f>
        <v/>
      </c>
      <c r="AL157" s="680">
        <f>-AL154</f>
        <v/>
      </c>
      <c r="AM157" s="680">
        <f>-AM154</f>
        <v/>
      </c>
      <c r="AN157" s="680">
        <f>-AN154</f>
        <v/>
      </c>
      <c r="AO157" s="680">
        <f>-AO154</f>
        <v/>
      </c>
      <c r="AP157" s="680">
        <f>-AP154</f>
        <v/>
      </c>
      <c r="AQ157" s="680">
        <f>-AQ154</f>
        <v/>
      </c>
      <c r="AR157" s="680">
        <f>-AR154</f>
        <v/>
      </c>
      <c r="AS157" s="680">
        <f>-AS154</f>
        <v/>
      </c>
      <c r="AT157" s="680">
        <f>-AT154</f>
        <v/>
      </c>
      <c r="AU157" s="680">
        <f>-AU154</f>
        <v/>
      </c>
      <c r="AV157" s="680">
        <f>-AV154</f>
        <v/>
      </c>
      <c r="AW157" s="680">
        <f>-AW154</f>
        <v/>
      </c>
      <c r="AX157" s="680">
        <f>-AX154</f>
        <v/>
      </c>
      <c r="AY157" s="680">
        <f>-AY154</f>
        <v/>
      </c>
      <c r="AZ157" s="680">
        <f>-AZ154</f>
        <v/>
      </c>
      <c r="BA157" s="680">
        <f>-BA154</f>
        <v/>
      </c>
      <c r="BB157" s="680">
        <f>-BB154</f>
        <v/>
      </c>
      <c r="BC157" s="680">
        <f>-BC154</f>
        <v/>
      </c>
      <c r="BD157" s="680">
        <f>-BD154</f>
        <v/>
      </c>
      <c r="BE157" s="680">
        <f>-BE154</f>
        <v/>
      </c>
      <c r="BF157" s="680">
        <f>-BF154</f>
        <v/>
      </c>
      <c r="BG157" s="680">
        <f>-BG154</f>
        <v/>
      </c>
      <c r="BH157" s="680">
        <f>-BH154</f>
        <v/>
      </c>
      <c r="BI157" s="680">
        <f>-BI154</f>
        <v/>
      </c>
      <c r="BJ157" s="680">
        <f>-BJ154</f>
        <v/>
      </c>
      <c r="BK157" s="680">
        <f>-BK154</f>
        <v/>
      </c>
      <c r="BL157" s="680">
        <f>-BL154</f>
        <v/>
      </c>
      <c r="BM157" s="680">
        <f>-BM154</f>
        <v/>
      </c>
      <c r="BN157" s="680">
        <f>-BN154</f>
        <v/>
      </c>
      <c r="BO157" s="680">
        <f>-BO154</f>
        <v/>
      </c>
      <c r="BP157" s="680">
        <f>-BP154</f>
        <v/>
      </c>
      <c r="BQ157" s="680">
        <f>-BQ154</f>
        <v/>
      </c>
      <c r="BR157" s="680">
        <f>-BR154</f>
        <v/>
      </c>
      <c r="BS157" s="680">
        <f>-BS154</f>
        <v/>
      </c>
      <c r="BT157" s="680">
        <f>-BT154</f>
        <v/>
      </c>
      <c r="BU157" s="680">
        <f>-BU154</f>
        <v/>
      </c>
      <c r="BV157" s="680">
        <f>-BV154</f>
        <v/>
      </c>
      <c r="BW157" s="680">
        <f>-BW154</f>
        <v/>
      </c>
      <c r="BX157" s="680">
        <f>-BX154</f>
        <v/>
      </c>
      <c r="BY157" s="680">
        <f>-BY154</f>
        <v/>
      </c>
      <c r="BZ157" s="680">
        <f>-BZ154</f>
        <v/>
      </c>
      <c r="CA157" s="680">
        <f>-CA154</f>
        <v/>
      </c>
      <c r="CB157" s="680">
        <f>-CB154</f>
        <v/>
      </c>
      <c r="CC157" s="680">
        <f>-CC154</f>
        <v/>
      </c>
      <c r="CD157" s="680">
        <f>-CD154</f>
        <v/>
      </c>
      <c r="CE157" s="680">
        <f>-CE154</f>
        <v/>
      </c>
      <c r="CF157" s="680">
        <f>-CF154</f>
        <v/>
      </c>
      <c r="CG157" s="680">
        <f>-CG154</f>
        <v/>
      </c>
      <c r="CH157" s="680">
        <f>-CH154</f>
        <v/>
      </c>
      <c r="CI157" s="680">
        <f>-CI154</f>
        <v/>
      </c>
      <c r="CJ157" s="680">
        <f>-CJ154</f>
        <v/>
      </c>
      <c r="CK157" s="680">
        <f>-CK154</f>
        <v/>
      </c>
      <c r="CL157" s="680">
        <f>-CL154</f>
        <v/>
      </c>
      <c r="CM157" s="680">
        <f>-CM154</f>
        <v/>
      </c>
      <c r="CN157" s="680">
        <f>-CN154</f>
        <v/>
      </c>
      <c r="CO157" s="680">
        <f>-CO154</f>
        <v/>
      </c>
      <c r="CP157" s="680">
        <f>-CP154</f>
        <v/>
      </c>
      <c r="CQ157" s="680">
        <f>-CQ154</f>
        <v/>
      </c>
      <c r="CR157" s="680">
        <f>-CR154</f>
        <v/>
      </c>
      <c r="CS157" s="680">
        <f>-CS154</f>
        <v/>
      </c>
      <c r="CT157" s="680">
        <f>-CT154</f>
        <v/>
      </c>
      <c r="CU157" s="680">
        <f>-CU154</f>
        <v/>
      </c>
      <c r="CV157" s="680">
        <f>-CV154</f>
        <v/>
      </c>
      <c r="CW157" s="680">
        <f>-CW154</f>
        <v/>
      </c>
      <c r="CX157" s="680">
        <f>-CX154</f>
        <v/>
      </c>
      <c r="CY157" s="680">
        <f>-CY154</f>
        <v/>
      </c>
      <c r="CZ157" s="680">
        <f>-CZ154</f>
        <v/>
      </c>
      <c r="DA157" s="680">
        <f>-DA154</f>
        <v/>
      </c>
      <c r="DB157" s="680">
        <f>-DB154</f>
        <v/>
      </c>
      <c r="DC157" s="680">
        <f>-DC154</f>
        <v/>
      </c>
      <c r="DD157" s="680">
        <f>-DD154</f>
        <v/>
      </c>
      <c r="DE157" s="680">
        <f>-DE154</f>
        <v/>
      </c>
      <c r="DF157" s="680">
        <f>-DF154</f>
        <v/>
      </c>
      <c r="DG157" s="680">
        <f>-DG154</f>
        <v/>
      </c>
      <c r="DH157" s="680">
        <f>-DH154</f>
        <v/>
      </c>
      <c r="DI157" s="680">
        <f>-DI154</f>
        <v/>
      </c>
      <c r="DJ157" s="680">
        <f>-DJ154</f>
        <v/>
      </c>
      <c r="DK157" s="680">
        <f>-DK154</f>
        <v/>
      </c>
      <c r="DL157" s="680">
        <f>-DL154</f>
        <v/>
      </c>
      <c r="DM157" s="680">
        <f>-DM154</f>
        <v/>
      </c>
      <c r="DN157" s="680">
        <f>-DN154</f>
        <v/>
      </c>
      <c r="DO157" s="680">
        <f>-DO154</f>
        <v/>
      </c>
      <c r="DP157" s="680">
        <f>-DP154</f>
        <v/>
      </c>
      <c r="DQ157" s="680">
        <f>-DQ154</f>
        <v/>
      </c>
      <c r="DR157" s="680">
        <f>-DR154</f>
        <v/>
      </c>
      <c r="DS157" s="680">
        <f>-DS154</f>
        <v/>
      </c>
      <c r="DT157" s="680">
        <f>-DT154</f>
        <v/>
      </c>
      <c r="DU157" s="680">
        <f>-DU154</f>
        <v/>
      </c>
      <c r="DV157" s="680">
        <f>-DV154</f>
        <v/>
      </c>
      <c r="DW157" s="322" t="inlineStr">
        <is>
          <t>x</t>
        </is>
      </c>
    </row>
    <row r="158" hidden="1" outlineLevel="1">
      <c r="C158" s="374">
        <f>C127</f>
        <v/>
      </c>
      <c r="D158" s="486">
        <f>1-(SUM(D157,D159))</f>
        <v/>
      </c>
      <c r="E158" s="463">
        <f>SUM(F158:DV158)</f>
        <v/>
      </c>
      <c r="F158" s="468">
        <f>(F157/$D$157)*$D$158</f>
        <v/>
      </c>
      <c r="G158" s="468">
        <f>(G157/$D$157)*$D$158</f>
        <v/>
      </c>
      <c r="H158" s="468">
        <f>(H157/$D$157)*$D$158</f>
        <v/>
      </c>
      <c r="I158" s="468">
        <f>(I157/$D$157)*$D$158</f>
        <v/>
      </c>
      <c r="J158" s="468">
        <f>(J157/$D$157)*$D$158</f>
        <v/>
      </c>
      <c r="K158" s="468">
        <f>(K157/$D$157)*$D$158</f>
        <v/>
      </c>
      <c r="L158" s="468">
        <f>(L157/$D$157)*$D$158</f>
        <v/>
      </c>
      <c r="M158" s="468">
        <f>(M157/$D$157)*$D$158</f>
        <v/>
      </c>
      <c r="N158" s="468">
        <f>(N157/$D$157)*$D$158</f>
        <v/>
      </c>
      <c r="O158" s="468">
        <f>(O157/$D$157)*$D$158</f>
        <v/>
      </c>
      <c r="P158" s="468">
        <f>(P157/$D$157)*$D$158</f>
        <v/>
      </c>
      <c r="Q158" s="468">
        <f>(Q157/$D$157)*$D$158</f>
        <v/>
      </c>
      <c r="R158" s="468">
        <f>(R157/$D$157)*$D$158</f>
        <v/>
      </c>
      <c r="S158" s="468">
        <f>(S157/$D$157)*$D$158</f>
        <v/>
      </c>
      <c r="T158" s="468">
        <f>(T157/$D$157)*$D$158</f>
        <v/>
      </c>
      <c r="U158" s="468">
        <f>(U157/$D$157)*$D$158</f>
        <v/>
      </c>
      <c r="V158" s="468">
        <f>(V157/$D$157)*$D$158</f>
        <v/>
      </c>
      <c r="W158" s="468">
        <f>(W157/$D$157)*$D$158</f>
        <v/>
      </c>
      <c r="X158" s="468">
        <f>(X157/$D$157)*$D$158</f>
        <v/>
      </c>
      <c r="Y158" s="468">
        <f>(Y157/$D$157)*$D$158</f>
        <v/>
      </c>
      <c r="Z158" s="468">
        <f>(Z157/$D$157)*$D$158</f>
        <v/>
      </c>
      <c r="AA158" s="468">
        <f>(AA157/$D$157)*$D$158</f>
        <v/>
      </c>
      <c r="AB158" s="468">
        <f>(AB157/$D$157)*$D$158</f>
        <v/>
      </c>
      <c r="AC158" s="468">
        <f>(AC157/$D$157)*$D$158</f>
        <v/>
      </c>
      <c r="AD158" s="468">
        <f>(AD157/$D$157)*$D$158</f>
        <v/>
      </c>
      <c r="AE158" s="468">
        <f>(AE157/$D$157)*$D$158</f>
        <v/>
      </c>
      <c r="AF158" s="468">
        <f>(AF157/$D$157)*$D$158</f>
        <v/>
      </c>
      <c r="AG158" s="468">
        <f>(AG157/$D$157)*$D$158</f>
        <v/>
      </c>
      <c r="AH158" s="468">
        <f>(AH157/$D$157)*$D$158</f>
        <v/>
      </c>
      <c r="AI158" s="468">
        <f>(AI157/$D$157)*$D$158</f>
        <v/>
      </c>
      <c r="AJ158" s="468">
        <f>(AJ157/$D$157)*$D$158</f>
        <v/>
      </c>
      <c r="AK158" s="468">
        <f>(AK157/$D$157)*$D$158</f>
        <v/>
      </c>
      <c r="AL158" s="468">
        <f>(AL157/$D$157)*$D$158</f>
        <v/>
      </c>
      <c r="AM158" s="468">
        <f>(AM157/$D$157)*$D$158</f>
        <v/>
      </c>
      <c r="AN158" s="468">
        <f>(AN157/$D$157)*$D$158</f>
        <v/>
      </c>
      <c r="AO158" s="468">
        <f>(AO157/$D$157)*$D$158</f>
        <v/>
      </c>
      <c r="AP158" s="468">
        <f>(AP157/$D$157)*$D$158</f>
        <v/>
      </c>
      <c r="AQ158" s="468">
        <f>(AQ157/$D$157)*$D$158</f>
        <v/>
      </c>
      <c r="AR158" s="468">
        <f>(AR157/$D$157)*$D$158</f>
        <v/>
      </c>
      <c r="AS158" s="468">
        <f>(AS157/$D$157)*$D$158</f>
        <v/>
      </c>
      <c r="AT158" s="468">
        <f>(AT157/$D$157)*$D$158</f>
        <v/>
      </c>
      <c r="AU158" s="468">
        <f>(AU157/$D$157)*$D$158</f>
        <v/>
      </c>
      <c r="AV158" s="468">
        <f>(AV157/$D$157)*$D$158</f>
        <v/>
      </c>
      <c r="AW158" s="468">
        <f>(AW157/$D$157)*$D$158</f>
        <v/>
      </c>
      <c r="AX158" s="468">
        <f>(AX157/$D$157)*$D$158</f>
        <v/>
      </c>
      <c r="AY158" s="468">
        <f>(AY157/$D$157)*$D$158</f>
        <v/>
      </c>
      <c r="AZ158" s="468">
        <f>(AZ157/$D$157)*$D$158</f>
        <v/>
      </c>
      <c r="BA158" s="468">
        <f>(BA157/$D$157)*$D$158</f>
        <v/>
      </c>
      <c r="BB158" s="468">
        <f>(BB157/$D$157)*$D$158</f>
        <v/>
      </c>
      <c r="BC158" s="468">
        <f>(BC157/$D$157)*$D$158</f>
        <v/>
      </c>
      <c r="BD158" s="468">
        <f>(BD157/$D$157)*$D$158</f>
        <v/>
      </c>
      <c r="BE158" s="468">
        <f>(BE157/$D$157)*$D$158</f>
        <v/>
      </c>
      <c r="BF158" s="468">
        <f>(BF157/$D$157)*$D$158</f>
        <v/>
      </c>
      <c r="BG158" s="468">
        <f>(BG157/$D$157)*$D$158</f>
        <v/>
      </c>
      <c r="BH158" s="468">
        <f>(BH157/$D$157)*$D$158</f>
        <v/>
      </c>
      <c r="BI158" s="468">
        <f>(BI157/$D$157)*$D$158</f>
        <v/>
      </c>
      <c r="BJ158" s="468">
        <f>(BJ157/$D$157)*$D$158</f>
        <v/>
      </c>
      <c r="BK158" s="468">
        <f>(BK157/$D$157)*$D$158</f>
        <v/>
      </c>
      <c r="BL158" s="468">
        <f>(BL157/$D$157)*$D$158</f>
        <v/>
      </c>
      <c r="BM158" s="468">
        <f>(BM157/$D$157)*$D$158</f>
        <v/>
      </c>
      <c r="BN158" s="468">
        <f>(BN157/$D$157)*$D$158</f>
        <v/>
      </c>
      <c r="BO158" s="468">
        <f>(BO157/$D$157)*$D$158</f>
        <v/>
      </c>
      <c r="BP158" s="468">
        <f>(BP157/$D$157)*$D$158</f>
        <v/>
      </c>
      <c r="BQ158" s="468">
        <f>(BQ157/$D$157)*$D$158</f>
        <v/>
      </c>
      <c r="BR158" s="468">
        <f>(BR157/$D$157)*$D$158</f>
        <v/>
      </c>
      <c r="BS158" s="468">
        <f>(BS157/$D$157)*$D$158</f>
        <v/>
      </c>
      <c r="BT158" s="468">
        <f>(BT157/$D$157)*$D$158</f>
        <v/>
      </c>
      <c r="BU158" s="468">
        <f>(BU157/$D$157)*$D$158</f>
        <v/>
      </c>
      <c r="BV158" s="468">
        <f>(BV157/$D$157)*$D$158</f>
        <v/>
      </c>
      <c r="BW158" s="468">
        <f>(BW157/$D$157)*$D$158</f>
        <v/>
      </c>
      <c r="BX158" s="468">
        <f>(BX157/$D$157)*$D$158</f>
        <v/>
      </c>
      <c r="BY158" s="468">
        <f>(BY157/$D$157)*$D$158</f>
        <v/>
      </c>
      <c r="BZ158" s="468">
        <f>(BZ157/$D$157)*$D$158</f>
        <v/>
      </c>
      <c r="CA158" s="468">
        <f>(CA157/$D$157)*$D$158</f>
        <v/>
      </c>
      <c r="CB158" s="468">
        <f>(CB157/$D$157)*$D$158</f>
        <v/>
      </c>
      <c r="CC158" s="468">
        <f>(CC157/$D$157)*$D$158</f>
        <v/>
      </c>
      <c r="CD158" s="468">
        <f>(CD157/$D$157)*$D$158</f>
        <v/>
      </c>
      <c r="CE158" s="468">
        <f>(CE157/$D$157)*$D$158</f>
        <v/>
      </c>
      <c r="CF158" s="468">
        <f>(CF157/$D$157)*$D$158</f>
        <v/>
      </c>
      <c r="CG158" s="468">
        <f>(CG157/$D$157)*$D$158</f>
        <v/>
      </c>
      <c r="CH158" s="468">
        <f>(CH157/$D$157)*$D$158</f>
        <v/>
      </c>
      <c r="CI158" s="468">
        <f>(CI157/$D$157)*$D$158</f>
        <v/>
      </c>
      <c r="CJ158" s="468">
        <f>(CJ157/$D$157)*$D$158</f>
        <v/>
      </c>
      <c r="CK158" s="468">
        <f>(CK157/$D$157)*$D$158</f>
        <v/>
      </c>
      <c r="CL158" s="468">
        <f>(CL157/$D$157)*$D$158</f>
        <v/>
      </c>
      <c r="CM158" s="468">
        <f>(CM157/$D$157)*$D$158</f>
        <v/>
      </c>
      <c r="CN158" s="468">
        <f>(CN157/$D$157)*$D$158</f>
        <v/>
      </c>
      <c r="CO158" s="468">
        <f>(CO157/$D$157)*$D$158</f>
        <v/>
      </c>
      <c r="CP158" s="468">
        <f>(CP157/$D$157)*$D$158</f>
        <v/>
      </c>
      <c r="CQ158" s="468">
        <f>(CQ157/$D$157)*$D$158</f>
        <v/>
      </c>
      <c r="CR158" s="468">
        <f>(CR157/$D$157)*$D$158</f>
        <v/>
      </c>
      <c r="CS158" s="468">
        <f>(CS157/$D$157)*$D$158</f>
        <v/>
      </c>
      <c r="CT158" s="468">
        <f>(CT157/$D$157)*$D$158</f>
        <v/>
      </c>
      <c r="CU158" s="468">
        <f>(CU157/$D$157)*$D$158</f>
        <v/>
      </c>
      <c r="CV158" s="468">
        <f>(CV157/$D$157)*$D$158</f>
        <v/>
      </c>
      <c r="CW158" s="468">
        <f>(CW157/$D$157)*$D$158</f>
        <v/>
      </c>
      <c r="CX158" s="468">
        <f>(CX157/$D$157)*$D$158</f>
        <v/>
      </c>
      <c r="CY158" s="468">
        <f>(CY157/$D$157)*$D$158</f>
        <v/>
      </c>
      <c r="CZ158" s="468">
        <f>(CZ157/$D$157)*$D$158</f>
        <v/>
      </c>
      <c r="DA158" s="468">
        <f>(DA157/$D$157)*$D$158</f>
        <v/>
      </c>
      <c r="DB158" s="468">
        <f>(DB157/$D$157)*$D$158</f>
        <v/>
      </c>
      <c r="DC158" s="468">
        <f>(DC157/$D$157)*$D$158</f>
        <v/>
      </c>
      <c r="DD158" s="468">
        <f>(DD157/$D$157)*$D$158</f>
        <v/>
      </c>
      <c r="DE158" s="468">
        <f>(DE157/$D$157)*$D$158</f>
        <v/>
      </c>
      <c r="DF158" s="468">
        <f>(DF157/$D$157)*$D$158</f>
        <v/>
      </c>
      <c r="DG158" s="468">
        <f>(DG157/$D$157)*$D$158</f>
        <v/>
      </c>
      <c r="DH158" s="468">
        <f>(DH157/$D$157)*$D$158</f>
        <v/>
      </c>
      <c r="DI158" s="468">
        <f>(DI157/$D$157)*$D$158</f>
        <v/>
      </c>
      <c r="DJ158" s="468">
        <f>(DJ157/$D$157)*$D$158</f>
        <v/>
      </c>
      <c r="DK158" s="468">
        <f>(DK157/$D$157)*$D$158</f>
        <v/>
      </c>
      <c r="DL158" s="468">
        <f>(DL157/$D$157)*$D$158</f>
        <v/>
      </c>
      <c r="DM158" s="468">
        <f>(DM157/$D$157)*$D$158</f>
        <v/>
      </c>
      <c r="DN158" s="468">
        <f>(DN157/$D$157)*$D$158</f>
        <v/>
      </c>
      <c r="DO158" s="468">
        <f>(DO157/$D$157)*$D$158</f>
        <v/>
      </c>
      <c r="DP158" s="468">
        <f>(DP157/$D$157)*$D$158</f>
        <v/>
      </c>
      <c r="DQ158" s="468">
        <f>(DQ157/$D$157)*$D$158</f>
        <v/>
      </c>
      <c r="DR158" s="468">
        <f>(DR157/$D$157)*$D$158</f>
        <v/>
      </c>
      <c r="DS158" s="468">
        <f>(DS157/$D$157)*$D$158</f>
        <v/>
      </c>
      <c r="DT158" s="468">
        <f>(DT157/$D$157)*$D$158</f>
        <v/>
      </c>
      <c r="DU158" s="468">
        <f>(DU157/$D$157)*$D$158</f>
        <v/>
      </c>
      <c r="DV158" s="468">
        <f>(DV157/$D$157)*$D$158</f>
        <v/>
      </c>
      <c r="DW158" s="322" t="inlineStr">
        <is>
          <t>x</t>
        </is>
      </c>
    </row>
    <row r="159" hidden="1" outlineLevel="1">
      <c r="C159" s="374">
        <f>C106&amp; " Promote"</f>
        <v/>
      </c>
      <c r="D159" s="486">
        <f>G39</f>
        <v/>
      </c>
      <c r="E159" s="463">
        <f>SUM(F159:DV159)</f>
        <v/>
      </c>
      <c r="F159" s="468">
        <f>(F157/$D$157)*$D$159</f>
        <v/>
      </c>
      <c r="G159" s="468">
        <f>(G157/$D$157)*$D$159</f>
        <v/>
      </c>
      <c r="H159" s="468">
        <f>(H157/$D$157)*$D$159</f>
        <v/>
      </c>
      <c r="I159" s="468">
        <f>(I157/$D$157)*$D$159</f>
        <v/>
      </c>
      <c r="J159" s="468">
        <f>(J157/$D$157)*$D$159</f>
        <v/>
      </c>
      <c r="K159" s="468">
        <f>(K157/$D$157)*$D$159</f>
        <v/>
      </c>
      <c r="L159" s="468">
        <f>(L157/$D$157)*$D$159</f>
        <v/>
      </c>
      <c r="M159" s="468">
        <f>(M157/$D$157)*$D$159</f>
        <v/>
      </c>
      <c r="N159" s="468">
        <f>(N157/$D$157)*$D$159</f>
        <v/>
      </c>
      <c r="O159" s="468">
        <f>(O157/$D$157)*$D$159</f>
        <v/>
      </c>
      <c r="P159" s="468">
        <f>(P157/$D$157)*$D$159</f>
        <v/>
      </c>
      <c r="Q159" s="468">
        <f>(Q157/$D$157)*$D$159</f>
        <v/>
      </c>
      <c r="R159" s="468">
        <f>(R157/$D$157)*$D$159</f>
        <v/>
      </c>
      <c r="S159" s="468">
        <f>(S157/$D$157)*$D$159</f>
        <v/>
      </c>
      <c r="T159" s="468">
        <f>(T157/$D$157)*$D$159</f>
        <v/>
      </c>
      <c r="U159" s="468">
        <f>(U157/$D$157)*$D$159</f>
        <v/>
      </c>
      <c r="V159" s="468">
        <f>(V157/$D$157)*$D$159</f>
        <v/>
      </c>
      <c r="W159" s="468">
        <f>(W157/$D$157)*$D$159</f>
        <v/>
      </c>
      <c r="X159" s="468">
        <f>(X157/$D$157)*$D$159</f>
        <v/>
      </c>
      <c r="Y159" s="468">
        <f>(Y157/$D$157)*$D$159</f>
        <v/>
      </c>
      <c r="Z159" s="468">
        <f>(Z157/$D$157)*$D$159</f>
        <v/>
      </c>
      <c r="AA159" s="468">
        <f>(AA157/$D$157)*$D$159</f>
        <v/>
      </c>
      <c r="AB159" s="468">
        <f>(AB157/$D$157)*$D$159</f>
        <v/>
      </c>
      <c r="AC159" s="468">
        <f>(AC157/$D$157)*$D$159</f>
        <v/>
      </c>
      <c r="AD159" s="468">
        <f>(AD157/$D$157)*$D$159</f>
        <v/>
      </c>
      <c r="AE159" s="468">
        <f>(AE157/$D$157)*$D$159</f>
        <v/>
      </c>
      <c r="AF159" s="468">
        <f>(AF157/$D$157)*$D$159</f>
        <v/>
      </c>
      <c r="AG159" s="468">
        <f>(AG157/$D$157)*$D$159</f>
        <v/>
      </c>
      <c r="AH159" s="468">
        <f>(AH157/$D$157)*$D$159</f>
        <v/>
      </c>
      <c r="AI159" s="468">
        <f>(AI157/$D$157)*$D$159</f>
        <v/>
      </c>
      <c r="AJ159" s="468">
        <f>(AJ157/$D$157)*$D$159</f>
        <v/>
      </c>
      <c r="AK159" s="468">
        <f>(AK157/$D$157)*$D$159</f>
        <v/>
      </c>
      <c r="AL159" s="468">
        <f>(AL157/$D$157)*$D$159</f>
        <v/>
      </c>
      <c r="AM159" s="468">
        <f>(AM157/$D$157)*$D$159</f>
        <v/>
      </c>
      <c r="AN159" s="468">
        <f>(AN157/$D$157)*$D$159</f>
        <v/>
      </c>
      <c r="AO159" s="468">
        <f>(AO157/$D$157)*$D$159</f>
        <v/>
      </c>
      <c r="AP159" s="468">
        <f>(AP157/$D$157)*$D$159</f>
        <v/>
      </c>
      <c r="AQ159" s="468">
        <f>(AQ157/$D$157)*$D$159</f>
        <v/>
      </c>
      <c r="AR159" s="468">
        <f>(AR157/$D$157)*$D$159</f>
        <v/>
      </c>
      <c r="AS159" s="468">
        <f>(AS157/$D$157)*$D$159</f>
        <v/>
      </c>
      <c r="AT159" s="468">
        <f>(AT157/$D$157)*$D$159</f>
        <v/>
      </c>
      <c r="AU159" s="468">
        <f>(AU157/$D$157)*$D$159</f>
        <v/>
      </c>
      <c r="AV159" s="468">
        <f>(AV157/$D$157)*$D$159</f>
        <v/>
      </c>
      <c r="AW159" s="468">
        <f>(AW157/$D$157)*$D$159</f>
        <v/>
      </c>
      <c r="AX159" s="468">
        <f>(AX157/$D$157)*$D$159</f>
        <v/>
      </c>
      <c r="AY159" s="468">
        <f>(AY157/$D$157)*$D$159</f>
        <v/>
      </c>
      <c r="AZ159" s="468">
        <f>(AZ157/$D$157)*$D$159</f>
        <v/>
      </c>
      <c r="BA159" s="468">
        <f>(BA157/$D$157)*$D$159</f>
        <v/>
      </c>
      <c r="BB159" s="468">
        <f>(BB157/$D$157)*$D$159</f>
        <v/>
      </c>
      <c r="BC159" s="468">
        <f>(BC157/$D$157)*$D$159</f>
        <v/>
      </c>
      <c r="BD159" s="468">
        <f>(BD157/$D$157)*$D$159</f>
        <v/>
      </c>
      <c r="BE159" s="468">
        <f>(BE157/$D$157)*$D$159</f>
        <v/>
      </c>
      <c r="BF159" s="468">
        <f>(BF157/$D$157)*$D$159</f>
        <v/>
      </c>
      <c r="BG159" s="468">
        <f>(BG157/$D$157)*$D$159</f>
        <v/>
      </c>
      <c r="BH159" s="468">
        <f>(BH157/$D$157)*$D$159</f>
        <v/>
      </c>
      <c r="BI159" s="468">
        <f>(BI157/$D$157)*$D$159</f>
        <v/>
      </c>
      <c r="BJ159" s="468">
        <f>(BJ157/$D$157)*$D$159</f>
        <v/>
      </c>
      <c r="BK159" s="468">
        <f>(BK157/$D$157)*$D$159</f>
        <v/>
      </c>
      <c r="BL159" s="468">
        <f>(BL157/$D$157)*$D$159</f>
        <v/>
      </c>
      <c r="BM159" s="468">
        <f>(BM157/$D$157)*$D$159</f>
        <v/>
      </c>
      <c r="BN159" s="468">
        <f>(BN157/$D$157)*$D$159</f>
        <v/>
      </c>
      <c r="BO159" s="468">
        <f>(BO157/$D$157)*$D$159</f>
        <v/>
      </c>
      <c r="BP159" s="468">
        <f>(BP157/$D$157)*$D$159</f>
        <v/>
      </c>
      <c r="BQ159" s="468">
        <f>(BQ157/$D$157)*$D$159</f>
        <v/>
      </c>
      <c r="BR159" s="468">
        <f>(BR157/$D$157)*$D$159</f>
        <v/>
      </c>
      <c r="BS159" s="468">
        <f>(BS157/$D$157)*$D$159</f>
        <v/>
      </c>
      <c r="BT159" s="468">
        <f>(BT157/$D$157)*$D$159</f>
        <v/>
      </c>
      <c r="BU159" s="468">
        <f>(BU157/$D$157)*$D$159</f>
        <v/>
      </c>
      <c r="BV159" s="468">
        <f>(BV157/$D$157)*$D$159</f>
        <v/>
      </c>
      <c r="BW159" s="468">
        <f>(BW157/$D$157)*$D$159</f>
        <v/>
      </c>
      <c r="BX159" s="468">
        <f>(BX157/$D$157)*$D$159</f>
        <v/>
      </c>
      <c r="BY159" s="468">
        <f>(BY157/$D$157)*$D$159</f>
        <v/>
      </c>
      <c r="BZ159" s="468">
        <f>(BZ157/$D$157)*$D$159</f>
        <v/>
      </c>
      <c r="CA159" s="468">
        <f>(CA157/$D$157)*$D$159</f>
        <v/>
      </c>
      <c r="CB159" s="468">
        <f>(CB157/$D$157)*$D$159</f>
        <v/>
      </c>
      <c r="CC159" s="468">
        <f>(CC157/$D$157)*$D$159</f>
        <v/>
      </c>
      <c r="CD159" s="468">
        <f>(CD157/$D$157)*$D$159</f>
        <v/>
      </c>
      <c r="CE159" s="468">
        <f>(CE157/$D$157)*$D$159</f>
        <v/>
      </c>
      <c r="CF159" s="468">
        <f>(CF157/$D$157)*$D$159</f>
        <v/>
      </c>
      <c r="CG159" s="468">
        <f>(CG157/$D$157)*$D$159</f>
        <v/>
      </c>
      <c r="CH159" s="468">
        <f>(CH157/$D$157)*$D$159</f>
        <v/>
      </c>
      <c r="CI159" s="468">
        <f>(CI157/$D$157)*$D$159</f>
        <v/>
      </c>
      <c r="CJ159" s="468">
        <f>(CJ157/$D$157)*$D$159</f>
        <v/>
      </c>
      <c r="CK159" s="468">
        <f>(CK157/$D$157)*$D$159</f>
        <v/>
      </c>
      <c r="CL159" s="468">
        <f>(CL157/$D$157)*$D$159</f>
        <v/>
      </c>
      <c r="CM159" s="468">
        <f>(CM157/$D$157)*$D$159</f>
        <v/>
      </c>
      <c r="CN159" s="468">
        <f>(CN157/$D$157)*$D$159</f>
        <v/>
      </c>
      <c r="CO159" s="468">
        <f>(CO157/$D$157)*$D$159</f>
        <v/>
      </c>
      <c r="CP159" s="468">
        <f>(CP157/$D$157)*$D$159</f>
        <v/>
      </c>
      <c r="CQ159" s="468">
        <f>(CQ157/$D$157)*$D$159</f>
        <v/>
      </c>
      <c r="CR159" s="468">
        <f>(CR157/$D$157)*$D$159</f>
        <v/>
      </c>
      <c r="CS159" s="468">
        <f>(CS157/$D$157)*$D$159</f>
        <v/>
      </c>
      <c r="CT159" s="468">
        <f>(CT157/$D$157)*$D$159</f>
        <v/>
      </c>
      <c r="CU159" s="468">
        <f>(CU157/$D$157)*$D$159</f>
        <v/>
      </c>
      <c r="CV159" s="468">
        <f>(CV157/$D$157)*$D$159</f>
        <v/>
      </c>
      <c r="CW159" s="468">
        <f>(CW157/$D$157)*$D$159</f>
        <v/>
      </c>
      <c r="CX159" s="468">
        <f>(CX157/$D$157)*$D$159</f>
        <v/>
      </c>
      <c r="CY159" s="468">
        <f>(CY157/$D$157)*$D$159</f>
        <v/>
      </c>
      <c r="CZ159" s="468">
        <f>(CZ157/$D$157)*$D$159</f>
        <v/>
      </c>
      <c r="DA159" s="468">
        <f>(DA157/$D$157)*$D$159</f>
        <v/>
      </c>
      <c r="DB159" s="468">
        <f>(DB157/$D$157)*$D$159</f>
        <v/>
      </c>
      <c r="DC159" s="468">
        <f>(DC157/$D$157)*$D$159</f>
        <v/>
      </c>
      <c r="DD159" s="468">
        <f>(DD157/$D$157)*$D$159</f>
        <v/>
      </c>
      <c r="DE159" s="468">
        <f>(DE157/$D$157)*$D$159</f>
        <v/>
      </c>
      <c r="DF159" s="468">
        <f>(DF157/$D$157)*$D$159</f>
        <v/>
      </c>
      <c r="DG159" s="468">
        <f>(DG157/$D$157)*$D$159</f>
        <v/>
      </c>
      <c r="DH159" s="468">
        <f>(DH157/$D$157)*$D$159</f>
        <v/>
      </c>
      <c r="DI159" s="468">
        <f>(DI157/$D$157)*$D$159</f>
        <v/>
      </c>
      <c r="DJ159" s="468">
        <f>(DJ157/$D$157)*$D$159</f>
        <v/>
      </c>
      <c r="DK159" s="468">
        <f>(DK157/$D$157)*$D$159</f>
        <v/>
      </c>
      <c r="DL159" s="468">
        <f>(DL157/$D$157)*$D$159</f>
        <v/>
      </c>
      <c r="DM159" s="468">
        <f>(DM157/$D$157)*$D$159</f>
        <v/>
      </c>
      <c r="DN159" s="468">
        <f>(DN157/$D$157)*$D$159</f>
        <v/>
      </c>
      <c r="DO159" s="468">
        <f>(DO157/$D$157)*$D$159</f>
        <v/>
      </c>
      <c r="DP159" s="468">
        <f>(DP157/$D$157)*$D$159</f>
        <v/>
      </c>
      <c r="DQ159" s="468">
        <f>(DQ157/$D$157)*$D$159</f>
        <v/>
      </c>
      <c r="DR159" s="468">
        <f>(DR157/$D$157)*$D$159</f>
        <v/>
      </c>
      <c r="DS159" s="468">
        <f>(DS157/$D$157)*$D$159</f>
        <v/>
      </c>
      <c r="DT159" s="468">
        <f>(DT157/$D$157)*$D$159</f>
        <v/>
      </c>
      <c r="DU159" s="468">
        <f>(DU157/$D$157)*$D$159</f>
        <v/>
      </c>
      <c r="DV159" s="468">
        <f>(DV157/$D$157)*$D$159</f>
        <v/>
      </c>
      <c r="DW159" s="322" t="inlineStr">
        <is>
          <t>x</t>
        </is>
      </c>
    </row>
    <row r="160" hidden="1" outlineLevel="1" ht="17.25" customHeight="1" thickBot="1">
      <c r="C160" s="365" t="inlineStr">
        <is>
          <t>Total Splits</t>
        </is>
      </c>
      <c r="D160" s="486" t="n"/>
      <c r="E160" s="657">
        <f>SUM(E157:E159)</f>
        <v/>
      </c>
      <c r="F160" s="658" t="n"/>
      <c r="G160" s="658">
        <f>SUM(G157:G159)</f>
        <v/>
      </c>
      <c r="H160" s="658">
        <f>SUM(H157:H159)</f>
        <v/>
      </c>
      <c r="I160" s="658">
        <f>SUM(I157:I159)</f>
        <v/>
      </c>
      <c r="J160" s="658">
        <f>SUM(J157:J159)</f>
        <v/>
      </c>
      <c r="K160" s="658">
        <f>SUM(K157:K159)</f>
        <v/>
      </c>
      <c r="L160" s="658">
        <f>SUM(L157:L159)</f>
        <v/>
      </c>
      <c r="M160" s="658">
        <f>SUM(M157:M159)</f>
        <v/>
      </c>
      <c r="N160" s="658">
        <f>SUM(N157:N159)</f>
        <v/>
      </c>
      <c r="O160" s="658">
        <f>SUM(O157:O159)</f>
        <v/>
      </c>
      <c r="P160" s="658">
        <f>SUM(P157:P159)</f>
        <v/>
      </c>
      <c r="Q160" s="658">
        <f>SUM(Q157:Q159)</f>
        <v/>
      </c>
      <c r="R160" s="658">
        <f>SUM(R157:R159)</f>
        <v/>
      </c>
      <c r="S160" s="658">
        <f>SUM(S157:S159)</f>
        <v/>
      </c>
      <c r="T160" s="658">
        <f>SUM(T157:T159)</f>
        <v/>
      </c>
      <c r="U160" s="658">
        <f>SUM(U157:U159)</f>
        <v/>
      </c>
      <c r="V160" s="658">
        <f>SUM(V157:V159)</f>
        <v/>
      </c>
      <c r="W160" s="658">
        <f>SUM(W157:W159)</f>
        <v/>
      </c>
      <c r="X160" s="658">
        <f>SUM(X157:X159)</f>
        <v/>
      </c>
      <c r="Y160" s="658">
        <f>SUM(Y157:Y159)</f>
        <v/>
      </c>
      <c r="Z160" s="658">
        <f>SUM(Z157:Z159)</f>
        <v/>
      </c>
      <c r="AA160" s="658">
        <f>SUM(AA157:AA159)</f>
        <v/>
      </c>
      <c r="AB160" s="658">
        <f>SUM(AB157:AB159)</f>
        <v/>
      </c>
      <c r="AC160" s="658">
        <f>SUM(AC157:AC159)</f>
        <v/>
      </c>
      <c r="AD160" s="658">
        <f>SUM(AD157:AD159)</f>
        <v/>
      </c>
      <c r="AE160" s="658">
        <f>SUM(AE157:AE159)</f>
        <v/>
      </c>
      <c r="AF160" s="658">
        <f>SUM(AF157:AF159)</f>
        <v/>
      </c>
      <c r="AG160" s="658">
        <f>SUM(AG157:AG159)</f>
        <v/>
      </c>
      <c r="AH160" s="658">
        <f>SUM(AH157:AH159)</f>
        <v/>
      </c>
      <c r="AI160" s="658">
        <f>SUM(AI157:AI159)</f>
        <v/>
      </c>
      <c r="AJ160" s="658">
        <f>SUM(AJ157:AJ159)</f>
        <v/>
      </c>
      <c r="AK160" s="658">
        <f>SUM(AK157:AK159)</f>
        <v/>
      </c>
      <c r="AL160" s="658">
        <f>SUM(AL157:AL159)</f>
        <v/>
      </c>
      <c r="AM160" s="658">
        <f>SUM(AM157:AM159)</f>
        <v/>
      </c>
      <c r="AN160" s="658">
        <f>SUM(AN157:AN159)</f>
        <v/>
      </c>
      <c r="AO160" s="658">
        <f>SUM(AO157:AO159)</f>
        <v/>
      </c>
      <c r="AP160" s="658">
        <f>SUM(AP157:AP159)</f>
        <v/>
      </c>
      <c r="AQ160" s="658">
        <f>SUM(AQ157:AQ159)</f>
        <v/>
      </c>
      <c r="AR160" s="658">
        <f>SUM(AR157:AR159)</f>
        <v/>
      </c>
      <c r="AS160" s="658">
        <f>SUM(AS157:AS159)</f>
        <v/>
      </c>
      <c r="AT160" s="658">
        <f>SUM(AT157:AT159)</f>
        <v/>
      </c>
      <c r="AU160" s="658">
        <f>SUM(AU157:AU159)</f>
        <v/>
      </c>
      <c r="AV160" s="658">
        <f>SUM(AV157:AV159)</f>
        <v/>
      </c>
      <c r="AW160" s="658">
        <f>SUM(AW157:AW159)</f>
        <v/>
      </c>
      <c r="AX160" s="658">
        <f>SUM(AX157:AX159)</f>
        <v/>
      </c>
      <c r="AY160" s="658">
        <f>SUM(AY157:AY159)</f>
        <v/>
      </c>
      <c r="AZ160" s="658">
        <f>SUM(AZ157:AZ159)</f>
        <v/>
      </c>
      <c r="BA160" s="658">
        <f>SUM(BA157:BA159)</f>
        <v/>
      </c>
      <c r="BB160" s="658">
        <f>SUM(BB157:BB159)</f>
        <v/>
      </c>
      <c r="BC160" s="658">
        <f>SUM(BC157:BC159)</f>
        <v/>
      </c>
      <c r="BD160" s="658">
        <f>SUM(BD157:BD159)</f>
        <v/>
      </c>
      <c r="BE160" s="658">
        <f>SUM(BE157:BE159)</f>
        <v/>
      </c>
      <c r="BF160" s="658">
        <f>SUM(BF157:BF159)</f>
        <v/>
      </c>
      <c r="BG160" s="658">
        <f>SUM(BG157:BG159)</f>
        <v/>
      </c>
      <c r="BH160" s="658">
        <f>SUM(BH157:BH159)</f>
        <v/>
      </c>
      <c r="BI160" s="658">
        <f>SUM(BI157:BI159)</f>
        <v/>
      </c>
      <c r="BJ160" s="658">
        <f>SUM(BJ157:BJ159)</f>
        <v/>
      </c>
      <c r="BK160" s="658">
        <f>SUM(BK157:BK159)</f>
        <v/>
      </c>
      <c r="BL160" s="658">
        <f>SUM(BL157:BL159)</f>
        <v/>
      </c>
      <c r="BM160" s="658">
        <f>SUM(BM157:BM159)</f>
        <v/>
      </c>
      <c r="BN160" s="658">
        <f>SUM(BN157:BN159)</f>
        <v/>
      </c>
      <c r="BO160" s="658">
        <f>SUM(BO157:BO159)</f>
        <v/>
      </c>
      <c r="BP160" s="658">
        <f>SUM(BP157:BP159)</f>
        <v/>
      </c>
      <c r="BQ160" s="658">
        <f>SUM(BQ157:BQ159)</f>
        <v/>
      </c>
      <c r="BR160" s="658">
        <f>SUM(BR157:BR159)</f>
        <v/>
      </c>
      <c r="BS160" s="658">
        <f>SUM(BS157:BS159)</f>
        <v/>
      </c>
      <c r="BT160" s="658">
        <f>SUM(BT157:BT159)</f>
        <v/>
      </c>
      <c r="BU160" s="658">
        <f>SUM(BU157:BU159)</f>
        <v/>
      </c>
      <c r="BV160" s="658">
        <f>SUM(BV157:BV159)</f>
        <v/>
      </c>
      <c r="BW160" s="658">
        <f>SUM(BW157:BW159)</f>
        <v/>
      </c>
      <c r="BX160" s="658">
        <f>SUM(BX157:BX159)</f>
        <v/>
      </c>
      <c r="BY160" s="658">
        <f>SUM(BY157:BY159)</f>
        <v/>
      </c>
      <c r="BZ160" s="658">
        <f>SUM(BZ157:BZ159)</f>
        <v/>
      </c>
      <c r="CA160" s="658">
        <f>SUM(CA157:CA159)</f>
        <v/>
      </c>
      <c r="CB160" s="658">
        <f>SUM(CB157:CB159)</f>
        <v/>
      </c>
      <c r="CC160" s="658">
        <f>SUM(CC157:CC159)</f>
        <v/>
      </c>
      <c r="CD160" s="658">
        <f>SUM(CD157:CD159)</f>
        <v/>
      </c>
      <c r="CE160" s="658">
        <f>SUM(CE157:CE159)</f>
        <v/>
      </c>
      <c r="CF160" s="658">
        <f>SUM(CF157:CF159)</f>
        <v/>
      </c>
      <c r="CG160" s="658">
        <f>SUM(CG157:CG159)</f>
        <v/>
      </c>
      <c r="CH160" s="658">
        <f>SUM(CH157:CH159)</f>
        <v/>
      </c>
      <c r="CI160" s="658">
        <f>SUM(CI157:CI159)</f>
        <v/>
      </c>
      <c r="CJ160" s="658">
        <f>SUM(CJ157:CJ159)</f>
        <v/>
      </c>
      <c r="CK160" s="658">
        <f>SUM(CK157:CK159)</f>
        <v/>
      </c>
      <c r="CL160" s="658">
        <f>SUM(CL157:CL159)</f>
        <v/>
      </c>
      <c r="CM160" s="658">
        <f>SUM(CM157:CM159)</f>
        <v/>
      </c>
      <c r="CN160" s="658">
        <f>SUM(CN157:CN159)</f>
        <v/>
      </c>
      <c r="CO160" s="658">
        <f>SUM(CO157:CO159)</f>
        <v/>
      </c>
      <c r="CP160" s="658">
        <f>SUM(CP157:CP159)</f>
        <v/>
      </c>
      <c r="CQ160" s="658">
        <f>SUM(CQ157:CQ159)</f>
        <v/>
      </c>
      <c r="CR160" s="658">
        <f>SUM(CR157:CR159)</f>
        <v/>
      </c>
      <c r="CS160" s="658">
        <f>SUM(CS157:CS159)</f>
        <v/>
      </c>
      <c r="CT160" s="658">
        <f>SUM(CT157:CT159)</f>
        <v/>
      </c>
      <c r="CU160" s="658">
        <f>SUM(CU157:CU159)</f>
        <v/>
      </c>
      <c r="CV160" s="658">
        <f>SUM(CV157:CV159)</f>
        <v/>
      </c>
      <c r="CW160" s="658">
        <f>SUM(CW157:CW159)</f>
        <v/>
      </c>
      <c r="CX160" s="658">
        <f>SUM(CX157:CX159)</f>
        <v/>
      </c>
      <c r="CY160" s="658">
        <f>SUM(CY157:CY159)</f>
        <v/>
      </c>
      <c r="CZ160" s="658">
        <f>SUM(CZ157:CZ159)</f>
        <v/>
      </c>
      <c r="DA160" s="658">
        <f>SUM(DA157:DA159)</f>
        <v/>
      </c>
      <c r="DB160" s="658">
        <f>SUM(DB157:DB159)</f>
        <v/>
      </c>
      <c r="DC160" s="658">
        <f>SUM(DC157:DC159)</f>
        <v/>
      </c>
      <c r="DD160" s="658">
        <f>SUM(DD157:DD159)</f>
        <v/>
      </c>
      <c r="DE160" s="658">
        <f>SUM(DE157:DE159)</f>
        <v/>
      </c>
      <c r="DF160" s="658">
        <f>SUM(DF157:DF159)</f>
        <v/>
      </c>
      <c r="DG160" s="658">
        <f>SUM(DG157:DG159)</f>
        <v/>
      </c>
      <c r="DH160" s="658">
        <f>SUM(DH157:DH159)</f>
        <v/>
      </c>
      <c r="DI160" s="658">
        <f>SUM(DI157:DI159)</f>
        <v/>
      </c>
      <c r="DJ160" s="658">
        <f>SUM(DJ157:DJ159)</f>
        <v/>
      </c>
      <c r="DK160" s="658">
        <f>SUM(DK157:DK159)</f>
        <v/>
      </c>
      <c r="DL160" s="658">
        <f>SUM(DL157:DL159)</f>
        <v/>
      </c>
      <c r="DM160" s="658">
        <f>SUM(DM157:DM159)</f>
        <v/>
      </c>
      <c r="DN160" s="658">
        <f>SUM(DN157:DN159)</f>
        <v/>
      </c>
      <c r="DO160" s="658">
        <f>SUM(DO157:DO159)</f>
        <v/>
      </c>
      <c r="DP160" s="658">
        <f>SUM(DP157:DP159)</f>
        <v/>
      </c>
      <c r="DQ160" s="658">
        <f>SUM(DQ157:DQ159)</f>
        <v/>
      </c>
      <c r="DR160" s="658">
        <f>SUM(DR157:DR159)</f>
        <v/>
      </c>
      <c r="DS160" s="658">
        <f>SUM(DS157:DS159)</f>
        <v/>
      </c>
      <c r="DT160" s="658">
        <f>SUM(DT157:DT159)</f>
        <v/>
      </c>
      <c r="DU160" s="658">
        <f>SUM(DU157:DU159)</f>
        <v/>
      </c>
      <c r="DV160" s="658">
        <f>SUM(DV157:DV159)</f>
        <v/>
      </c>
      <c r="DW160" s="322" t="inlineStr">
        <is>
          <t>x</t>
        </is>
      </c>
    </row>
    <row r="161" hidden="1" outlineLevel="1" ht="17.25" customHeight="1" thickTop="1">
      <c r="C161" s="360" t="n"/>
      <c r="D161" s="360" t="n"/>
      <c r="E161" s="360" t="n"/>
      <c r="F161" s="360" t="n"/>
      <c r="G161" s="360" t="n"/>
      <c r="H161" s="360" t="n"/>
      <c r="I161" s="360" t="n"/>
      <c r="J161" s="360" t="n"/>
      <c r="K161" s="360" t="n"/>
      <c r="L161" s="360" t="n"/>
      <c r="M161" s="360" t="n"/>
      <c r="N161" s="360" t="n"/>
      <c r="O161" s="360" t="n"/>
      <c r="P161" s="360" t="n"/>
      <c r="Q161" s="360" t="n"/>
      <c r="R161" s="360" t="n"/>
      <c r="S161" s="360" t="n"/>
      <c r="T161" s="360" t="n"/>
      <c r="U161" s="360" t="n"/>
      <c r="V161" s="360" t="n"/>
      <c r="W161" s="360" t="n"/>
      <c r="X161" s="360" t="n"/>
      <c r="Y161" s="360" t="n"/>
      <c r="Z161" s="360" t="n"/>
      <c r="AA161" s="360" t="n"/>
      <c r="AB161" s="360" t="n"/>
      <c r="AC161" s="360" t="n"/>
      <c r="AD161" s="360" t="n"/>
      <c r="AE161" s="360" t="n"/>
      <c r="AF161" s="360" t="n"/>
      <c r="AG161" s="360" t="n"/>
      <c r="AH161" s="360" t="n"/>
      <c r="AI161" s="360" t="n"/>
      <c r="AJ161" s="360" t="n"/>
      <c r="AK161" s="360" t="n"/>
      <c r="AL161" s="360" t="n"/>
      <c r="AM161" s="360" t="n"/>
      <c r="AN161" s="360" t="n"/>
      <c r="AO161" s="360" t="n"/>
      <c r="AP161" s="360" t="n"/>
      <c r="AQ161" s="360" t="n"/>
      <c r="AR161" s="360" t="n"/>
      <c r="AS161" s="360" t="n"/>
      <c r="AT161" s="360" t="n"/>
      <c r="AU161" s="360" t="n"/>
      <c r="AV161" s="360" t="n"/>
      <c r="AW161" s="360" t="n"/>
      <c r="AX161" s="360" t="n"/>
      <c r="AY161" s="360" t="n"/>
      <c r="AZ161" s="360" t="n"/>
      <c r="BA161" s="360" t="n"/>
      <c r="BB161" s="360" t="n"/>
      <c r="BC161" s="360" t="n"/>
      <c r="BD161" s="360" t="n"/>
      <c r="BE161" s="360" t="n"/>
      <c r="BF161" s="360" t="n"/>
      <c r="BG161" s="360" t="n"/>
      <c r="BH161" s="360" t="n"/>
      <c r="BI161" s="360" t="n"/>
      <c r="BJ161" s="360" t="n"/>
      <c r="BK161" s="360" t="n"/>
      <c r="BL161" s="360" t="n"/>
      <c r="BM161" s="360" t="n"/>
      <c r="BN161" s="360" t="n"/>
      <c r="BO161" s="360" t="n"/>
      <c r="BP161" s="360" t="n"/>
      <c r="BQ161" s="360" t="n"/>
      <c r="BR161" s="360" t="n"/>
      <c r="BS161" s="360" t="n"/>
      <c r="BT161" s="360" t="n"/>
      <c r="BU161" s="360" t="n"/>
      <c r="BV161" s="360" t="n"/>
      <c r="BW161" s="360" t="n"/>
      <c r="BX161" s="360" t="n"/>
      <c r="BY161" s="360" t="n"/>
      <c r="BZ161" s="360" t="n"/>
      <c r="CA161" s="360" t="n"/>
      <c r="CB161" s="360" t="n"/>
      <c r="CC161" s="360" t="n"/>
      <c r="CD161" s="360" t="n"/>
      <c r="CE161" s="360" t="n"/>
      <c r="CF161" s="360" t="n"/>
      <c r="CG161" s="360" t="n"/>
      <c r="CH161" s="360" t="n"/>
      <c r="CI161" s="360" t="n"/>
      <c r="CJ161" s="360" t="n"/>
      <c r="CK161" s="360" t="n"/>
      <c r="CL161" s="360" t="n"/>
      <c r="CM161" s="360" t="n"/>
      <c r="CN161" s="360" t="n"/>
      <c r="CO161" s="360" t="n"/>
      <c r="CP161" s="360" t="n"/>
      <c r="CQ161" s="360" t="n"/>
      <c r="CR161" s="360" t="n"/>
      <c r="CS161" s="360" t="n"/>
      <c r="CT161" s="360" t="n"/>
      <c r="CU161" s="360" t="n"/>
      <c r="CV161" s="360" t="n"/>
      <c r="CW161" s="360" t="n"/>
      <c r="CX161" s="360" t="n"/>
      <c r="CY161" s="360" t="n"/>
      <c r="CZ161" s="360" t="n"/>
      <c r="DA161" s="360" t="n"/>
      <c r="DB161" s="360" t="n"/>
      <c r="DC161" s="360" t="n"/>
      <c r="DD161" s="360" t="n"/>
      <c r="DE161" s="360" t="n"/>
      <c r="DF161" s="360" t="n"/>
      <c r="DG161" s="360" t="n"/>
      <c r="DH161" s="360" t="n"/>
      <c r="DI161" s="360" t="n"/>
      <c r="DJ161" s="360" t="n"/>
      <c r="DK161" s="360" t="n"/>
      <c r="DL161" s="360" t="n"/>
      <c r="DM161" s="360" t="n"/>
      <c r="DN161" s="360" t="n"/>
      <c r="DO161" s="360" t="n"/>
      <c r="DP161" s="360" t="n"/>
      <c r="DQ161" s="360" t="n"/>
      <c r="DR161" s="360" t="n"/>
      <c r="DS161" s="360" t="n"/>
      <c r="DT161" s="360" t="n"/>
      <c r="DU161" s="360" t="n"/>
      <c r="DV161" s="360" t="n"/>
      <c r="DW161" s="322" t="inlineStr">
        <is>
          <t>x</t>
        </is>
      </c>
    </row>
    <row r="162" hidden="1" outlineLevel="1" ht="17.25" customHeight="1" thickBot="1">
      <c r="C162" s="365" t="inlineStr">
        <is>
          <t>Remaining Cash to Distribute</t>
        </is>
      </c>
      <c r="D162" s="487" t="n"/>
      <c r="E162" s="685">
        <f>SUM(F162:DV162)</f>
        <v/>
      </c>
      <c r="F162" s="685" t="n"/>
      <c r="G162" s="685">
        <f>IF(G160&lt;0,0,G130-G160)</f>
        <v/>
      </c>
      <c r="H162" s="685">
        <f>IF(H160&lt;0,0,H130-H160)</f>
        <v/>
      </c>
      <c r="I162" s="685">
        <f>IF(I160&lt;0,0,I130-I160)</f>
        <v/>
      </c>
      <c r="J162" s="685">
        <f>IF(J160&lt;0,0,J130-J160)</f>
        <v/>
      </c>
      <c r="K162" s="685">
        <f>IF(K160&lt;0,0,K130-K160)</f>
        <v/>
      </c>
      <c r="L162" s="685">
        <f>IF(L160&lt;0,0,L130-L160)</f>
        <v/>
      </c>
      <c r="M162" s="685">
        <f>IF(M160&lt;0,0,M130-M160)</f>
        <v/>
      </c>
      <c r="N162" s="685">
        <f>IF(N160&lt;0,0,N130-N160)</f>
        <v/>
      </c>
      <c r="O162" s="685">
        <f>IF(O160&lt;0,0,O130-O160)</f>
        <v/>
      </c>
      <c r="P162" s="685">
        <f>IF(P160&lt;0,0,P130-P160)</f>
        <v/>
      </c>
      <c r="Q162" s="685">
        <f>IF(Q160&lt;0,0,Q130-Q160)</f>
        <v/>
      </c>
      <c r="R162" s="685">
        <f>IF(R160&lt;0,0,R130-R160)</f>
        <v/>
      </c>
      <c r="S162" s="685">
        <f>IF(S160&lt;0,0,S130-S160)</f>
        <v/>
      </c>
      <c r="T162" s="685">
        <f>IF(T160&lt;0,0,T130-T160)</f>
        <v/>
      </c>
      <c r="U162" s="685">
        <f>IF(U160&lt;0,0,U130-U160)</f>
        <v/>
      </c>
      <c r="V162" s="685">
        <f>IF(V160&lt;0,0,V130-V160)</f>
        <v/>
      </c>
      <c r="W162" s="685">
        <f>IF(W160&lt;0,0,W130-W160)</f>
        <v/>
      </c>
      <c r="X162" s="685">
        <f>IF(X160&lt;0,0,X130-X160)</f>
        <v/>
      </c>
      <c r="Y162" s="685">
        <f>IF(Y160&lt;0,0,Y130-Y160)</f>
        <v/>
      </c>
      <c r="Z162" s="685">
        <f>IF(Z160&lt;0,0,Z130-Z160)</f>
        <v/>
      </c>
      <c r="AA162" s="685">
        <f>IF(AA160&lt;0,0,AA130-AA160)</f>
        <v/>
      </c>
      <c r="AB162" s="685">
        <f>IF(AB160&lt;0,0,AB130-AB160)</f>
        <v/>
      </c>
      <c r="AC162" s="685">
        <f>IF(AC160&lt;0,0,AC130-AC160)</f>
        <v/>
      </c>
      <c r="AD162" s="685">
        <f>IF(AD160&lt;0,0,AD130-AD160)</f>
        <v/>
      </c>
      <c r="AE162" s="685">
        <f>IF(AE160&lt;0,0,AE130-AE160)</f>
        <v/>
      </c>
      <c r="AF162" s="685">
        <f>IF(AF160&lt;0,0,AF130-AF160)</f>
        <v/>
      </c>
      <c r="AG162" s="685">
        <f>IF(AG160&lt;0,0,AG130-AG160)</f>
        <v/>
      </c>
      <c r="AH162" s="685">
        <f>IF(AH160&lt;0,0,AH130-AH160)</f>
        <v/>
      </c>
      <c r="AI162" s="685">
        <f>IF(AI160&lt;0,0,AI130-AI160)</f>
        <v/>
      </c>
      <c r="AJ162" s="685">
        <f>IF(AJ160&lt;0,0,AJ130-AJ160)</f>
        <v/>
      </c>
      <c r="AK162" s="685">
        <f>IF(AK160&lt;0,0,AK130-AK160)</f>
        <v/>
      </c>
      <c r="AL162" s="685">
        <f>IF(AL160&lt;0,0,AL130-AL160)</f>
        <v/>
      </c>
      <c r="AM162" s="685">
        <f>IF(AM160&lt;0,0,AM130-AM160)</f>
        <v/>
      </c>
      <c r="AN162" s="685">
        <f>IF(AN160&lt;0,0,AN130-AN160)</f>
        <v/>
      </c>
      <c r="AO162" s="685">
        <f>IF(AO160&lt;0,0,AO130-AO160)</f>
        <v/>
      </c>
      <c r="AP162" s="685">
        <f>IF(AP160&lt;0,0,AP130-AP160)</f>
        <v/>
      </c>
      <c r="AQ162" s="685">
        <f>IF(AQ160&lt;0,0,AQ130-AQ160)</f>
        <v/>
      </c>
      <c r="AR162" s="685">
        <f>IF(AR160&lt;0,0,AR130-AR160)</f>
        <v/>
      </c>
      <c r="AS162" s="685">
        <f>IF(AS160&lt;0,0,AS130-AS160)</f>
        <v/>
      </c>
      <c r="AT162" s="685">
        <f>IF(AT160&lt;0,0,AT130-AT160)</f>
        <v/>
      </c>
      <c r="AU162" s="685">
        <f>IF(AU160&lt;0,0,AU130-AU160)</f>
        <v/>
      </c>
      <c r="AV162" s="685">
        <f>IF(AV160&lt;0,0,AV130-AV160)</f>
        <v/>
      </c>
      <c r="AW162" s="685">
        <f>IF(AW160&lt;0,0,AW130-AW160)</f>
        <v/>
      </c>
      <c r="AX162" s="685">
        <f>IF(AX160&lt;0,0,AX130-AX160)</f>
        <v/>
      </c>
      <c r="AY162" s="685">
        <f>IF(AY160&lt;0,0,AY130-AY160)</f>
        <v/>
      </c>
      <c r="AZ162" s="685">
        <f>IF(AZ160&lt;0,0,AZ130-AZ160)</f>
        <v/>
      </c>
      <c r="BA162" s="685">
        <f>IF(BA160&lt;0,0,BA130-BA160)</f>
        <v/>
      </c>
      <c r="BB162" s="685">
        <f>IF(BB160&lt;0,0,BB130-BB160)</f>
        <v/>
      </c>
      <c r="BC162" s="685">
        <f>IF(BC160&lt;0,0,BC130-BC160)</f>
        <v/>
      </c>
      <c r="BD162" s="685">
        <f>IF(BD160&lt;0,0,BD130-BD160)</f>
        <v/>
      </c>
      <c r="BE162" s="685">
        <f>IF(BE160&lt;0,0,BE130-BE160)</f>
        <v/>
      </c>
      <c r="BF162" s="685">
        <f>IF(BF160&lt;0,0,BF130-BF160)</f>
        <v/>
      </c>
      <c r="BG162" s="685">
        <f>IF(BG160&lt;0,0,BG130-BG160)</f>
        <v/>
      </c>
      <c r="BH162" s="685">
        <f>IF(BH160&lt;0,0,BH130-BH160)</f>
        <v/>
      </c>
      <c r="BI162" s="685">
        <f>IF(BI160&lt;0,0,BI130-BI160)</f>
        <v/>
      </c>
      <c r="BJ162" s="685">
        <f>IF(BJ160&lt;0,0,BJ130-BJ160)</f>
        <v/>
      </c>
      <c r="BK162" s="685">
        <f>IF(BK160&lt;0,0,BK130-BK160)</f>
        <v/>
      </c>
      <c r="BL162" s="685">
        <f>IF(BL160&lt;0,0,BL130-BL160)</f>
        <v/>
      </c>
      <c r="BM162" s="685">
        <f>IF(BM160&lt;0,0,BM130-BM160)</f>
        <v/>
      </c>
      <c r="BN162" s="685">
        <f>IF(BN160&lt;0,0,BN130-BN160)</f>
        <v/>
      </c>
      <c r="BO162" s="685">
        <f>IF(BO160&lt;0,0,BO130-BO160)</f>
        <v/>
      </c>
      <c r="BP162" s="685">
        <f>IF(BP160&lt;0,0,BP130-BP160)</f>
        <v/>
      </c>
      <c r="BQ162" s="685">
        <f>IF(BQ160&lt;0,0,BQ130-BQ160)</f>
        <v/>
      </c>
      <c r="BR162" s="685">
        <f>IF(BR160&lt;0,0,BR130-BR160)</f>
        <v/>
      </c>
      <c r="BS162" s="685">
        <f>IF(BS160&lt;0,0,BS130-BS160)</f>
        <v/>
      </c>
      <c r="BT162" s="685">
        <f>IF(BT160&lt;0,0,BT130-BT160)</f>
        <v/>
      </c>
      <c r="BU162" s="685">
        <f>IF(BU160&lt;0,0,BU130-BU160)</f>
        <v/>
      </c>
      <c r="BV162" s="685">
        <f>IF(BV160&lt;0,0,BV130-BV160)</f>
        <v/>
      </c>
      <c r="BW162" s="685">
        <f>IF(BW160&lt;0,0,BW130-BW160)</f>
        <v/>
      </c>
      <c r="BX162" s="685">
        <f>IF(BX160&lt;0,0,BX130-BX160)</f>
        <v/>
      </c>
      <c r="BY162" s="685">
        <f>IF(BY160&lt;0,0,BY130-BY160)</f>
        <v/>
      </c>
      <c r="BZ162" s="685">
        <f>IF(BZ160&lt;0,0,BZ130-BZ160)</f>
        <v/>
      </c>
      <c r="CA162" s="685">
        <f>IF(CA160&lt;0,0,CA130-CA160)</f>
        <v/>
      </c>
      <c r="CB162" s="685">
        <f>IF(CB160&lt;0,0,CB130-CB160)</f>
        <v/>
      </c>
      <c r="CC162" s="685">
        <f>IF(CC160&lt;0,0,CC130-CC160)</f>
        <v/>
      </c>
      <c r="CD162" s="685">
        <f>IF(CD160&lt;0,0,CD130-CD160)</f>
        <v/>
      </c>
      <c r="CE162" s="685">
        <f>IF(CE160&lt;0,0,CE130-CE160)</f>
        <v/>
      </c>
      <c r="CF162" s="685">
        <f>IF(CF160&lt;0,0,CF130-CF160)</f>
        <v/>
      </c>
      <c r="CG162" s="685">
        <f>IF(CG160&lt;0,0,CG130-CG160)</f>
        <v/>
      </c>
      <c r="CH162" s="685">
        <f>IF(CH160&lt;0,0,CH130-CH160)</f>
        <v/>
      </c>
      <c r="CI162" s="685">
        <f>IF(CI160&lt;0,0,CI130-CI160)</f>
        <v/>
      </c>
      <c r="CJ162" s="685">
        <f>IF(CJ160&lt;0,0,CJ130-CJ160)</f>
        <v/>
      </c>
      <c r="CK162" s="685">
        <f>IF(CK160&lt;0,0,CK130-CK160)</f>
        <v/>
      </c>
      <c r="CL162" s="685">
        <f>IF(CL160&lt;0,0,CL130-CL160)</f>
        <v/>
      </c>
      <c r="CM162" s="685">
        <f>IF(CM160&lt;0,0,CM130-CM160)</f>
        <v/>
      </c>
      <c r="CN162" s="685">
        <f>IF(CN160&lt;0,0,CN130-CN160)</f>
        <v/>
      </c>
      <c r="CO162" s="685">
        <f>IF(CO160&lt;0,0,CO130-CO160)</f>
        <v/>
      </c>
      <c r="CP162" s="685">
        <f>IF(CP160&lt;0,0,CP130-CP160)</f>
        <v/>
      </c>
      <c r="CQ162" s="685">
        <f>IF(CQ160&lt;0,0,CQ130-CQ160)</f>
        <v/>
      </c>
      <c r="CR162" s="685">
        <f>IF(CR160&lt;0,0,CR130-CR160)</f>
        <v/>
      </c>
      <c r="CS162" s="685">
        <f>IF(CS160&lt;0,0,CS130-CS160)</f>
        <v/>
      </c>
      <c r="CT162" s="685">
        <f>IF(CT160&lt;0,0,CT130-CT160)</f>
        <v/>
      </c>
      <c r="CU162" s="685">
        <f>IF(CU160&lt;0,0,CU130-CU160)</f>
        <v/>
      </c>
      <c r="CV162" s="685">
        <f>IF(CV160&lt;0,0,CV130-CV160)</f>
        <v/>
      </c>
      <c r="CW162" s="685">
        <f>IF(CW160&lt;0,0,CW130-CW160)</f>
        <v/>
      </c>
      <c r="CX162" s="685">
        <f>IF(CX160&lt;0,0,CX130-CX160)</f>
        <v/>
      </c>
      <c r="CY162" s="685">
        <f>IF(CY160&lt;0,0,CY130-CY160)</f>
        <v/>
      </c>
      <c r="CZ162" s="685">
        <f>IF(CZ160&lt;0,0,CZ130-CZ160)</f>
        <v/>
      </c>
      <c r="DA162" s="685">
        <f>IF(DA160&lt;0,0,DA130-DA160)</f>
        <v/>
      </c>
      <c r="DB162" s="685">
        <f>IF(DB160&lt;0,0,DB130-DB160)</f>
        <v/>
      </c>
      <c r="DC162" s="685">
        <f>IF(DC160&lt;0,0,DC130-DC160)</f>
        <v/>
      </c>
      <c r="DD162" s="685">
        <f>IF(DD160&lt;0,0,DD130-DD160)</f>
        <v/>
      </c>
      <c r="DE162" s="685">
        <f>IF(DE160&lt;0,0,DE130-DE160)</f>
        <v/>
      </c>
      <c r="DF162" s="685">
        <f>IF(DF160&lt;0,0,DF130-DF160)</f>
        <v/>
      </c>
      <c r="DG162" s="685">
        <f>IF(DG160&lt;0,0,DG130-DG160)</f>
        <v/>
      </c>
      <c r="DH162" s="685">
        <f>IF(DH160&lt;0,0,DH130-DH160)</f>
        <v/>
      </c>
      <c r="DI162" s="685">
        <f>IF(DI160&lt;0,0,DI130-DI160)</f>
        <v/>
      </c>
      <c r="DJ162" s="685">
        <f>IF(DJ160&lt;0,0,DJ130-DJ160)</f>
        <v/>
      </c>
      <c r="DK162" s="685">
        <f>IF(DK160&lt;0,0,DK130-DK160)</f>
        <v/>
      </c>
      <c r="DL162" s="685">
        <f>IF(DL160&lt;0,0,DL130-DL160)</f>
        <v/>
      </c>
      <c r="DM162" s="685">
        <f>IF(DM160&lt;0,0,DM130-DM160)</f>
        <v/>
      </c>
      <c r="DN162" s="685">
        <f>IF(DN160&lt;0,0,DN130-DN160)</f>
        <v/>
      </c>
      <c r="DO162" s="685">
        <f>IF(DO160&lt;0,0,DO130-DO160)</f>
        <v/>
      </c>
      <c r="DP162" s="685">
        <f>IF(DP160&lt;0,0,DP130-DP160)</f>
        <v/>
      </c>
      <c r="DQ162" s="685">
        <f>IF(DQ160&lt;0,0,DQ130-DQ160)</f>
        <v/>
      </c>
      <c r="DR162" s="685">
        <f>IF(DR160&lt;0,0,DR130-DR160)</f>
        <v/>
      </c>
      <c r="DS162" s="685">
        <f>IF(DS160&lt;0,0,DS130-DS160)</f>
        <v/>
      </c>
      <c r="DT162" s="685">
        <f>IF(DT160&lt;0,0,DT130-DT160)</f>
        <v/>
      </c>
      <c r="DU162" s="685">
        <f>IF(DU160&lt;0,0,DU130-DU160)</f>
        <v/>
      </c>
      <c r="DV162" s="685">
        <f>IF(DV160&lt;0,0,DV130-DV160)</f>
        <v/>
      </c>
      <c r="DW162" s="322" t="inlineStr">
        <is>
          <t>x</t>
        </is>
      </c>
    </row>
    <row r="163" hidden="1" outlineLevel="1" ht="17.25" customHeight="1" thickTop="1">
      <c r="C163" s="360" t="n"/>
      <c r="D163" s="360" t="n"/>
      <c r="E163" s="360" t="n"/>
      <c r="F163" s="360" t="n"/>
      <c r="G163" s="360" t="n"/>
      <c r="H163" s="360" t="n"/>
      <c r="I163" s="360" t="n"/>
      <c r="J163" s="360" t="n"/>
      <c r="K163" s="360" t="n"/>
      <c r="L163" s="360" t="n"/>
      <c r="M163" s="360" t="n"/>
      <c r="N163" s="360" t="n"/>
      <c r="O163" s="360" t="n"/>
      <c r="P163" s="360" t="n"/>
      <c r="Q163" s="360" t="n"/>
      <c r="R163" s="360" t="n"/>
      <c r="S163" s="360" t="n"/>
      <c r="T163" s="360" t="n"/>
      <c r="U163" s="360" t="n"/>
      <c r="V163" s="360" t="n"/>
      <c r="W163" s="360" t="n"/>
      <c r="X163" s="360" t="n"/>
      <c r="Y163" s="360" t="n"/>
      <c r="Z163" s="360" t="n"/>
      <c r="AA163" s="360" t="n"/>
      <c r="AB163" s="360" t="n"/>
      <c r="AC163" s="360" t="n"/>
      <c r="AD163" s="360" t="n"/>
      <c r="AE163" s="360" t="n"/>
      <c r="AF163" s="360" t="n"/>
      <c r="AG163" s="360" t="n"/>
      <c r="AH163" s="360" t="n"/>
      <c r="AI163" s="360" t="n"/>
      <c r="AJ163" s="360" t="n"/>
      <c r="AK163" s="360" t="n"/>
      <c r="AL163" s="360" t="n"/>
      <c r="AM163" s="360" t="n"/>
      <c r="AN163" s="360" t="n"/>
      <c r="AO163" s="360" t="n"/>
      <c r="AP163" s="360" t="n"/>
      <c r="AQ163" s="360" t="n"/>
      <c r="AR163" s="360" t="n"/>
      <c r="AS163" s="360" t="n"/>
      <c r="AT163" s="360" t="n"/>
      <c r="AU163" s="360" t="n"/>
      <c r="AV163" s="360" t="n"/>
      <c r="AW163" s="360" t="n"/>
      <c r="AX163" s="360" t="n"/>
      <c r="AY163" s="360" t="n"/>
      <c r="AZ163" s="360" t="n"/>
      <c r="BA163" s="360" t="n"/>
      <c r="BB163" s="360" t="n"/>
      <c r="BC163" s="360" t="n"/>
      <c r="BD163" s="360" t="n"/>
      <c r="BE163" s="360" t="n"/>
      <c r="BF163" s="360" t="n"/>
      <c r="BG163" s="360" t="n"/>
      <c r="BH163" s="360" t="n"/>
      <c r="BI163" s="360" t="n"/>
      <c r="BJ163" s="360" t="n"/>
      <c r="BK163" s="360" t="n"/>
      <c r="BL163" s="360" t="n"/>
      <c r="BM163" s="360" t="n"/>
      <c r="BN163" s="360" t="n"/>
      <c r="BO163" s="360" t="n"/>
      <c r="BP163" s="360" t="n"/>
      <c r="BQ163" s="360" t="n"/>
      <c r="BR163" s="360" t="n"/>
      <c r="BS163" s="360" t="n"/>
      <c r="BT163" s="360" t="n"/>
      <c r="BU163" s="360" t="n"/>
      <c r="BV163" s="360" t="n"/>
      <c r="BW163" s="360" t="n"/>
      <c r="BX163" s="360" t="n"/>
      <c r="BY163" s="360" t="n"/>
      <c r="BZ163" s="360" t="n"/>
      <c r="CA163" s="360" t="n"/>
      <c r="CB163" s="360" t="n"/>
      <c r="CC163" s="360" t="n"/>
      <c r="CD163" s="360" t="n"/>
      <c r="CE163" s="360" t="n"/>
      <c r="CF163" s="360" t="n"/>
      <c r="CG163" s="360" t="n"/>
      <c r="CH163" s="360" t="n"/>
      <c r="CI163" s="360" t="n"/>
      <c r="CJ163" s="360" t="n"/>
      <c r="CK163" s="360" t="n"/>
      <c r="CL163" s="360" t="n"/>
      <c r="CM163" s="360" t="n"/>
      <c r="CN163" s="360" t="n"/>
      <c r="CO163" s="360" t="n"/>
      <c r="CP163" s="360" t="n"/>
      <c r="CQ163" s="360" t="n"/>
      <c r="CR163" s="360" t="n"/>
      <c r="CS163" s="360" t="n"/>
      <c r="CT163" s="360" t="n"/>
      <c r="CU163" s="360" t="n"/>
      <c r="CV163" s="360" t="n"/>
      <c r="CW163" s="360" t="n"/>
      <c r="CX163" s="360" t="n"/>
      <c r="CY163" s="360" t="n"/>
      <c r="CZ163" s="360" t="n"/>
      <c r="DA163" s="360" t="n"/>
      <c r="DB163" s="360" t="n"/>
      <c r="DC163" s="360" t="n"/>
      <c r="DD163" s="360" t="n"/>
      <c r="DE163" s="360" t="n"/>
      <c r="DF163" s="360" t="n"/>
      <c r="DG163" s="360" t="n"/>
      <c r="DH163" s="360" t="n"/>
      <c r="DI163" s="360" t="n"/>
      <c r="DJ163" s="360" t="n"/>
      <c r="DK163" s="360" t="n"/>
      <c r="DL163" s="360" t="n"/>
      <c r="DM163" s="360" t="n"/>
      <c r="DN163" s="360" t="n"/>
      <c r="DO163" s="360" t="n"/>
      <c r="DP163" s="360" t="n"/>
      <c r="DQ163" s="360" t="n"/>
      <c r="DR163" s="360" t="n"/>
      <c r="DS163" s="360" t="n"/>
      <c r="DT163" s="360" t="n"/>
      <c r="DU163" s="360" t="n"/>
      <c r="DV163" s="360" t="n"/>
      <c r="DW163" s="322" t="inlineStr">
        <is>
          <t>x</t>
        </is>
      </c>
    </row>
    <row r="164" hidden="1" outlineLevel="1">
      <c r="C164" s="382" t="inlineStr">
        <is>
          <t>Tier III</t>
        </is>
      </c>
      <c r="D164" s="382" t="n"/>
      <c r="E164" s="395" t="n"/>
      <c r="F164" s="458" t="n"/>
      <c r="G164" s="458" t="n"/>
      <c r="H164" s="458" t="n"/>
      <c r="I164" s="458" t="n"/>
      <c r="J164" s="458" t="n"/>
      <c r="K164" s="458" t="n"/>
      <c r="L164" s="458" t="n"/>
      <c r="M164" s="458" t="n"/>
      <c r="N164" s="458" t="n"/>
      <c r="O164" s="458" t="n"/>
      <c r="P164" s="458" t="n"/>
      <c r="Q164" s="458" t="n"/>
      <c r="R164" s="458" t="n"/>
      <c r="S164" s="458" t="n"/>
      <c r="T164" s="458" t="n"/>
      <c r="U164" s="458" t="n"/>
      <c r="V164" s="458" t="n"/>
      <c r="W164" s="458" t="n"/>
      <c r="X164" s="458" t="n"/>
      <c r="Y164" s="458" t="n"/>
      <c r="Z164" s="458" t="n"/>
      <c r="AA164" s="458" t="n"/>
      <c r="AB164" s="458" t="n"/>
      <c r="AC164" s="458" t="n"/>
      <c r="AD164" s="458" t="n"/>
      <c r="AE164" s="458" t="n"/>
      <c r="AF164" s="458" t="n"/>
      <c r="AG164" s="458" t="n"/>
      <c r="AH164" s="458" t="n"/>
      <c r="AI164" s="458" t="n"/>
      <c r="AJ164" s="458" t="n"/>
      <c r="AK164" s="458" t="n"/>
      <c r="AL164" s="458" t="n"/>
      <c r="AM164" s="458" t="n"/>
      <c r="AN164" s="458" t="n"/>
      <c r="AO164" s="458" t="n"/>
      <c r="AP164" s="458" t="n"/>
      <c r="AQ164" s="458" t="n"/>
      <c r="AR164" s="458" t="n"/>
      <c r="AS164" s="458" t="n"/>
      <c r="AT164" s="458" t="n"/>
      <c r="AU164" s="458" t="n"/>
      <c r="AV164" s="458" t="n"/>
      <c r="AW164" s="458" t="n"/>
      <c r="AX164" s="458" t="n"/>
      <c r="AY164" s="458" t="n"/>
      <c r="AZ164" s="458" t="n"/>
      <c r="BA164" s="458" t="n"/>
      <c r="BB164" s="458" t="n"/>
      <c r="BC164" s="458" t="n"/>
      <c r="BD164" s="458" t="n"/>
      <c r="BE164" s="458" t="n"/>
      <c r="BF164" s="458" t="n"/>
      <c r="BG164" s="458" t="n"/>
      <c r="BH164" s="458" t="n"/>
      <c r="BI164" s="458" t="n"/>
      <c r="BJ164" s="458" t="n"/>
      <c r="BK164" s="458" t="n"/>
      <c r="BL164" s="458" t="n"/>
      <c r="BM164" s="458" t="n"/>
      <c r="BN164" s="458" t="n"/>
      <c r="BO164" s="458" t="n"/>
      <c r="BP164" s="458" t="n"/>
      <c r="BQ164" s="458" t="n"/>
      <c r="BR164" s="458" t="n"/>
      <c r="BS164" s="458" t="n"/>
      <c r="BT164" s="458" t="n"/>
      <c r="BU164" s="458" t="n"/>
      <c r="BV164" s="458" t="n"/>
      <c r="BW164" s="458" t="n"/>
      <c r="BX164" s="458" t="n"/>
      <c r="BY164" s="458" t="n"/>
      <c r="BZ164" s="458" t="n"/>
      <c r="CA164" s="458" t="n"/>
      <c r="CB164" s="458" t="n"/>
      <c r="CC164" s="458" t="n"/>
      <c r="CD164" s="458" t="n"/>
      <c r="CE164" s="458" t="n"/>
      <c r="CF164" s="458" t="n"/>
      <c r="CG164" s="458" t="n"/>
      <c r="CH164" s="458" t="n"/>
      <c r="CI164" s="458" t="n"/>
      <c r="CJ164" s="458" t="n"/>
      <c r="CK164" s="458" t="n"/>
      <c r="CL164" s="458" t="n"/>
      <c r="CM164" s="458" t="n"/>
      <c r="CN164" s="458" t="n"/>
      <c r="CO164" s="458" t="n"/>
      <c r="CP164" s="458" t="n"/>
      <c r="CQ164" s="458" t="n"/>
      <c r="CR164" s="458" t="n"/>
      <c r="CS164" s="458" t="n"/>
      <c r="CT164" s="458" t="n"/>
      <c r="CU164" s="458" t="n"/>
      <c r="CV164" s="458" t="n"/>
      <c r="CW164" s="458" t="n"/>
      <c r="CX164" s="458" t="n"/>
      <c r="CY164" s="458" t="n"/>
      <c r="CZ164" s="458" t="n"/>
      <c r="DA164" s="458" t="n"/>
      <c r="DB164" s="458" t="n"/>
      <c r="DC164" s="458" t="n"/>
      <c r="DD164" s="458" t="n"/>
      <c r="DE164" s="458" t="n"/>
      <c r="DF164" s="458" t="n"/>
      <c r="DG164" s="458" t="n"/>
      <c r="DH164" s="458" t="n"/>
      <c r="DI164" s="458" t="n"/>
      <c r="DJ164" s="458" t="n"/>
      <c r="DK164" s="458" t="n"/>
      <c r="DL164" s="458" t="n"/>
      <c r="DM164" s="458" t="n"/>
      <c r="DN164" s="458" t="n"/>
      <c r="DO164" s="458" t="n"/>
      <c r="DP164" s="458" t="n"/>
      <c r="DQ164" s="458" t="n"/>
      <c r="DR164" s="458" t="n"/>
      <c r="DS164" s="458" t="n"/>
      <c r="DT164" s="458" t="n"/>
      <c r="DU164" s="458" t="n"/>
      <c r="DV164" s="458" t="n"/>
      <c r="DW164" s="322" t="inlineStr">
        <is>
          <t>x</t>
        </is>
      </c>
    </row>
    <row r="165" hidden="1" outlineLevel="1">
      <c r="C165" s="365" t="n"/>
      <c r="D165" s="365" t="n"/>
      <c r="E165" s="374" t="n"/>
      <c r="F165" s="360" t="n"/>
      <c r="G165" s="360" t="n"/>
      <c r="H165" s="360" t="n"/>
      <c r="I165" s="360" t="n"/>
      <c r="J165" s="360" t="n"/>
      <c r="K165" s="360" t="n"/>
      <c r="L165" s="360" t="n"/>
      <c r="M165" s="360" t="n"/>
      <c r="N165" s="360" t="n"/>
      <c r="O165" s="360" t="n"/>
      <c r="P165" s="360" t="n"/>
      <c r="Q165" s="360" t="n"/>
      <c r="R165" s="360" t="n"/>
      <c r="S165" s="360" t="n"/>
      <c r="T165" s="360" t="n"/>
      <c r="U165" s="360" t="n"/>
      <c r="V165" s="360" t="n"/>
      <c r="W165" s="360" t="n"/>
      <c r="X165" s="360" t="n"/>
      <c r="Y165" s="360" t="n"/>
      <c r="Z165" s="360" t="n"/>
      <c r="AA165" s="360" t="n"/>
      <c r="AB165" s="360" t="n"/>
      <c r="AC165" s="360" t="n"/>
      <c r="AD165" s="360" t="n"/>
      <c r="AE165" s="360" t="n"/>
      <c r="AF165" s="360" t="n"/>
      <c r="AG165" s="360" t="n"/>
      <c r="AH165" s="360" t="n"/>
      <c r="AI165" s="360" t="n"/>
      <c r="AJ165" s="360" t="n"/>
      <c r="AK165" s="360" t="n"/>
      <c r="AL165" s="360" t="n"/>
      <c r="AM165" s="360" t="n"/>
      <c r="AN165" s="360" t="n"/>
      <c r="AO165" s="360" t="n"/>
      <c r="AP165" s="360" t="n"/>
      <c r="AQ165" s="360" t="n"/>
      <c r="AR165" s="360" t="n"/>
      <c r="AS165" s="360" t="n"/>
      <c r="AT165" s="360" t="n"/>
      <c r="AU165" s="360" t="n"/>
      <c r="AV165" s="360" t="n"/>
      <c r="AW165" s="360" t="n"/>
      <c r="AX165" s="360" t="n"/>
      <c r="AY165" s="360" t="n"/>
      <c r="AZ165" s="360" t="n"/>
      <c r="BA165" s="360" t="n"/>
      <c r="BB165" s="360" t="n"/>
      <c r="BC165" s="360" t="n"/>
      <c r="BD165" s="360" t="n"/>
      <c r="BE165" s="360" t="n"/>
      <c r="BF165" s="360" t="n"/>
      <c r="BG165" s="360" t="n"/>
      <c r="BH165" s="360" t="n"/>
      <c r="BI165" s="360" t="n"/>
      <c r="BJ165" s="360" t="n"/>
      <c r="BK165" s="360" t="n"/>
      <c r="BL165" s="360" t="n"/>
      <c r="BM165" s="360" t="n"/>
      <c r="BN165" s="360" t="n"/>
      <c r="BO165" s="360" t="n"/>
      <c r="BP165" s="360" t="n"/>
      <c r="BQ165" s="360" t="n"/>
      <c r="BR165" s="360" t="n"/>
      <c r="BS165" s="360" t="n"/>
      <c r="BT165" s="360" t="n"/>
      <c r="BU165" s="360" t="n"/>
      <c r="BV165" s="360" t="n"/>
      <c r="BW165" s="360" t="n"/>
      <c r="BX165" s="360" t="n"/>
      <c r="BY165" s="360" t="n"/>
      <c r="BZ165" s="360" t="n"/>
      <c r="CA165" s="360" t="n"/>
      <c r="CB165" s="360" t="n"/>
      <c r="CC165" s="360" t="n"/>
      <c r="CD165" s="360" t="n"/>
      <c r="CE165" s="360" t="n"/>
      <c r="CF165" s="360" t="n"/>
      <c r="CG165" s="360" t="n"/>
      <c r="CH165" s="360" t="n"/>
      <c r="CI165" s="360" t="n"/>
      <c r="CJ165" s="360" t="n"/>
      <c r="CK165" s="360" t="n"/>
      <c r="CL165" s="360" t="n"/>
      <c r="CM165" s="360" t="n"/>
      <c r="CN165" s="360" t="n"/>
      <c r="CO165" s="360" t="n"/>
      <c r="CP165" s="360" t="n"/>
      <c r="CQ165" s="360" t="n"/>
      <c r="CR165" s="360" t="n"/>
      <c r="CS165" s="360" t="n"/>
      <c r="CT165" s="360" t="n"/>
      <c r="CU165" s="360" t="n"/>
      <c r="CV165" s="360" t="n"/>
      <c r="CW165" s="360" t="n"/>
      <c r="CX165" s="360" t="n"/>
      <c r="CY165" s="360" t="n"/>
      <c r="CZ165" s="360" t="n"/>
      <c r="DA165" s="360" t="n"/>
      <c r="DB165" s="360" t="n"/>
      <c r="DC165" s="360" t="n"/>
      <c r="DD165" s="360" t="n"/>
      <c r="DE165" s="360" t="n"/>
      <c r="DF165" s="360" t="n"/>
      <c r="DG165" s="360" t="n"/>
      <c r="DH165" s="360" t="n"/>
      <c r="DI165" s="360" t="n"/>
      <c r="DJ165" s="360" t="n"/>
      <c r="DK165" s="360" t="n"/>
      <c r="DL165" s="360" t="n"/>
      <c r="DM165" s="360" t="n"/>
      <c r="DN165" s="360" t="n"/>
      <c r="DO165" s="360" t="n"/>
      <c r="DP165" s="360" t="n"/>
      <c r="DQ165" s="360" t="n"/>
      <c r="DR165" s="360" t="n"/>
      <c r="DS165" s="360" t="n"/>
      <c r="DT165" s="360" t="n"/>
      <c r="DU165" s="360" t="n"/>
      <c r="DV165" s="360" t="n"/>
      <c r="DW165" s="322" t="inlineStr">
        <is>
          <t>x</t>
        </is>
      </c>
    </row>
    <row r="166" hidden="1" outlineLevel="1">
      <c r="C166" s="382" t="inlineStr">
        <is>
          <t>Tier III - IRR Hurdle</t>
        </is>
      </c>
      <c r="D166" s="365" t="n"/>
      <c r="E166" s="374" t="n"/>
      <c r="F166" s="360" t="n"/>
      <c r="G166" s="360" t="n"/>
      <c r="H166" s="360" t="n"/>
      <c r="I166" s="360" t="n"/>
      <c r="J166" s="360" t="n"/>
      <c r="K166" s="360" t="n"/>
      <c r="L166" s="360" t="n"/>
      <c r="M166" s="360" t="n"/>
      <c r="N166" s="360" t="n"/>
      <c r="O166" s="360" t="n"/>
      <c r="P166" s="360" t="n"/>
      <c r="Q166" s="360" t="n"/>
      <c r="R166" s="360" t="n"/>
      <c r="S166" s="360" t="n"/>
      <c r="T166" s="360" t="n"/>
      <c r="U166" s="360" t="n"/>
      <c r="V166" s="360" t="n"/>
      <c r="W166" s="360" t="n"/>
      <c r="X166" s="360" t="n"/>
      <c r="Y166" s="360" t="n"/>
      <c r="Z166" s="360" t="n"/>
      <c r="AA166" s="360" t="n"/>
      <c r="AB166" s="360" t="n"/>
      <c r="AC166" s="360" t="n"/>
      <c r="AD166" s="360" t="n"/>
      <c r="AE166" s="360" t="n"/>
      <c r="AF166" s="360" t="n"/>
      <c r="AG166" s="360" t="n"/>
      <c r="AH166" s="360" t="n"/>
      <c r="AI166" s="360" t="n"/>
      <c r="AJ166" s="360" t="n"/>
      <c r="AK166" s="360" t="n"/>
      <c r="AL166" s="360" t="n"/>
      <c r="AM166" s="360" t="n"/>
      <c r="AN166" s="360" t="n"/>
      <c r="AO166" s="360" t="n"/>
      <c r="AP166" s="360" t="n"/>
      <c r="AQ166" s="360" t="n"/>
      <c r="AR166" s="360" t="n"/>
      <c r="AS166" s="360" t="n"/>
      <c r="AT166" s="360" t="n"/>
      <c r="AU166" s="360" t="n"/>
      <c r="AV166" s="360" t="n"/>
      <c r="AW166" s="360" t="n"/>
      <c r="AX166" s="360" t="n"/>
      <c r="AY166" s="360" t="n"/>
      <c r="AZ166" s="360" t="n"/>
      <c r="BA166" s="360" t="n"/>
      <c r="BB166" s="360" t="n"/>
      <c r="BC166" s="360" t="n"/>
      <c r="BD166" s="360" t="n"/>
      <c r="BE166" s="360" t="n"/>
      <c r="BF166" s="360" t="n"/>
      <c r="BG166" s="360" t="n"/>
      <c r="BH166" s="360" t="n"/>
      <c r="BI166" s="360" t="n"/>
      <c r="BJ166" s="360" t="n"/>
      <c r="BK166" s="360" t="n"/>
      <c r="BL166" s="360" t="n"/>
      <c r="BM166" s="360" t="n"/>
      <c r="BN166" s="360" t="n"/>
      <c r="BO166" s="360" t="n"/>
      <c r="BP166" s="360" t="n"/>
      <c r="BQ166" s="360" t="n"/>
      <c r="BR166" s="360" t="n"/>
      <c r="BS166" s="360" t="n"/>
      <c r="BT166" s="360" t="n"/>
      <c r="BU166" s="360" t="n"/>
      <c r="BV166" s="360" t="n"/>
      <c r="BW166" s="360" t="n"/>
      <c r="BX166" s="360" t="n"/>
      <c r="BY166" s="360" t="n"/>
      <c r="BZ166" s="360" t="n"/>
      <c r="CA166" s="360" t="n"/>
      <c r="CB166" s="360" t="n"/>
      <c r="CC166" s="360" t="n"/>
      <c r="CD166" s="360" t="n"/>
      <c r="CE166" s="360" t="n"/>
      <c r="CF166" s="360" t="n"/>
      <c r="CG166" s="360" t="n"/>
      <c r="CH166" s="360" t="n"/>
      <c r="CI166" s="360" t="n"/>
      <c r="CJ166" s="360" t="n"/>
      <c r="CK166" s="360" t="n"/>
      <c r="CL166" s="360" t="n"/>
      <c r="CM166" s="360" t="n"/>
      <c r="CN166" s="360" t="n"/>
      <c r="CO166" s="360" t="n"/>
      <c r="CP166" s="360" t="n"/>
      <c r="CQ166" s="360" t="n"/>
      <c r="CR166" s="360" t="n"/>
      <c r="CS166" s="360" t="n"/>
      <c r="CT166" s="360" t="n"/>
      <c r="CU166" s="360" t="n"/>
      <c r="CV166" s="360" t="n"/>
      <c r="CW166" s="360" t="n"/>
      <c r="CX166" s="360" t="n"/>
      <c r="CY166" s="360" t="n"/>
      <c r="CZ166" s="360" t="n"/>
      <c r="DA166" s="360" t="n"/>
      <c r="DB166" s="360" t="n"/>
      <c r="DC166" s="360" t="n"/>
      <c r="DD166" s="360" t="n"/>
      <c r="DE166" s="360" t="n"/>
      <c r="DF166" s="360" t="n"/>
      <c r="DG166" s="360" t="n"/>
      <c r="DH166" s="360" t="n"/>
      <c r="DI166" s="360" t="n"/>
      <c r="DJ166" s="360" t="n"/>
      <c r="DK166" s="360" t="n"/>
      <c r="DL166" s="360" t="n"/>
      <c r="DM166" s="360" t="n"/>
      <c r="DN166" s="360" t="n"/>
      <c r="DO166" s="360" t="n"/>
      <c r="DP166" s="360" t="n"/>
      <c r="DQ166" s="360" t="n"/>
      <c r="DR166" s="360" t="n"/>
      <c r="DS166" s="360" t="n"/>
      <c r="DT166" s="360" t="n"/>
      <c r="DU166" s="360" t="n"/>
      <c r="DV166" s="360" t="n"/>
      <c r="DW166" s="322" t="inlineStr">
        <is>
          <t>x</t>
        </is>
      </c>
    </row>
    <row r="167" hidden="1" outlineLevel="1">
      <c r="C167" s="374" t="inlineStr">
        <is>
          <t>Beginning Balance</t>
        </is>
      </c>
      <c r="D167" s="360" t="n"/>
      <c r="E167" s="463" t="n"/>
      <c r="F167" s="679" t="n">
        <v>0</v>
      </c>
      <c r="G167" s="655">
        <f>F173</f>
        <v/>
      </c>
      <c r="H167" s="655">
        <f>G173</f>
        <v/>
      </c>
      <c r="I167" s="655">
        <f>H173</f>
        <v/>
      </c>
      <c r="J167" s="655">
        <f>I173</f>
        <v/>
      </c>
      <c r="K167" s="655">
        <f>J173</f>
        <v/>
      </c>
      <c r="L167" s="655">
        <f>K173</f>
        <v/>
      </c>
      <c r="M167" s="655">
        <f>L173</f>
        <v/>
      </c>
      <c r="N167" s="655">
        <f>M173</f>
        <v/>
      </c>
      <c r="O167" s="655">
        <f>N173</f>
        <v/>
      </c>
      <c r="P167" s="655">
        <f>O173</f>
        <v/>
      </c>
      <c r="Q167" s="655">
        <f>P173</f>
        <v/>
      </c>
      <c r="R167" s="655">
        <f>Q173</f>
        <v/>
      </c>
      <c r="S167" s="655">
        <f>R173</f>
        <v/>
      </c>
      <c r="T167" s="655">
        <f>S173</f>
        <v/>
      </c>
      <c r="U167" s="655">
        <f>T173</f>
        <v/>
      </c>
      <c r="V167" s="655">
        <f>U173</f>
        <v/>
      </c>
      <c r="W167" s="655">
        <f>V173</f>
        <v/>
      </c>
      <c r="X167" s="655">
        <f>W173</f>
        <v/>
      </c>
      <c r="Y167" s="655">
        <f>X173</f>
        <v/>
      </c>
      <c r="Z167" s="655">
        <f>Y173</f>
        <v/>
      </c>
      <c r="AA167" s="655">
        <f>Z173</f>
        <v/>
      </c>
      <c r="AB167" s="655">
        <f>AA173</f>
        <v/>
      </c>
      <c r="AC167" s="655">
        <f>AB173</f>
        <v/>
      </c>
      <c r="AD167" s="655">
        <f>AC173</f>
        <v/>
      </c>
      <c r="AE167" s="655">
        <f>AD173</f>
        <v/>
      </c>
      <c r="AF167" s="655">
        <f>AE173</f>
        <v/>
      </c>
      <c r="AG167" s="655">
        <f>AF173</f>
        <v/>
      </c>
      <c r="AH167" s="655">
        <f>AG173</f>
        <v/>
      </c>
      <c r="AI167" s="655">
        <f>AH173</f>
        <v/>
      </c>
      <c r="AJ167" s="655">
        <f>AI173</f>
        <v/>
      </c>
      <c r="AK167" s="655">
        <f>AJ173</f>
        <v/>
      </c>
      <c r="AL167" s="655">
        <f>AK173</f>
        <v/>
      </c>
      <c r="AM167" s="655">
        <f>AL173</f>
        <v/>
      </c>
      <c r="AN167" s="655">
        <f>AM173</f>
        <v/>
      </c>
      <c r="AO167" s="655">
        <f>AN173</f>
        <v/>
      </c>
      <c r="AP167" s="655">
        <f>AO173</f>
        <v/>
      </c>
      <c r="AQ167" s="655">
        <f>AP173</f>
        <v/>
      </c>
      <c r="AR167" s="655">
        <f>AQ173</f>
        <v/>
      </c>
      <c r="AS167" s="655">
        <f>AR173</f>
        <v/>
      </c>
      <c r="AT167" s="655">
        <f>AS173</f>
        <v/>
      </c>
      <c r="AU167" s="655">
        <f>AT173</f>
        <v/>
      </c>
      <c r="AV167" s="655">
        <f>AU173</f>
        <v/>
      </c>
      <c r="AW167" s="655">
        <f>AV173</f>
        <v/>
      </c>
      <c r="AX167" s="655">
        <f>AW173</f>
        <v/>
      </c>
      <c r="AY167" s="655">
        <f>AX173</f>
        <v/>
      </c>
      <c r="AZ167" s="655">
        <f>AY173</f>
        <v/>
      </c>
      <c r="BA167" s="655">
        <f>AZ173</f>
        <v/>
      </c>
      <c r="BB167" s="655">
        <f>BA173</f>
        <v/>
      </c>
      <c r="BC167" s="655">
        <f>BB173</f>
        <v/>
      </c>
      <c r="BD167" s="655">
        <f>BC173</f>
        <v/>
      </c>
      <c r="BE167" s="655">
        <f>BD173</f>
        <v/>
      </c>
      <c r="BF167" s="655">
        <f>BE173</f>
        <v/>
      </c>
      <c r="BG167" s="655">
        <f>BF173</f>
        <v/>
      </c>
      <c r="BH167" s="655">
        <f>BG173</f>
        <v/>
      </c>
      <c r="BI167" s="655">
        <f>BH173</f>
        <v/>
      </c>
      <c r="BJ167" s="655">
        <f>BI173</f>
        <v/>
      </c>
      <c r="BK167" s="655">
        <f>BJ173</f>
        <v/>
      </c>
      <c r="BL167" s="655">
        <f>BK173</f>
        <v/>
      </c>
      <c r="BM167" s="655">
        <f>BL173</f>
        <v/>
      </c>
      <c r="BN167" s="655">
        <f>BM173</f>
        <v/>
      </c>
      <c r="BO167" s="655">
        <f>BN173</f>
        <v/>
      </c>
      <c r="BP167" s="655">
        <f>BO173</f>
        <v/>
      </c>
      <c r="BQ167" s="655">
        <f>BP173</f>
        <v/>
      </c>
      <c r="BR167" s="655">
        <f>BQ173</f>
        <v/>
      </c>
      <c r="BS167" s="655">
        <f>BR173</f>
        <v/>
      </c>
      <c r="BT167" s="655">
        <f>BS173</f>
        <v/>
      </c>
      <c r="BU167" s="655">
        <f>BT173</f>
        <v/>
      </c>
      <c r="BV167" s="655">
        <f>BU173</f>
        <v/>
      </c>
      <c r="BW167" s="655">
        <f>BV173</f>
        <v/>
      </c>
      <c r="BX167" s="655">
        <f>BW173</f>
        <v/>
      </c>
      <c r="BY167" s="655">
        <f>BX173</f>
        <v/>
      </c>
      <c r="BZ167" s="655">
        <f>BY173</f>
        <v/>
      </c>
      <c r="CA167" s="655">
        <f>BZ173</f>
        <v/>
      </c>
      <c r="CB167" s="655">
        <f>CA173</f>
        <v/>
      </c>
      <c r="CC167" s="655">
        <f>CB173</f>
        <v/>
      </c>
      <c r="CD167" s="655">
        <f>CC173</f>
        <v/>
      </c>
      <c r="CE167" s="655">
        <f>CD173</f>
        <v/>
      </c>
      <c r="CF167" s="655">
        <f>CE173</f>
        <v/>
      </c>
      <c r="CG167" s="655">
        <f>CF173</f>
        <v/>
      </c>
      <c r="CH167" s="655">
        <f>CG173</f>
        <v/>
      </c>
      <c r="CI167" s="655">
        <f>CH173</f>
        <v/>
      </c>
      <c r="CJ167" s="655">
        <f>CI173</f>
        <v/>
      </c>
      <c r="CK167" s="655">
        <f>CJ173</f>
        <v/>
      </c>
      <c r="CL167" s="655">
        <f>CK173</f>
        <v/>
      </c>
      <c r="CM167" s="655">
        <f>CL173</f>
        <v/>
      </c>
      <c r="CN167" s="655">
        <f>CM173</f>
        <v/>
      </c>
      <c r="CO167" s="655">
        <f>CN173</f>
        <v/>
      </c>
      <c r="CP167" s="655">
        <f>CO173</f>
        <v/>
      </c>
      <c r="CQ167" s="655">
        <f>CP173</f>
        <v/>
      </c>
      <c r="CR167" s="655">
        <f>CQ173</f>
        <v/>
      </c>
      <c r="CS167" s="655">
        <f>CR173</f>
        <v/>
      </c>
      <c r="CT167" s="655">
        <f>CS173</f>
        <v/>
      </c>
      <c r="CU167" s="655">
        <f>CT173</f>
        <v/>
      </c>
      <c r="CV167" s="655">
        <f>CU173</f>
        <v/>
      </c>
      <c r="CW167" s="655">
        <f>CV173</f>
        <v/>
      </c>
      <c r="CX167" s="655">
        <f>CW173</f>
        <v/>
      </c>
      <c r="CY167" s="655">
        <f>CX173</f>
        <v/>
      </c>
      <c r="CZ167" s="655">
        <f>CY173</f>
        <v/>
      </c>
      <c r="DA167" s="655">
        <f>CZ173</f>
        <v/>
      </c>
      <c r="DB167" s="655">
        <f>DA173</f>
        <v/>
      </c>
      <c r="DC167" s="655">
        <f>DB173</f>
        <v/>
      </c>
      <c r="DD167" s="655">
        <f>DC173</f>
        <v/>
      </c>
      <c r="DE167" s="655">
        <f>DD173</f>
        <v/>
      </c>
      <c r="DF167" s="655">
        <f>DE173</f>
        <v/>
      </c>
      <c r="DG167" s="655">
        <f>DF173</f>
        <v/>
      </c>
      <c r="DH167" s="655">
        <f>DG173</f>
        <v/>
      </c>
      <c r="DI167" s="655">
        <f>DH173</f>
        <v/>
      </c>
      <c r="DJ167" s="655">
        <f>DI173</f>
        <v/>
      </c>
      <c r="DK167" s="655">
        <f>DJ173</f>
        <v/>
      </c>
      <c r="DL167" s="655">
        <f>DK173</f>
        <v/>
      </c>
      <c r="DM167" s="655">
        <f>DL173</f>
        <v/>
      </c>
      <c r="DN167" s="655">
        <f>DM173</f>
        <v/>
      </c>
      <c r="DO167" s="655">
        <f>DN173</f>
        <v/>
      </c>
      <c r="DP167" s="655">
        <f>DO173</f>
        <v/>
      </c>
      <c r="DQ167" s="655">
        <f>DP173</f>
        <v/>
      </c>
      <c r="DR167" s="655">
        <f>DQ173</f>
        <v/>
      </c>
      <c r="DS167" s="655">
        <f>DR173</f>
        <v/>
      </c>
      <c r="DT167" s="655">
        <f>DS173</f>
        <v/>
      </c>
      <c r="DU167" s="655">
        <f>DT173</f>
        <v/>
      </c>
      <c r="DV167" s="655">
        <f>DU173</f>
        <v/>
      </c>
      <c r="DW167" s="322" t="inlineStr">
        <is>
          <t>x</t>
        </is>
      </c>
    </row>
    <row r="168" hidden="1" outlineLevel="1">
      <c r="C168" s="374" t="inlineStr">
        <is>
          <t>Injections</t>
        </is>
      </c>
      <c r="D168" s="360" t="n"/>
      <c r="E168" s="463">
        <f>SUM(F168:BI168)</f>
        <v/>
      </c>
      <c r="F168" s="468">
        <f>-F78</f>
        <v/>
      </c>
      <c r="G168" s="468">
        <f>-G78</f>
        <v/>
      </c>
      <c r="H168" s="468">
        <f>-H78</f>
        <v/>
      </c>
      <c r="I168" s="468">
        <f>-I78</f>
        <v/>
      </c>
      <c r="J168" s="468">
        <f>-J78</f>
        <v/>
      </c>
      <c r="K168" s="468">
        <f>-K78</f>
        <v/>
      </c>
      <c r="L168" s="468">
        <f>-L78</f>
        <v/>
      </c>
      <c r="M168" s="468">
        <f>-M78</f>
        <v/>
      </c>
      <c r="N168" s="468">
        <f>-N78</f>
        <v/>
      </c>
      <c r="O168" s="468">
        <f>-O78</f>
        <v/>
      </c>
      <c r="P168" s="468">
        <f>-P78</f>
        <v/>
      </c>
      <c r="Q168" s="468">
        <f>-Q78</f>
        <v/>
      </c>
      <c r="R168" s="468">
        <f>-R78</f>
        <v/>
      </c>
      <c r="S168" s="468">
        <f>-S78</f>
        <v/>
      </c>
      <c r="T168" s="468">
        <f>-T78</f>
        <v/>
      </c>
      <c r="U168" s="468">
        <f>-U78</f>
        <v/>
      </c>
      <c r="V168" s="468">
        <f>-V78</f>
        <v/>
      </c>
      <c r="W168" s="468">
        <f>-W78</f>
        <v/>
      </c>
      <c r="X168" s="468">
        <f>-X78</f>
        <v/>
      </c>
      <c r="Y168" s="468">
        <f>-Y78</f>
        <v/>
      </c>
      <c r="Z168" s="468">
        <f>-Z78</f>
        <v/>
      </c>
      <c r="AA168" s="468">
        <f>-AA78</f>
        <v/>
      </c>
      <c r="AB168" s="468">
        <f>-AB78</f>
        <v/>
      </c>
      <c r="AC168" s="468">
        <f>-AC78</f>
        <v/>
      </c>
      <c r="AD168" s="468">
        <f>-AD78</f>
        <v/>
      </c>
      <c r="AE168" s="468">
        <f>-AE78</f>
        <v/>
      </c>
      <c r="AF168" s="468">
        <f>-AF78</f>
        <v/>
      </c>
      <c r="AG168" s="468">
        <f>-AG78</f>
        <v/>
      </c>
      <c r="AH168" s="468">
        <f>-AH78</f>
        <v/>
      </c>
      <c r="AI168" s="468">
        <f>-AI78</f>
        <v/>
      </c>
      <c r="AJ168" s="468">
        <f>-AJ78</f>
        <v/>
      </c>
      <c r="AK168" s="468">
        <f>-AK78</f>
        <v/>
      </c>
      <c r="AL168" s="468">
        <f>-AL78</f>
        <v/>
      </c>
      <c r="AM168" s="468">
        <f>-AM78</f>
        <v/>
      </c>
      <c r="AN168" s="468">
        <f>-AN78</f>
        <v/>
      </c>
      <c r="AO168" s="468">
        <f>-AO78</f>
        <v/>
      </c>
      <c r="AP168" s="468">
        <f>-AP78</f>
        <v/>
      </c>
      <c r="AQ168" s="468">
        <f>-AQ78</f>
        <v/>
      </c>
      <c r="AR168" s="468">
        <f>-AR78</f>
        <v/>
      </c>
      <c r="AS168" s="468">
        <f>-AS78</f>
        <v/>
      </c>
      <c r="AT168" s="468">
        <f>-AT78</f>
        <v/>
      </c>
      <c r="AU168" s="468">
        <f>-AU78</f>
        <v/>
      </c>
      <c r="AV168" s="468">
        <f>-AV78</f>
        <v/>
      </c>
      <c r="AW168" s="468">
        <f>-AW78</f>
        <v/>
      </c>
      <c r="AX168" s="468">
        <f>-AX78</f>
        <v/>
      </c>
      <c r="AY168" s="468">
        <f>-AY78</f>
        <v/>
      </c>
      <c r="AZ168" s="468">
        <f>-AZ78</f>
        <v/>
      </c>
      <c r="BA168" s="468">
        <f>-BA78</f>
        <v/>
      </c>
      <c r="BB168" s="468">
        <f>-BB78</f>
        <v/>
      </c>
      <c r="BC168" s="468">
        <f>-BC78</f>
        <v/>
      </c>
      <c r="BD168" s="468">
        <f>-BD78</f>
        <v/>
      </c>
      <c r="BE168" s="468">
        <f>-BE78</f>
        <v/>
      </c>
      <c r="BF168" s="468">
        <f>-BF78</f>
        <v/>
      </c>
      <c r="BG168" s="468">
        <f>-BG78</f>
        <v/>
      </c>
      <c r="BH168" s="468">
        <f>-BH78</f>
        <v/>
      </c>
      <c r="BI168" s="468">
        <f>-BI78</f>
        <v/>
      </c>
      <c r="BJ168" s="468">
        <f>-BJ78</f>
        <v/>
      </c>
      <c r="BK168" s="468">
        <f>-BK78</f>
        <v/>
      </c>
      <c r="BL168" s="468">
        <f>-BL78</f>
        <v/>
      </c>
      <c r="BM168" s="468">
        <f>-BM78</f>
        <v/>
      </c>
      <c r="BN168" s="468">
        <f>-BN78</f>
        <v/>
      </c>
      <c r="BO168" s="468">
        <f>-BO78</f>
        <v/>
      </c>
      <c r="BP168" s="468">
        <f>-BP78</f>
        <v/>
      </c>
      <c r="BQ168" s="468">
        <f>-BQ78</f>
        <v/>
      </c>
      <c r="BR168" s="468">
        <f>-BR78</f>
        <v/>
      </c>
      <c r="BS168" s="468">
        <f>-BS78</f>
        <v/>
      </c>
      <c r="BT168" s="468">
        <f>-BT78</f>
        <v/>
      </c>
      <c r="BU168" s="468">
        <f>-BU78</f>
        <v/>
      </c>
      <c r="BV168" s="468">
        <f>-BV78</f>
        <v/>
      </c>
      <c r="BW168" s="468">
        <f>-BW78</f>
        <v/>
      </c>
      <c r="BX168" s="468">
        <f>-BX78</f>
        <v/>
      </c>
      <c r="BY168" s="468">
        <f>-BY78</f>
        <v/>
      </c>
      <c r="BZ168" s="468">
        <f>-BZ78</f>
        <v/>
      </c>
      <c r="CA168" s="468">
        <f>-CA78</f>
        <v/>
      </c>
      <c r="CB168" s="468">
        <f>-CB78</f>
        <v/>
      </c>
      <c r="CC168" s="468">
        <f>-CC78</f>
        <v/>
      </c>
      <c r="CD168" s="468">
        <f>-CD78</f>
        <v/>
      </c>
      <c r="CE168" s="468">
        <f>-CE78</f>
        <v/>
      </c>
      <c r="CF168" s="468">
        <f>-CF78</f>
        <v/>
      </c>
      <c r="CG168" s="468">
        <f>-CG78</f>
        <v/>
      </c>
      <c r="CH168" s="468">
        <f>-CH78</f>
        <v/>
      </c>
      <c r="CI168" s="468">
        <f>-CI78</f>
        <v/>
      </c>
      <c r="CJ168" s="468">
        <f>-CJ78</f>
        <v/>
      </c>
      <c r="CK168" s="468">
        <f>-CK78</f>
        <v/>
      </c>
      <c r="CL168" s="468">
        <f>-CL78</f>
        <v/>
      </c>
      <c r="CM168" s="468">
        <f>-CM78</f>
        <v/>
      </c>
      <c r="CN168" s="468">
        <f>-CN78</f>
        <v/>
      </c>
      <c r="CO168" s="468">
        <f>-CO78</f>
        <v/>
      </c>
      <c r="CP168" s="468">
        <f>-CP78</f>
        <v/>
      </c>
      <c r="CQ168" s="468">
        <f>-CQ78</f>
        <v/>
      </c>
      <c r="CR168" s="468">
        <f>-CR78</f>
        <v/>
      </c>
      <c r="CS168" s="468">
        <f>-CS78</f>
        <v/>
      </c>
      <c r="CT168" s="468">
        <f>-CT78</f>
        <v/>
      </c>
      <c r="CU168" s="468">
        <f>-CU78</f>
        <v/>
      </c>
      <c r="CV168" s="468">
        <f>-CV78</f>
        <v/>
      </c>
      <c r="CW168" s="468">
        <f>-CW78</f>
        <v/>
      </c>
      <c r="CX168" s="468">
        <f>-CX78</f>
        <v/>
      </c>
      <c r="CY168" s="468">
        <f>-CY78</f>
        <v/>
      </c>
      <c r="CZ168" s="468">
        <f>-CZ78</f>
        <v/>
      </c>
      <c r="DA168" s="468">
        <f>-DA78</f>
        <v/>
      </c>
      <c r="DB168" s="468">
        <f>-DB78</f>
        <v/>
      </c>
      <c r="DC168" s="468">
        <f>-DC78</f>
        <v/>
      </c>
      <c r="DD168" s="468">
        <f>-DD78</f>
        <v/>
      </c>
      <c r="DE168" s="468">
        <f>-DE78</f>
        <v/>
      </c>
      <c r="DF168" s="468">
        <f>-DF78</f>
        <v/>
      </c>
      <c r="DG168" s="468">
        <f>-DG78</f>
        <v/>
      </c>
      <c r="DH168" s="468">
        <f>-DH78</f>
        <v/>
      </c>
      <c r="DI168" s="468">
        <f>-DI78</f>
        <v/>
      </c>
      <c r="DJ168" s="468">
        <f>-DJ78</f>
        <v/>
      </c>
      <c r="DK168" s="468">
        <f>-DK78</f>
        <v/>
      </c>
      <c r="DL168" s="468">
        <f>-DL78</f>
        <v/>
      </c>
      <c r="DM168" s="468">
        <f>-DM78</f>
        <v/>
      </c>
      <c r="DN168" s="468">
        <f>-DN78</f>
        <v/>
      </c>
      <c r="DO168" s="468">
        <f>-DO78</f>
        <v/>
      </c>
      <c r="DP168" s="468">
        <f>-DP78</f>
        <v/>
      </c>
      <c r="DQ168" s="468">
        <f>-DQ78</f>
        <v/>
      </c>
      <c r="DR168" s="468">
        <f>-DR78</f>
        <v/>
      </c>
      <c r="DS168" s="468">
        <f>-DS78</f>
        <v/>
      </c>
      <c r="DT168" s="468">
        <f>-DT78</f>
        <v/>
      </c>
      <c r="DU168" s="468">
        <f>-DU78</f>
        <v/>
      </c>
      <c r="DV168" s="468">
        <f>-DV78</f>
        <v/>
      </c>
      <c r="DW168" s="322" t="inlineStr">
        <is>
          <t>x</t>
        </is>
      </c>
    </row>
    <row r="169" hidden="1" outlineLevel="1">
      <c r="C169" s="374" t="inlineStr">
        <is>
          <t>Investor Accruals</t>
        </is>
      </c>
      <c r="D169" s="360" t="n"/>
      <c r="E169" s="463">
        <f>SUM(F169:BI169)</f>
        <v/>
      </c>
      <c r="F169" s="468" t="n">
        <v>0</v>
      </c>
      <c r="G169" s="468">
        <f>G167*(((1+$D$40)^(1/$K$38)-1)*G85)</f>
        <v/>
      </c>
      <c r="H169" s="468">
        <f>H167*(((1+$D$40)^(1/$K$38)-1)*H85)</f>
        <v/>
      </c>
      <c r="I169" s="468">
        <f>I167*(((1+$D$40)^(1/$K$38)-1)*I85)</f>
        <v/>
      </c>
      <c r="J169" s="468">
        <f>J167*(((1+$D$40)^(1/$K$38)-1)*J85)</f>
        <v/>
      </c>
      <c r="K169" s="468">
        <f>K167*(((1+$D$40)^(1/$K$38)-1)*K85)</f>
        <v/>
      </c>
      <c r="L169" s="468">
        <f>L167*(((1+$D$40)^(1/$K$38)-1)*L85)</f>
        <v/>
      </c>
      <c r="M169" s="468">
        <f>M167*(((1+$D$40)^(1/$K$38)-1)*M85)</f>
        <v/>
      </c>
      <c r="N169" s="468">
        <f>N167*(((1+$D$40)^(1/$K$38)-1)*N85)</f>
        <v/>
      </c>
      <c r="O169" s="468">
        <f>O167*(((1+$D$40)^(1/$K$38)-1)*O85)</f>
        <v/>
      </c>
      <c r="P169" s="468">
        <f>P167*(((1+$D$40)^(1/$K$38)-1)*P85)</f>
        <v/>
      </c>
      <c r="Q169" s="468">
        <f>Q167*(((1+$D$40)^(1/$K$38)-1)*Q85)</f>
        <v/>
      </c>
      <c r="R169" s="468">
        <f>R167*(((1+$D$40)^(1/$K$38)-1)*R85)</f>
        <v/>
      </c>
      <c r="S169" s="468">
        <f>S167*(((1+$D$40)^(1/$K$38)-1)*S85)</f>
        <v/>
      </c>
      <c r="T169" s="468">
        <f>T167*(((1+$D$40)^(1/$K$38)-1)*T85)</f>
        <v/>
      </c>
      <c r="U169" s="468">
        <f>U167*(((1+$D$40)^(1/$K$38)-1)*U85)</f>
        <v/>
      </c>
      <c r="V169" s="468">
        <f>V167*(((1+$D$40)^(1/$K$38)-1)*V85)</f>
        <v/>
      </c>
      <c r="W169" s="468">
        <f>W167*(((1+$D$40)^(1/$K$38)-1)*W85)</f>
        <v/>
      </c>
      <c r="X169" s="468">
        <f>X167*(((1+$D$40)^(1/$K$38)-1)*X85)</f>
        <v/>
      </c>
      <c r="Y169" s="468">
        <f>Y167*(((1+$D$40)^(1/$K$38)-1)*Y85)</f>
        <v/>
      </c>
      <c r="Z169" s="468">
        <f>Z167*(((1+$D$40)^(1/$K$38)-1)*Z85)</f>
        <v/>
      </c>
      <c r="AA169" s="468">
        <f>AA167*(((1+$D$40)^(1/$K$38)-1)*AA85)</f>
        <v/>
      </c>
      <c r="AB169" s="468">
        <f>AB167*(((1+$D$40)^(1/$K$38)-1)*AB85)</f>
        <v/>
      </c>
      <c r="AC169" s="468">
        <f>AC167*(((1+$D$40)^(1/$K$38)-1)*AC85)</f>
        <v/>
      </c>
      <c r="AD169" s="468">
        <f>AD167*(((1+$D$40)^(1/$K$38)-1)*AD85)</f>
        <v/>
      </c>
      <c r="AE169" s="468">
        <f>AE167*(((1+$D$40)^(1/$K$38)-1)*AE85)</f>
        <v/>
      </c>
      <c r="AF169" s="468">
        <f>AF167*(((1+$D$40)^(1/$K$38)-1)*AF85)</f>
        <v/>
      </c>
      <c r="AG169" s="468">
        <f>AG167*(((1+$D$40)^(1/$K$38)-1)*AG85)</f>
        <v/>
      </c>
      <c r="AH169" s="468">
        <f>AH167*(((1+$D$40)^(1/$K$38)-1)*AH85)</f>
        <v/>
      </c>
      <c r="AI169" s="468">
        <f>AI167*(((1+$D$40)^(1/$K$38)-1)*AI85)</f>
        <v/>
      </c>
      <c r="AJ169" s="468">
        <f>AJ167*(((1+$D$40)^(1/$K$38)-1)*AJ85)</f>
        <v/>
      </c>
      <c r="AK169" s="468">
        <f>AK167*(((1+$D$40)^(1/$K$38)-1)*AK85)</f>
        <v/>
      </c>
      <c r="AL169" s="468">
        <f>AL167*(((1+$D$40)^(1/$K$38)-1)*AL85)</f>
        <v/>
      </c>
      <c r="AM169" s="468">
        <f>AM167*(((1+$D$40)^(1/$K$38)-1)*AM85)</f>
        <v/>
      </c>
      <c r="AN169" s="468">
        <f>AN167*(((1+$D$40)^(1/$K$38)-1)*AN85)</f>
        <v/>
      </c>
      <c r="AO169" s="468">
        <f>AO167*(((1+$D$40)^(1/$K$38)-1)*AO85)</f>
        <v/>
      </c>
      <c r="AP169" s="468">
        <f>AP167*(((1+$D$40)^(1/$K$38)-1)*AP85)</f>
        <v/>
      </c>
      <c r="AQ169" s="468">
        <f>AQ167*(((1+$D$40)^(1/$K$38)-1)*AQ85)</f>
        <v/>
      </c>
      <c r="AR169" s="468">
        <f>AR167*(((1+$D$40)^(1/$K$38)-1)*AR85)</f>
        <v/>
      </c>
      <c r="AS169" s="468">
        <f>AS167*(((1+$D$40)^(1/$K$38)-1)*AS85)</f>
        <v/>
      </c>
      <c r="AT169" s="468">
        <f>AT167*(((1+$D$40)^(1/$K$38)-1)*AT85)</f>
        <v/>
      </c>
      <c r="AU169" s="468">
        <f>AU167*(((1+$D$40)^(1/$K$38)-1)*AU85)</f>
        <v/>
      </c>
      <c r="AV169" s="468">
        <f>AV167*(((1+$D$40)^(1/$K$38)-1)*AV85)</f>
        <v/>
      </c>
      <c r="AW169" s="468">
        <f>AW167*(((1+$D$40)^(1/$K$38)-1)*AW85)</f>
        <v/>
      </c>
      <c r="AX169" s="468">
        <f>AX167*(((1+$D$40)^(1/$K$38)-1)*AX85)</f>
        <v/>
      </c>
      <c r="AY169" s="468">
        <f>AY167*(((1+$D$40)^(1/$K$38)-1)*AY85)</f>
        <v/>
      </c>
      <c r="AZ169" s="468">
        <f>AZ167*(((1+$D$40)^(1/$K$38)-1)*AZ85)</f>
        <v/>
      </c>
      <c r="BA169" s="468">
        <f>BA167*(((1+$D$40)^(1/$K$38)-1)*BA85)</f>
        <v/>
      </c>
      <c r="BB169" s="468">
        <f>BB167*(((1+$D$40)^(1/$K$38)-1)*BB85)</f>
        <v/>
      </c>
      <c r="BC169" s="468">
        <f>BC167*(((1+$D$40)^(1/$K$38)-1)*BC85)</f>
        <v/>
      </c>
      <c r="BD169" s="468">
        <f>BD167*(((1+$D$40)^(1/$K$38)-1)*BD85)</f>
        <v/>
      </c>
      <c r="BE169" s="468">
        <f>BE167*(((1+$D$40)^(1/$K$38)-1)*BE85)</f>
        <v/>
      </c>
      <c r="BF169" s="468">
        <f>BF167*(((1+$D$40)^(1/$K$38)-1)*BF85)</f>
        <v/>
      </c>
      <c r="BG169" s="468">
        <f>BG167*(((1+$D$40)^(1/$K$38)-1)*BG85)</f>
        <v/>
      </c>
      <c r="BH169" s="468">
        <f>BH167*(((1+$D$40)^(1/$K$38)-1)*BH85)</f>
        <v/>
      </c>
      <c r="BI169" s="468">
        <f>BI167*(((1+$D$40)^(1/$K$38)-1)*BI85)</f>
        <v/>
      </c>
      <c r="BJ169" s="468">
        <f>BJ167*(((1+$D$40)^(1/$K$38)-1)*BJ85)</f>
        <v/>
      </c>
      <c r="BK169" s="468">
        <f>BK167*(((1+$D$40)^(1/$K$38)-1)*BK85)</f>
        <v/>
      </c>
      <c r="BL169" s="468">
        <f>BL167*(((1+$D$40)^(1/$K$38)-1)*BL85)</f>
        <v/>
      </c>
      <c r="BM169" s="468">
        <f>BM167*(((1+$D$40)^(1/$K$38)-1)*BM85)</f>
        <v/>
      </c>
      <c r="BN169" s="468">
        <f>BN167*(((1+$D$40)^(1/$K$38)-1)*BN85)</f>
        <v/>
      </c>
      <c r="BO169" s="468">
        <f>BO167*(((1+$D$40)^(1/$K$38)-1)*BO85)</f>
        <v/>
      </c>
      <c r="BP169" s="468">
        <f>BP167*(((1+$D$40)^(1/$K$38)-1)*BP85)</f>
        <v/>
      </c>
      <c r="BQ169" s="468">
        <f>BQ167*(((1+$D$40)^(1/$K$38)-1)*BQ85)</f>
        <v/>
      </c>
      <c r="BR169" s="468">
        <f>BR167*(((1+$D$40)^(1/$K$38)-1)*BR85)</f>
        <v/>
      </c>
      <c r="BS169" s="468">
        <f>BS167*(((1+$D$40)^(1/$K$38)-1)*BS85)</f>
        <v/>
      </c>
      <c r="BT169" s="468">
        <f>BT167*(((1+$D$40)^(1/$K$38)-1)*BT85)</f>
        <v/>
      </c>
      <c r="BU169" s="468">
        <f>BU167*(((1+$D$40)^(1/$K$38)-1)*BU85)</f>
        <v/>
      </c>
      <c r="BV169" s="468">
        <f>BV167*(((1+$D$40)^(1/$K$38)-1)*BV85)</f>
        <v/>
      </c>
      <c r="BW169" s="468">
        <f>BW167*(((1+$D$40)^(1/$K$38)-1)*BW85)</f>
        <v/>
      </c>
      <c r="BX169" s="468">
        <f>BX167*(((1+$D$40)^(1/$K$38)-1)*BX85)</f>
        <v/>
      </c>
      <c r="BY169" s="468">
        <f>BY167*(((1+$D$40)^(1/$K$38)-1)*BY85)</f>
        <v/>
      </c>
      <c r="BZ169" s="468">
        <f>BZ167*(((1+$D$40)^(1/$K$38)-1)*BZ85)</f>
        <v/>
      </c>
      <c r="CA169" s="468">
        <f>CA167*(((1+$D$40)^(1/$K$38)-1)*CA85)</f>
        <v/>
      </c>
      <c r="CB169" s="468">
        <f>CB167*(((1+$D$40)^(1/$K$38)-1)*CB85)</f>
        <v/>
      </c>
      <c r="CC169" s="468">
        <f>CC167*(((1+$D$40)^(1/$K$38)-1)*CC85)</f>
        <v/>
      </c>
      <c r="CD169" s="468">
        <f>CD167*(((1+$D$40)^(1/$K$38)-1)*CD85)</f>
        <v/>
      </c>
      <c r="CE169" s="468">
        <f>CE167*(((1+$D$40)^(1/$K$38)-1)*CE85)</f>
        <v/>
      </c>
      <c r="CF169" s="468">
        <f>CF167*(((1+$D$40)^(1/$K$38)-1)*CF85)</f>
        <v/>
      </c>
      <c r="CG169" s="468">
        <f>CG167*(((1+$D$40)^(1/$K$38)-1)*CG85)</f>
        <v/>
      </c>
      <c r="CH169" s="468">
        <f>CH167*(((1+$D$40)^(1/$K$38)-1)*CH85)</f>
        <v/>
      </c>
      <c r="CI169" s="468">
        <f>CI167*(((1+$D$40)^(1/$K$38)-1)*CI85)</f>
        <v/>
      </c>
      <c r="CJ169" s="468">
        <f>CJ167*(((1+$D$40)^(1/$K$38)-1)*CJ85)</f>
        <v/>
      </c>
      <c r="CK169" s="468">
        <f>CK167*(((1+$D$40)^(1/$K$38)-1)*CK85)</f>
        <v/>
      </c>
      <c r="CL169" s="468">
        <f>CL167*(((1+$D$40)^(1/$K$38)-1)*CL85)</f>
        <v/>
      </c>
      <c r="CM169" s="468">
        <f>CM167*(((1+$D$40)^(1/$K$38)-1)*CM85)</f>
        <v/>
      </c>
      <c r="CN169" s="468">
        <f>CN167*(((1+$D$40)^(1/$K$38)-1)*CN85)</f>
        <v/>
      </c>
      <c r="CO169" s="468">
        <f>CO167*(((1+$D$40)^(1/$K$38)-1)*CO85)</f>
        <v/>
      </c>
      <c r="CP169" s="468">
        <f>CP167*(((1+$D$40)^(1/$K$38)-1)*CP85)</f>
        <v/>
      </c>
      <c r="CQ169" s="468">
        <f>CQ167*(((1+$D$40)^(1/$K$38)-1)*CQ85)</f>
        <v/>
      </c>
      <c r="CR169" s="468">
        <f>CR167*(((1+$D$40)^(1/$K$38)-1)*CR85)</f>
        <v/>
      </c>
      <c r="CS169" s="468">
        <f>CS167*(((1+$D$40)^(1/$K$38)-1)*CS85)</f>
        <v/>
      </c>
      <c r="CT169" s="468">
        <f>CT167*(((1+$D$40)^(1/$K$38)-1)*CT85)</f>
        <v/>
      </c>
      <c r="CU169" s="468">
        <f>CU167*(((1+$D$40)^(1/$K$38)-1)*CU85)</f>
        <v/>
      </c>
      <c r="CV169" s="468">
        <f>CV167*(((1+$D$40)^(1/$K$38)-1)*CV85)</f>
        <v/>
      </c>
      <c r="CW169" s="468">
        <f>CW167*(((1+$D$40)^(1/$K$38)-1)*CW85)</f>
        <v/>
      </c>
      <c r="CX169" s="468">
        <f>CX167*(((1+$D$40)^(1/$K$38)-1)*CX85)</f>
        <v/>
      </c>
      <c r="CY169" s="468">
        <f>CY167*(((1+$D$40)^(1/$K$38)-1)*CY85)</f>
        <v/>
      </c>
      <c r="CZ169" s="468">
        <f>CZ167*(((1+$D$40)^(1/$K$38)-1)*CZ85)</f>
        <v/>
      </c>
      <c r="DA169" s="468">
        <f>DA167*(((1+$D$40)^(1/$K$38)-1)*DA85)</f>
        <v/>
      </c>
      <c r="DB169" s="468">
        <f>DB167*(((1+$D$40)^(1/$K$38)-1)*DB85)</f>
        <v/>
      </c>
      <c r="DC169" s="468">
        <f>DC167*(((1+$D$40)^(1/$K$38)-1)*DC85)</f>
        <v/>
      </c>
      <c r="DD169" s="468">
        <f>DD167*(((1+$D$40)^(1/$K$38)-1)*DD85)</f>
        <v/>
      </c>
      <c r="DE169" s="468">
        <f>DE167*(((1+$D$40)^(1/$K$38)-1)*DE85)</f>
        <v/>
      </c>
      <c r="DF169" s="468">
        <f>DF167*(((1+$D$40)^(1/$K$38)-1)*DF85)</f>
        <v/>
      </c>
      <c r="DG169" s="468">
        <f>DG167*(((1+$D$40)^(1/$K$38)-1)*DG85)</f>
        <v/>
      </c>
      <c r="DH169" s="468">
        <f>DH167*(((1+$D$40)^(1/$K$38)-1)*DH85)</f>
        <v/>
      </c>
      <c r="DI169" s="468">
        <f>DI167*(((1+$D$40)^(1/$K$38)-1)*DI85)</f>
        <v/>
      </c>
      <c r="DJ169" s="468">
        <f>DJ167*(((1+$D$40)^(1/$K$38)-1)*DJ85)</f>
        <v/>
      </c>
      <c r="DK169" s="468">
        <f>DK167*(((1+$D$40)^(1/$K$38)-1)*DK85)</f>
        <v/>
      </c>
      <c r="DL169" s="468">
        <f>DL167*(((1+$D$40)^(1/$K$38)-1)*DL85)</f>
        <v/>
      </c>
      <c r="DM169" s="468">
        <f>DM167*(((1+$D$40)^(1/$K$38)-1)*DM85)</f>
        <v/>
      </c>
      <c r="DN169" s="468">
        <f>DN167*(((1+$D$40)^(1/$K$38)-1)*DN85)</f>
        <v/>
      </c>
      <c r="DO169" s="468">
        <f>DO167*(((1+$D$40)^(1/$K$38)-1)*DO85)</f>
        <v/>
      </c>
      <c r="DP169" s="468">
        <f>DP167*(((1+$D$40)^(1/$K$38)-1)*DP85)</f>
        <v/>
      </c>
      <c r="DQ169" s="468">
        <f>DQ167*(((1+$D$40)^(1/$K$38)-1)*DQ85)</f>
        <v/>
      </c>
      <c r="DR169" s="468">
        <f>DR167*(((1+$D$40)^(1/$K$38)-1)*DR85)</f>
        <v/>
      </c>
      <c r="DS169" s="468">
        <f>DS167*(((1+$D$40)^(1/$K$38)-1)*DS85)</f>
        <v/>
      </c>
      <c r="DT169" s="468">
        <f>DT167*(((1+$D$40)^(1/$K$38)-1)*DT85)</f>
        <v/>
      </c>
      <c r="DU169" s="468">
        <f>DU167*(((1+$D$40)^(1/$K$38)-1)*DU85)</f>
        <v/>
      </c>
      <c r="DV169" s="468">
        <f>DV167*(((1+$D$40)^(1/$K$38)-1)*DV85)</f>
        <v/>
      </c>
      <c r="DW169" s="322" t="inlineStr">
        <is>
          <t>x</t>
        </is>
      </c>
    </row>
    <row r="170" hidden="1" outlineLevel="1">
      <c r="C170" s="682">
        <f>C138</f>
        <v/>
      </c>
      <c r="D170" s="360" t="n"/>
      <c r="E170" s="463">
        <f>SUM(F170:BI170)</f>
        <v/>
      </c>
      <c r="F170" s="468">
        <f>F90</f>
        <v/>
      </c>
      <c r="G170" s="468">
        <f>G138</f>
        <v/>
      </c>
      <c r="H170" s="468">
        <f>H138</f>
        <v/>
      </c>
      <c r="I170" s="468">
        <f>I138</f>
        <v/>
      </c>
      <c r="J170" s="468">
        <f>J138</f>
        <v/>
      </c>
      <c r="K170" s="468">
        <f>K138</f>
        <v/>
      </c>
      <c r="L170" s="468">
        <f>L138</f>
        <v/>
      </c>
      <c r="M170" s="468">
        <f>M138</f>
        <v/>
      </c>
      <c r="N170" s="468">
        <f>N138</f>
        <v/>
      </c>
      <c r="O170" s="468">
        <f>O138</f>
        <v/>
      </c>
      <c r="P170" s="468">
        <f>P138</f>
        <v/>
      </c>
      <c r="Q170" s="468">
        <f>Q138</f>
        <v/>
      </c>
      <c r="R170" s="468">
        <f>R138</f>
        <v/>
      </c>
      <c r="S170" s="468">
        <f>S138</f>
        <v/>
      </c>
      <c r="T170" s="468">
        <f>T138</f>
        <v/>
      </c>
      <c r="U170" s="468">
        <f>U138</f>
        <v/>
      </c>
      <c r="V170" s="468">
        <f>V138</f>
        <v/>
      </c>
      <c r="W170" s="468">
        <f>W138</f>
        <v/>
      </c>
      <c r="X170" s="468">
        <f>X138</f>
        <v/>
      </c>
      <c r="Y170" s="468">
        <f>Y138</f>
        <v/>
      </c>
      <c r="Z170" s="468">
        <f>Z138</f>
        <v/>
      </c>
      <c r="AA170" s="468">
        <f>AA138</f>
        <v/>
      </c>
      <c r="AB170" s="468">
        <f>AB138</f>
        <v/>
      </c>
      <c r="AC170" s="468">
        <f>AC138</f>
        <v/>
      </c>
      <c r="AD170" s="468">
        <f>AD138</f>
        <v/>
      </c>
      <c r="AE170" s="468">
        <f>AE138</f>
        <v/>
      </c>
      <c r="AF170" s="468">
        <f>AF138</f>
        <v/>
      </c>
      <c r="AG170" s="468">
        <f>AG138</f>
        <v/>
      </c>
      <c r="AH170" s="468">
        <f>AH138</f>
        <v/>
      </c>
      <c r="AI170" s="468">
        <f>AI138</f>
        <v/>
      </c>
      <c r="AJ170" s="468">
        <f>AJ138</f>
        <v/>
      </c>
      <c r="AK170" s="468">
        <f>AK138</f>
        <v/>
      </c>
      <c r="AL170" s="468">
        <f>AL138</f>
        <v/>
      </c>
      <c r="AM170" s="468">
        <f>AM138</f>
        <v/>
      </c>
      <c r="AN170" s="468">
        <f>AN138</f>
        <v/>
      </c>
      <c r="AO170" s="468">
        <f>AO138</f>
        <v/>
      </c>
      <c r="AP170" s="468">
        <f>AP138</f>
        <v/>
      </c>
      <c r="AQ170" s="468">
        <f>AQ138</f>
        <v/>
      </c>
      <c r="AR170" s="468">
        <f>AR138</f>
        <v/>
      </c>
      <c r="AS170" s="468">
        <f>AS138</f>
        <v/>
      </c>
      <c r="AT170" s="468">
        <f>AT138</f>
        <v/>
      </c>
      <c r="AU170" s="468">
        <f>AU138</f>
        <v/>
      </c>
      <c r="AV170" s="468">
        <f>AV138</f>
        <v/>
      </c>
      <c r="AW170" s="468">
        <f>AW138</f>
        <v/>
      </c>
      <c r="AX170" s="468">
        <f>AX138</f>
        <v/>
      </c>
      <c r="AY170" s="468">
        <f>AY138</f>
        <v/>
      </c>
      <c r="AZ170" s="468">
        <f>AZ138</f>
        <v/>
      </c>
      <c r="BA170" s="468">
        <f>BA138</f>
        <v/>
      </c>
      <c r="BB170" s="468">
        <f>BB138</f>
        <v/>
      </c>
      <c r="BC170" s="468">
        <f>BC138</f>
        <v/>
      </c>
      <c r="BD170" s="468">
        <f>BD138</f>
        <v/>
      </c>
      <c r="BE170" s="468">
        <f>BE138</f>
        <v/>
      </c>
      <c r="BF170" s="468">
        <f>BF138</f>
        <v/>
      </c>
      <c r="BG170" s="468">
        <f>BG138</f>
        <v/>
      </c>
      <c r="BH170" s="468">
        <f>BH138</f>
        <v/>
      </c>
      <c r="BI170" s="468">
        <f>BI138</f>
        <v/>
      </c>
      <c r="BJ170" s="468">
        <f>BJ138</f>
        <v/>
      </c>
      <c r="BK170" s="468">
        <f>BK138</f>
        <v/>
      </c>
      <c r="BL170" s="468">
        <f>BL138</f>
        <v/>
      </c>
      <c r="BM170" s="468">
        <f>BM138</f>
        <v/>
      </c>
      <c r="BN170" s="468">
        <f>BN138</f>
        <v/>
      </c>
      <c r="BO170" s="468">
        <f>BO138</f>
        <v/>
      </c>
      <c r="BP170" s="468">
        <f>BP138</f>
        <v/>
      </c>
      <c r="BQ170" s="468">
        <f>BQ138</f>
        <v/>
      </c>
      <c r="BR170" s="468">
        <f>BR138</f>
        <v/>
      </c>
      <c r="BS170" s="468">
        <f>BS138</f>
        <v/>
      </c>
      <c r="BT170" s="468">
        <f>BT138</f>
        <v/>
      </c>
      <c r="BU170" s="468">
        <f>BU138</f>
        <v/>
      </c>
      <c r="BV170" s="468">
        <f>BV138</f>
        <v/>
      </c>
      <c r="BW170" s="468">
        <f>BW138</f>
        <v/>
      </c>
      <c r="BX170" s="468">
        <f>BX138</f>
        <v/>
      </c>
      <c r="BY170" s="468">
        <f>BY138</f>
        <v/>
      </c>
      <c r="BZ170" s="468">
        <f>BZ138</f>
        <v/>
      </c>
      <c r="CA170" s="468">
        <f>CA138</f>
        <v/>
      </c>
      <c r="CB170" s="468">
        <f>CB138</f>
        <v/>
      </c>
      <c r="CC170" s="468">
        <f>CC138</f>
        <v/>
      </c>
      <c r="CD170" s="468">
        <f>CD138</f>
        <v/>
      </c>
      <c r="CE170" s="468">
        <f>CE138</f>
        <v/>
      </c>
      <c r="CF170" s="468">
        <f>CF138</f>
        <v/>
      </c>
      <c r="CG170" s="468">
        <f>CG138</f>
        <v/>
      </c>
      <c r="CH170" s="468">
        <f>CH138</f>
        <v/>
      </c>
      <c r="CI170" s="468">
        <f>CI138</f>
        <v/>
      </c>
      <c r="CJ170" s="468">
        <f>CJ138</f>
        <v/>
      </c>
      <c r="CK170" s="468">
        <f>CK138</f>
        <v/>
      </c>
      <c r="CL170" s="468">
        <f>CL138</f>
        <v/>
      </c>
      <c r="CM170" s="468">
        <f>CM138</f>
        <v/>
      </c>
      <c r="CN170" s="468">
        <f>CN138</f>
        <v/>
      </c>
      <c r="CO170" s="468">
        <f>CO138</f>
        <v/>
      </c>
      <c r="CP170" s="468">
        <f>CP138</f>
        <v/>
      </c>
      <c r="CQ170" s="468">
        <f>CQ138</f>
        <v/>
      </c>
      <c r="CR170" s="468">
        <f>CR138</f>
        <v/>
      </c>
      <c r="CS170" s="468">
        <f>CS138</f>
        <v/>
      </c>
      <c r="CT170" s="468">
        <f>CT138</f>
        <v/>
      </c>
      <c r="CU170" s="468">
        <f>CU138</f>
        <v/>
      </c>
      <c r="CV170" s="468">
        <f>CV138</f>
        <v/>
      </c>
      <c r="CW170" s="468">
        <f>CW138</f>
        <v/>
      </c>
      <c r="CX170" s="468">
        <f>CX138</f>
        <v/>
      </c>
      <c r="CY170" s="468">
        <f>CY138</f>
        <v/>
      </c>
      <c r="CZ170" s="468">
        <f>CZ138</f>
        <v/>
      </c>
      <c r="DA170" s="468">
        <f>DA138</f>
        <v/>
      </c>
      <c r="DB170" s="468">
        <f>DB138</f>
        <v/>
      </c>
      <c r="DC170" s="468">
        <f>DC138</f>
        <v/>
      </c>
      <c r="DD170" s="468">
        <f>DD138</f>
        <v/>
      </c>
      <c r="DE170" s="468">
        <f>DE138</f>
        <v/>
      </c>
      <c r="DF170" s="468">
        <f>DF138</f>
        <v/>
      </c>
      <c r="DG170" s="468">
        <f>DG138</f>
        <v/>
      </c>
      <c r="DH170" s="468">
        <f>DH138</f>
        <v/>
      </c>
      <c r="DI170" s="468">
        <f>DI138</f>
        <v/>
      </c>
      <c r="DJ170" s="468">
        <f>DJ138</f>
        <v/>
      </c>
      <c r="DK170" s="468">
        <f>DK138</f>
        <v/>
      </c>
      <c r="DL170" s="468">
        <f>DL138</f>
        <v/>
      </c>
      <c r="DM170" s="468">
        <f>DM138</f>
        <v/>
      </c>
      <c r="DN170" s="468">
        <f>DN138</f>
        <v/>
      </c>
      <c r="DO170" s="468">
        <f>DO138</f>
        <v/>
      </c>
      <c r="DP170" s="468">
        <f>DP138</f>
        <v/>
      </c>
      <c r="DQ170" s="468">
        <f>DQ138</f>
        <v/>
      </c>
      <c r="DR170" s="468">
        <f>DR138</f>
        <v/>
      </c>
      <c r="DS170" s="468">
        <f>DS138</f>
        <v/>
      </c>
      <c r="DT170" s="468">
        <f>DT138</f>
        <v/>
      </c>
      <c r="DU170" s="468">
        <f>DU138</f>
        <v/>
      </c>
      <c r="DV170" s="468">
        <f>DV138</f>
        <v/>
      </c>
      <c r="DW170" s="322">
        <f>DW138</f>
        <v/>
      </c>
    </row>
    <row r="171" hidden="1" outlineLevel="1">
      <c r="C171" s="682">
        <f>TEXT(C139,"0.0%")&amp;" / "&amp;TEXT(D146,"0.0x")&amp;" MOIC Distribution"</f>
        <v/>
      </c>
      <c r="D171" s="360" t="n"/>
      <c r="E171" s="463">
        <f>SUM(F171:BI171)</f>
        <v/>
      </c>
      <c r="F171" s="468">
        <f>F154</f>
        <v/>
      </c>
      <c r="G171" s="468">
        <f>G154</f>
        <v/>
      </c>
      <c r="H171" s="468">
        <f>H154</f>
        <v/>
      </c>
      <c r="I171" s="468">
        <f>I154</f>
        <v/>
      </c>
      <c r="J171" s="468">
        <f>J154</f>
        <v/>
      </c>
      <c r="K171" s="468">
        <f>K154</f>
        <v/>
      </c>
      <c r="L171" s="468">
        <f>L154</f>
        <v/>
      </c>
      <c r="M171" s="468">
        <f>M154</f>
        <v/>
      </c>
      <c r="N171" s="468">
        <f>N154</f>
        <v/>
      </c>
      <c r="O171" s="468">
        <f>O154</f>
        <v/>
      </c>
      <c r="P171" s="468">
        <f>P154</f>
        <v/>
      </c>
      <c r="Q171" s="468">
        <f>Q154</f>
        <v/>
      </c>
      <c r="R171" s="468">
        <f>R154</f>
        <v/>
      </c>
      <c r="S171" s="468">
        <f>S154</f>
        <v/>
      </c>
      <c r="T171" s="468">
        <f>T154</f>
        <v/>
      </c>
      <c r="U171" s="468">
        <f>U154</f>
        <v/>
      </c>
      <c r="V171" s="468">
        <f>V154</f>
        <v/>
      </c>
      <c r="W171" s="468">
        <f>W154</f>
        <v/>
      </c>
      <c r="X171" s="468">
        <f>X154</f>
        <v/>
      </c>
      <c r="Y171" s="468">
        <f>Y154</f>
        <v/>
      </c>
      <c r="Z171" s="468">
        <f>Z154</f>
        <v/>
      </c>
      <c r="AA171" s="468">
        <f>AA154</f>
        <v/>
      </c>
      <c r="AB171" s="468">
        <f>AB154</f>
        <v/>
      </c>
      <c r="AC171" s="468">
        <f>AC154</f>
        <v/>
      </c>
      <c r="AD171" s="468">
        <f>AD154</f>
        <v/>
      </c>
      <c r="AE171" s="468">
        <f>AE154</f>
        <v/>
      </c>
      <c r="AF171" s="468">
        <f>AF154</f>
        <v/>
      </c>
      <c r="AG171" s="468">
        <f>AG154</f>
        <v/>
      </c>
      <c r="AH171" s="468">
        <f>AH154</f>
        <v/>
      </c>
      <c r="AI171" s="468">
        <f>AI154</f>
        <v/>
      </c>
      <c r="AJ171" s="468">
        <f>AJ154</f>
        <v/>
      </c>
      <c r="AK171" s="468">
        <f>AK154</f>
        <v/>
      </c>
      <c r="AL171" s="468">
        <f>AL154</f>
        <v/>
      </c>
      <c r="AM171" s="468">
        <f>AM154</f>
        <v/>
      </c>
      <c r="AN171" s="468">
        <f>AN154</f>
        <v/>
      </c>
      <c r="AO171" s="468">
        <f>AO154</f>
        <v/>
      </c>
      <c r="AP171" s="468">
        <f>AP154</f>
        <v/>
      </c>
      <c r="AQ171" s="468">
        <f>AQ154</f>
        <v/>
      </c>
      <c r="AR171" s="468">
        <f>AR154</f>
        <v/>
      </c>
      <c r="AS171" s="468">
        <f>AS154</f>
        <v/>
      </c>
      <c r="AT171" s="468">
        <f>AT154</f>
        <v/>
      </c>
      <c r="AU171" s="468">
        <f>AU154</f>
        <v/>
      </c>
      <c r="AV171" s="468">
        <f>AV154</f>
        <v/>
      </c>
      <c r="AW171" s="468">
        <f>AW154</f>
        <v/>
      </c>
      <c r="AX171" s="468">
        <f>AX154</f>
        <v/>
      </c>
      <c r="AY171" s="468">
        <f>AY154</f>
        <v/>
      </c>
      <c r="AZ171" s="468">
        <f>AZ154</f>
        <v/>
      </c>
      <c r="BA171" s="468">
        <f>BA154</f>
        <v/>
      </c>
      <c r="BB171" s="468">
        <f>BB154</f>
        <v/>
      </c>
      <c r="BC171" s="468">
        <f>BC154</f>
        <v/>
      </c>
      <c r="BD171" s="468">
        <f>BD154</f>
        <v/>
      </c>
      <c r="BE171" s="468">
        <f>BE154</f>
        <v/>
      </c>
      <c r="BF171" s="468">
        <f>BF154</f>
        <v/>
      </c>
      <c r="BG171" s="468">
        <f>BG154</f>
        <v/>
      </c>
      <c r="BH171" s="468">
        <f>BH154</f>
        <v/>
      </c>
      <c r="BI171" s="468">
        <f>BI154</f>
        <v/>
      </c>
      <c r="BJ171" s="468">
        <f>BJ154</f>
        <v/>
      </c>
      <c r="BK171" s="468">
        <f>BK154</f>
        <v/>
      </c>
      <c r="BL171" s="468">
        <f>BL154</f>
        <v/>
      </c>
      <c r="BM171" s="468">
        <f>BM154</f>
        <v/>
      </c>
      <c r="BN171" s="468">
        <f>BN154</f>
        <v/>
      </c>
      <c r="BO171" s="468">
        <f>BO154</f>
        <v/>
      </c>
      <c r="BP171" s="468">
        <f>BP154</f>
        <v/>
      </c>
      <c r="BQ171" s="468">
        <f>BQ154</f>
        <v/>
      </c>
      <c r="BR171" s="468">
        <f>BR154</f>
        <v/>
      </c>
      <c r="BS171" s="468">
        <f>BS154</f>
        <v/>
      </c>
      <c r="BT171" s="468">
        <f>BT154</f>
        <v/>
      </c>
      <c r="BU171" s="468">
        <f>BU154</f>
        <v/>
      </c>
      <c r="BV171" s="468">
        <f>BV154</f>
        <v/>
      </c>
      <c r="BW171" s="468">
        <f>BW154</f>
        <v/>
      </c>
      <c r="BX171" s="468">
        <f>BX154</f>
        <v/>
      </c>
      <c r="BY171" s="468">
        <f>BY154</f>
        <v/>
      </c>
      <c r="BZ171" s="468">
        <f>BZ154</f>
        <v/>
      </c>
      <c r="CA171" s="468">
        <f>CA154</f>
        <v/>
      </c>
      <c r="CB171" s="468">
        <f>CB154</f>
        <v/>
      </c>
      <c r="CC171" s="468">
        <f>CC154</f>
        <v/>
      </c>
      <c r="CD171" s="468">
        <f>CD154</f>
        <v/>
      </c>
      <c r="CE171" s="468">
        <f>CE154</f>
        <v/>
      </c>
      <c r="CF171" s="468">
        <f>CF154</f>
        <v/>
      </c>
      <c r="CG171" s="468">
        <f>CG154</f>
        <v/>
      </c>
      <c r="CH171" s="468">
        <f>CH154</f>
        <v/>
      </c>
      <c r="CI171" s="468">
        <f>CI154</f>
        <v/>
      </c>
      <c r="CJ171" s="468">
        <f>CJ154</f>
        <v/>
      </c>
      <c r="CK171" s="468">
        <f>CK154</f>
        <v/>
      </c>
      <c r="CL171" s="468">
        <f>CL154</f>
        <v/>
      </c>
      <c r="CM171" s="468">
        <f>CM154</f>
        <v/>
      </c>
      <c r="CN171" s="468">
        <f>CN154</f>
        <v/>
      </c>
      <c r="CO171" s="468">
        <f>CO154</f>
        <v/>
      </c>
      <c r="CP171" s="468">
        <f>CP154</f>
        <v/>
      </c>
      <c r="CQ171" s="468">
        <f>CQ154</f>
        <v/>
      </c>
      <c r="CR171" s="468">
        <f>CR154</f>
        <v/>
      </c>
      <c r="CS171" s="468">
        <f>CS154</f>
        <v/>
      </c>
      <c r="CT171" s="468">
        <f>CT154</f>
        <v/>
      </c>
      <c r="CU171" s="468">
        <f>CU154</f>
        <v/>
      </c>
      <c r="CV171" s="468">
        <f>CV154</f>
        <v/>
      </c>
      <c r="CW171" s="468">
        <f>CW154</f>
        <v/>
      </c>
      <c r="CX171" s="468">
        <f>CX154</f>
        <v/>
      </c>
      <c r="CY171" s="468">
        <f>CY154</f>
        <v/>
      </c>
      <c r="CZ171" s="468">
        <f>CZ154</f>
        <v/>
      </c>
      <c r="DA171" s="468">
        <f>DA154</f>
        <v/>
      </c>
      <c r="DB171" s="468">
        <f>DB154</f>
        <v/>
      </c>
      <c r="DC171" s="468">
        <f>DC154</f>
        <v/>
      </c>
      <c r="DD171" s="468">
        <f>DD154</f>
        <v/>
      </c>
      <c r="DE171" s="468">
        <f>DE154</f>
        <v/>
      </c>
      <c r="DF171" s="468">
        <f>DF154</f>
        <v/>
      </c>
      <c r="DG171" s="468">
        <f>DG154</f>
        <v/>
      </c>
      <c r="DH171" s="468">
        <f>DH154</f>
        <v/>
      </c>
      <c r="DI171" s="468">
        <f>DI154</f>
        <v/>
      </c>
      <c r="DJ171" s="468">
        <f>DJ154</f>
        <v/>
      </c>
      <c r="DK171" s="468">
        <f>DK154</f>
        <v/>
      </c>
      <c r="DL171" s="468">
        <f>DL154</f>
        <v/>
      </c>
      <c r="DM171" s="468">
        <f>DM154</f>
        <v/>
      </c>
      <c r="DN171" s="468">
        <f>DN154</f>
        <v/>
      </c>
      <c r="DO171" s="468">
        <f>DO154</f>
        <v/>
      </c>
      <c r="DP171" s="468">
        <f>DP154</f>
        <v/>
      </c>
      <c r="DQ171" s="468">
        <f>DQ154</f>
        <v/>
      </c>
      <c r="DR171" s="468">
        <f>DR154</f>
        <v/>
      </c>
      <c r="DS171" s="468">
        <f>DS154</f>
        <v/>
      </c>
      <c r="DT171" s="468">
        <f>DT154</f>
        <v/>
      </c>
      <c r="DU171" s="468">
        <f>DU154</f>
        <v/>
      </c>
      <c r="DV171" s="468">
        <f>DV154</f>
        <v/>
      </c>
      <c r="DW171" s="322" t="inlineStr">
        <is>
          <t>x</t>
        </is>
      </c>
    </row>
    <row r="172" hidden="1" outlineLevel="1">
      <c r="C172" s="682">
        <f>TEXT(D40,"0.00%")&amp;" Accrual Distribution"</f>
        <v/>
      </c>
      <c r="D172" s="360" t="n"/>
      <c r="E172" s="468">
        <f>SUM(F172:BI172)</f>
        <v/>
      </c>
      <c r="F172" s="468">
        <f>IF(F162=0,0,-MIN(F162*#REF!,SUM(F167:F171)))</f>
        <v/>
      </c>
      <c r="G172" s="468">
        <f>IF(G162=0,0,-MIN(G162*$D$190,SUM(G167:G171)))</f>
        <v/>
      </c>
      <c r="H172" s="468">
        <f>IF(H162=0,0,-MIN(H162*$D$190,SUM(H167:H171)))</f>
        <v/>
      </c>
      <c r="I172" s="468">
        <f>IF(I162=0,0,-MIN(I162*$D$190,SUM(I167:I171)))</f>
        <v/>
      </c>
      <c r="J172" s="468">
        <f>IF(J162=0,0,-MIN(J162*$D$190,SUM(J167:J171)))</f>
        <v/>
      </c>
      <c r="K172" s="468">
        <f>IF(K162=0,0,-MIN(K162*$D$190,SUM(K167:K171)))</f>
        <v/>
      </c>
      <c r="L172" s="468">
        <f>IF(L162=0,0,-MIN(L162*$D$190,SUM(L167:L171)))</f>
        <v/>
      </c>
      <c r="M172" s="468">
        <f>IF(M162=0,0,-MIN(M162*$D$190,SUM(M167:M171)))</f>
        <v/>
      </c>
      <c r="N172" s="468">
        <f>IF(N162=0,0,-MIN(N162*$D$190,SUM(N167:N171)))</f>
        <v/>
      </c>
      <c r="O172" s="468">
        <f>IF(O162=0,0,-MIN(O162*$D$190,SUM(O167:O171)))</f>
        <v/>
      </c>
      <c r="P172" s="468">
        <f>IF(P162=0,0,-MIN(P162*$D$190,SUM(P167:P171)))</f>
        <v/>
      </c>
      <c r="Q172" s="468">
        <f>IF(Q162=0,0,-MIN(Q162*$D$190,SUM(Q167:Q171)))</f>
        <v/>
      </c>
      <c r="R172" s="468">
        <f>IF(R162=0,0,-MIN(R162*$D$190,SUM(R167:R171)))</f>
        <v/>
      </c>
      <c r="S172" s="468">
        <f>IF(S162=0,0,-MIN(S162*$D$190,SUM(S167:S171)))</f>
        <v/>
      </c>
      <c r="T172" s="468">
        <f>IF(T162=0,0,-MIN(T162*$D$190,SUM(T167:T171)))</f>
        <v/>
      </c>
      <c r="U172" s="468">
        <f>IF(U162=0,0,-MIN(U162*$D$190,SUM(U167:U171)))</f>
        <v/>
      </c>
      <c r="V172" s="468">
        <f>IF(V162=0,0,-MIN(V162*$D$190,SUM(V167:V171)))</f>
        <v/>
      </c>
      <c r="W172" s="468">
        <f>IF(W162=0,0,-MIN(W162*$D$190,SUM(W167:W171)))</f>
        <v/>
      </c>
      <c r="X172" s="468">
        <f>IF(X162=0,0,-MIN(X162*$D$190,SUM(X167:X171)))</f>
        <v/>
      </c>
      <c r="Y172" s="468">
        <f>IF(Y162=0,0,-MIN(Y162*$D$190,SUM(Y167:Y171)))</f>
        <v/>
      </c>
      <c r="Z172" s="468">
        <f>IF(Z162=0,0,-MIN(Z162*$D$190,SUM(Z167:Z171)))</f>
        <v/>
      </c>
      <c r="AA172" s="468">
        <f>IF(AA162=0,0,-MIN(AA162*$D$190,SUM(AA167:AA171)))</f>
        <v/>
      </c>
      <c r="AB172" s="468">
        <f>IF(AB162=0,0,-MIN(AB162*$D$190,SUM(AB167:AB171)))</f>
        <v/>
      </c>
      <c r="AC172" s="468">
        <f>IF(AC162=0,0,-MIN(AC162*$D$190,SUM(AC167:AC171)))</f>
        <v/>
      </c>
      <c r="AD172" s="468">
        <f>IF(AD162=0,0,-MIN(AD162*$D$190,SUM(AD167:AD171)))</f>
        <v/>
      </c>
      <c r="AE172" s="468">
        <f>IF(AE162=0,0,-MIN(AE162*$D$190,SUM(AE167:AE171)))</f>
        <v/>
      </c>
      <c r="AF172" s="468">
        <f>IF(AF162=0,0,-MIN(AF162*$D$190,SUM(AF167:AF171)))</f>
        <v/>
      </c>
      <c r="AG172" s="468">
        <f>IF(AG162=0,0,-MIN(AG162*$D$190,SUM(AG167:AG171)))</f>
        <v/>
      </c>
      <c r="AH172" s="468">
        <f>IF(AH162=0,0,-MIN(AH162*$D$190,SUM(AH167:AH171)))</f>
        <v/>
      </c>
      <c r="AI172" s="468">
        <f>IF(AI162=0,0,-MIN(AI162*$D$190,SUM(AI167:AI171)))</f>
        <v/>
      </c>
      <c r="AJ172" s="468">
        <f>IF(AJ162=0,0,-MIN(AJ162*$D$190,SUM(AJ167:AJ171)))</f>
        <v/>
      </c>
      <c r="AK172" s="468">
        <f>IF(AK162=0,0,-MIN(AK162*$D$190,SUM(AK167:AK171)))</f>
        <v/>
      </c>
      <c r="AL172" s="468">
        <f>IF(AL162=0,0,-MIN(AL162*$D$190,SUM(AL167:AL171)))</f>
        <v/>
      </c>
      <c r="AM172" s="468">
        <f>IF(AM162=0,0,-MIN(AM162*$D$190,SUM(AM167:AM171)))</f>
        <v/>
      </c>
      <c r="AN172" s="468">
        <f>IF(AN162=0,0,-MIN(AN162*$D$190,SUM(AN167:AN171)))</f>
        <v/>
      </c>
      <c r="AO172" s="468">
        <f>IF(AO162=0,0,-MIN(AO162*$D$190,SUM(AO167:AO171)))</f>
        <v/>
      </c>
      <c r="AP172" s="468">
        <f>IF(AP162=0,0,-MIN(AP162*$D$190,SUM(AP167:AP171)))</f>
        <v/>
      </c>
      <c r="AQ172" s="468">
        <f>IF(AQ162=0,0,-MIN(AQ162*$D$190,SUM(AQ167:AQ171)))</f>
        <v/>
      </c>
      <c r="AR172" s="468">
        <f>IF(AR162=0,0,-MIN(AR162*$D$190,SUM(AR167:AR171)))</f>
        <v/>
      </c>
      <c r="AS172" s="468">
        <f>IF(AS162=0,0,-MIN(AS162*$D$190,SUM(AS167:AS171)))</f>
        <v/>
      </c>
      <c r="AT172" s="468">
        <f>IF(AT162=0,0,-MIN(AT162*$D$190,SUM(AT167:AT171)))</f>
        <v/>
      </c>
      <c r="AU172" s="468">
        <f>IF(AU162=0,0,-MIN(AU162*$D$190,SUM(AU167:AU171)))</f>
        <v/>
      </c>
      <c r="AV172" s="468">
        <f>IF(AV162=0,0,-MIN(AV162*$D$190,SUM(AV167:AV171)))</f>
        <v/>
      </c>
      <c r="AW172" s="468">
        <f>IF(AW162=0,0,-MIN(AW162*$D$190,SUM(AW167:AW171)))</f>
        <v/>
      </c>
      <c r="AX172" s="468">
        <f>IF(AX162=0,0,-MIN(AX162*$D$190,SUM(AX167:AX171)))</f>
        <v/>
      </c>
      <c r="AY172" s="468">
        <f>IF(AY162=0,0,-MIN(AY162*$D$190,SUM(AY167:AY171)))</f>
        <v/>
      </c>
      <c r="AZ172" s="468">
        <f>IF(AZ162=0,0,-MIN(AZ162*$D$190,SUM(AZ167:AZ171)))</f>
        <v/>
      </c>
      <c r="BA172" s="468">
        <f>IF(BA162=0,0,-MIN(BA162*$D$190,SUM(BA167:BA171)))</f>
        <v/>
      </c>
      <c r="BB172" s="468">
        <f>IF(BB162=0,0,-MIN(BB162*$D$190,SUM(BB167:BB171)))</f>
        <v/>
      </c>
      <c r="BC172" s="468">
        <f>IF(BC162=0,0,-MIN(BC162*$D$190,SUM(BC167:BC171)))</f>
        <v/>
      </c>
      <c r="BD172" s="468">
        <f>IF(BD162=0,0,-MIN(BD162*$D$190,SUM(BD167:BD171)))</f>
        <v/>
      </c>
      <c r="BE172" s="468">
        <f>IF(BE162=0,0,-MIN(BE162*$D$190,SUM(BE167:BE171)))</f>
        <v/>
      </c>
      <c r="BF172" s="468">
        <f>IF(BF162=0,0,-MIN(BF162*$D$190,SUM(BF167:BF171)))</f>
        <v/>
      </c>
      <c r="BG172" s="468">
        <f>IF(BG162=0,0,-MIN(BG162*$D$190,SUM(BG167:BG171)))</f>
        <v/>
      </c>
      <c r="BH172" s="468">
        <f>IF(BH162=0,0,-MIN(BH162*$D$190,SUM(BH167:BH171)))</f>
        <v/>
      </c>
      <c r="BI172" s="468">
        <f>IF(BI162=0,0,-MIN(BI162*$D$190,SUM(BI167:BI171)))</f>
        <v/>
      </c>
      <c r="BJ172" s="468">
        <f>IF(BJ162=0,0,-MIN(BJ162*$D$190,SUM(BJ167:BJ171)))</f>
        <v/>
      </c>
      <c r="BK172" s="468">
        <f>IF(BK162=0,0,-MIN(BK162*$D$190,SUM(BK167:BK171)))</f>
        <v/>
      </c>
      <c r="BL172" s="468">
        <f>IF(BL162=0,0,-MIN(BL162*$D$190,SUM(BL167:BL171)))</f>
        <v/>
      </c>
      <c r="BM172" s="468">
        <f>IF(BM162=0,0,-MIN(BM162*$D$190,SUM(BM167:BM171)))</f>
        <v/>
      </c>
      <c r="BN172" s="468">
        <f>IF(BN162=0,0,-MIN(BN162*$D$190,SUM(BN167:BN171)))</f>
        <v/>
      </c>
      <c r="BO172" s="468">
        <f>IF(BO162=0,0,-MIN(BO162*$D$190,SUM(BO167:BO171)))</f>
        <v/>
      </c>
      <c r="BP172" s="468">
        <f>IF(BP162=0,0,-MIN(BP162*$D$190,SUM(BP167:BP171)))</f>
        <v/>
      </c>
      <c r="BQ172" s="468">
        <f>IF(BQ162=0,0,-MIN(BQ162*$D$190,SUM(BQ167:BQ171)))</f>
        <v/>
      </c>
      <c r="BR172" s="468">
        <f>IF(BR162=0,0,-MIN(BR162*$D$190,SUM(BR167:BR171)))</f>
        <v/>
      </c>
      <c r="BS172" s="468">
        <f>IF(BS162=0,0,-MIN(BS162*$D$190,SUM(BS167:BS171)))</f>
        <v/>
      </c>
      <c r="BT172" s="468">
        <f>IF(BT162=0,0,-MIN(BT162*$D$190,SUM(BT167:BT171)))</f>
        <v/>
      </c>
      <c r="BU172" s="468">
        <f>IF(BU162=0,0,-MIN(BU162*$D$190,SUM(BU167:BU171)))</f>
        <v/>
      </c>
      <c r="BV172" s="468">
        <f>IF(BV162=0,0,-MIN(BV162*$D$190,SUM(BV167:BV171)))</f>
        <v/>
      </c>
      <c r="BW172" s="468">
        <f>IF(BW162=0,0,-MIN(BW162*$D$190,SUM(BW167:BW171)))</f>
        <v/>
      </c>
      <c r="BX172" s="468">
        <f>IF(BX162=0,0,-MIN(BX162*$D$190,SUM(BX167:BX171)))</f>
        <v/>
      </c>
      <c r="BY172" s="468">
        <f>IF(BY162=0,0,-MIN(BY162*$D$190,SUM(BY167:BY171)))</f>
        <v/>
      </c>
      <c r="BZ172" s="468">
        <f>IF(BZ162=0,0,-MIN(BZ162*$D$190,SUM(BZ167:BZ171)))</f>
        <v/>
      </c>
      <c r="CA172" s="468">
        <f>IF(CA162=0,0,-MIN(CA162*$D$190,SUM(CA167:CA171)))</f>
        <v/>
      </c>
      <c r="CB172" s="468">
        <f>IF(CB162=0,0,-MIN(CB162*$D$190,SUM(CB167:CB171)))</f>
        <v/>
      </c>
      <c r="CC172" s="468">
        <f>IF(CC162=0,0,-MIN(CC162*$D$190,SUM(CC167:CC171)))</f>
        <v/>
      </c>
      <c r="CD172" s="468">
        <f>IF(CD162=0,0,-MIN(CD162*$D$190,SUM(CD167:CD171)))</f>
        <v/>
      </c>
      <c r="CE172" s="468">
        <f>IF(CE162=0,0,-MIN(CE162*$D$190,SUM(CE167:CE171)))</f>
        <v/>
      </c>
      <c r="CF172" s="468">
        <f>IF(CF162=0,0,-MIN(CF162*$D$190,SUM(CF167:CF171)))</f>
        <v/>
      </c>
      <c r="CG172" s="468">
        <f>IF(CG162=0,0,-MIN(CG162*$D$190,SUM(CG167:CG171)))</f>
        <v/>
      </c>
      <c r="CH172" s="468">
        <f>IF(CH162=0,0,-MIN(CH162*$D$190,SUM(CH167:CH171)))</f>
        <v/>
      </c>
      <c r="CI172" s="468">
        <f>IF(CI162=0,0,-MIN(CI162*$D$190,SUM(CI167:CI171)))</f>
        <v/>
      </c>
      <c r="CJ172" s="468">
        <f>IF(CJ162=0,0,-MIN(CJ162*$D$190,SUM(CJ167:CJ171)))</f>
        <v/>
      </c>
      <c r="CK172" s="468">
        <f>IF(CK162=0,0,-MIN(CK162*$D$190,SUM(CK167:CK171)))</f>
        <v/>
      </c>
      <c r="CL172" s="468">
        <f>IF(CL162=0,0,-MIN(CL162*$D$190,SUM(CL167:CL171)))</f>
        <v/>
      </c>
      <c r="CM172" s="468">
        <f>IF(CM162=0,0,-MIN(CM162*$D$190,SUM(CM167:CM171)))</f>
        <v/>
      </c>
      <c r="CN172" s="468">
        <f>IF(CN162=0,0,-MIN(CN162*$D$190,SUM(CN167:CN171)))</f>
        <v/>
      </c>
      <c r="CO172" s="468">
        <f>IF(CO162=0,0,-MIN(CO162*$D$190,SUM(CO167:CO171)))</f>
        <v/>
      </c>
      <c r="CP172" s="468">
        <f>IF(CP162=0,0,-MIN(CP162*$D$190,SUM(CP167:CP171)))</f>
        <v/>
      </c>
      <c r="CQ172" s="468">
        <f>IF(CQ162=0,0,-MIN(CQ162*$D$190,SUM(CQ167:CQ171)))</f>
        <v/>
      </c>
      <c r="CR172" s="468">
        <f>IF(CR162=0,0,-MIN(CR162*$D$190,SUM(CR167:CR171)))</f>
        <v/>
      </c>
      <c r="CS172" s="468">
        <f>IF(CS162=0,0,-MIN(CS162*$D$190,SUM(CS167:CS171)))</f>
        <v/>
      </c>
      <c r="CT172" s="468">
        <f>IF(CT162=0,0,-MIN(CT162*$D$190,SUM(CT167:CT171)))</f>
        <v/>
      </c>
      <c r="CU172" s="468">
        <f>IF(CU162=0,0,-MIN(CU162*$D$190,SUM(CU167:CU171)))</f>
        <v/>
      </c>
      <c r="CV172" s="468">
        <f>IF(CV162=0,0,-MIN(CV162*$D$190,SUM(CV167:CV171)))</f>
        <v/>
      </c>
      <c r="CW172" s="468">
        <f>IF(CW162=0,0,-MIN(CW162*$D$190,SUM(CW167:CW171)))</f>
        <v/>
      </c>
      <c r="CX172" s="468">
        <f>IF(CX162=0,0,-MIN(CX162*$D$190,SUM(CX167:CX171)))</f>
        <v/>
      </c>
      <c r="CY172" s="468">
        <f>IF(CY162=0,0,-MIN(CY162*$D$190,SUM(CY167:CY171)))</f>
        <v/>
      </c>
      <c r="CZ172" s="468">
        <f>IF(CZ162=0,0,-MIN(CZ162*$D$190,SUM(CZ167:CZ171)))</f>
        <v/>
      </c>
      <c r="DA172" s="468">
        <f>IF(DA162=0,0,-MIN(DA162*$D$190,SUM(DA167:DA171)))</f>
        <v/>
      </c>
      <c r="DB172" s="468">
        <f>IF(DB162=0,0,-MIN(DB162*$D$190,SUM(DB167:DB171)))</f>
        <v/>
      </c>
      <c r="DC172" s="468">
        <f>IF(DC162=0,0,-MIN(DC162*$D$190,SUM(DC167:DC171)))</f>
        <v/>
      </c>
      <c r="DD172" s="468">
        <f>IF(DD162=0,0,-MIN(DD162*$D$190,SUM(DD167:DD171)))</f>
        <v/>
      </c>
      <c r="DE172" s="468">
        <f>IF(DE162=0,0,-MIN(DE162*$D$190,SUM(DE167:DE171)))</f>
        <v/>
      </c>
      <c r="DF172" s="468">
        <f>IF(DF162=0,0,-MIN(DF162*$D$190,SUM(DF167:DF171)))</f>
        <v/>
      </c>
      <c r="DG172" s="468">
        <f>IF(DG162=0,0,-MIN(DG162*$D$190,SUM(DG167:DG171)))</f>
        <v/>
      </c>
      <c r="DH172" s="468">
        <f>IF(DH162=0,0,-MIN(DH162*$D$190,SUM(DH167:DH171)))</f>
        <v/>
      </c>
      <c r="DI172" s="468">
        <f>IF(DI162=0,0,-MIN(DI162*$D$190,SUM(DI167:DI171)))</f>
        <v/>
      </c>
      <c r="DJ172" s="468">
        <f>IF(DJ162=0,0,-MIN(DJ162*$D$190,SUM(DJ167:DJ171)))</f>
        <v/>
      </c>
      <c r="DK172" s="468">
        <f>IF(DK162=0,0,-MIN(DK162*$D$190,SUM(DK167:DK171)))</f>
        <v/>
      </c>
      <c r="DL172" s="468">
        <f>IF(DL162=0,0,-MIN(DL162*$D$190,SUM(DL167:DL171)))</f>
        <v/>
      </c>
      <c r="DM172" s="468">
        <f>IF(DM162=0,0,-MIN(DM162*$D$190,SUM(DM167:DM171)))</f>
        <v/>
      </c>
      <c r="DN172" s="468">
        <f>IF(DN162=0,0,-MIN(DN162*$D$190,SUM(DN167:DN171)))</f>
        <v/>
      </c>
      <c r="DO172" s="468">
        <f>IF(DO162=0,0,-MIN(DO162*$D$190,SUM(DO167:DO171)))</f>
        <v/>
      </c>
      <c r="DP172" s="468">
        <f>IF(DP162=0,0,-MIN(DP162*$D$190,SUM(DP167:DP171)))</f>
        <v/>
      </c>
      <c r="DQ172" s="468">
        <f>IF(DQ162=0,0,-MIN(DQ162*$D$190,SUM(DQ167:DQ171)))</f>
        <v/>
      </c>
      <c r="DR172" s="468">
        <f>IF(DR162=0,0,-MIN(DR162*$D$190,SUM(DR167:DR171)))</f>
        <v/>
      </c>
      <c r="DS172" s="468">
        <f>IF(DS162=0,0,-MIN(DS162*$D$190,SUM(DS167:DS171)))</f>
        <v/>
      </c>
      <c r="DT172" s="468">
        <f>IF(DT162=0,0,-MIN(DT162*$D$190,SUM(DT167:DT171)))</f>
        <v/>
      </c>
      <c r="DU172" s="468">
        <f>IF(DU162=0,0,-MIN(DU162*$D$190,SUM(DU167:DU171)))</f>
        <v/>
      </c>
      <c r="DV172" s="468">
        <f>IF(DV162=0,0,-MIN(DV162*$D$190,SUM(DV167:DV171)))</f>
        <v/>
      </c>
      <c r="DW172" s="322" t="inlineStr">
        <is>
          <t>x</t>
        </is>
      </c>
    </row>
    <row r="173" hidden="1" outlineLevel="1" ht="17.25" customHeight="1" thickBot="1">
      <c r="C173" s="490" t="inlineStr">
        <is>
          <t>Ending Balance</t>
        </is>
      </c>
      <c r="D173" s="360" t="n"/>
      <c r="E173" s="658">
        <f>SUM(E168:E172)</f>
        <v/>
      </c>
      <c r="F173" s="658">
        <f>SUM(F167:F172)</f>
        <v/>
      </c>
      <c r="G173" s="658">
        <f>SUM(G167:G172)</f>
        <v/>
      </c>
      <c r="H173" s="658">
        <f>SUM(H167:H172)</f>
        <v/>
      </c>
      <c r="I173" s="658">
        <f>SUM(I167:I172)</f>
        <v/>
      </c>
      <c r="J173" s="658">
        <f>SUM(J167:J172)</f>
        <v/>
      </c>
      <c r="K173" s="658">
        <f>SUM(K167:K172)</f>
        <v/>
      </c>
      <c r="L173" s="658">
        <f>SUM(L167:L172)</f>
        <v/>
      </c>
      <c r="M173" s="658">
        <f>SUM(M167:M172)</f>
        <v/>
      </c>
      <c r="N173" s="658">
        <f>SUM(N167:N172)</f>
        <v/>
      </c>
      <c r="O173" s="658">
        <f>SUM(O167:O172)</f>
        <v/>
      </c>
      <c r="P173" s="658">
        <f>SUM(P167:P172)</f>
        <v/>
      </c>
      <c r="Q173" s="658">
        <f>SUM(Q167:Q172)</f>
        <v/>
      </c>
      <c r="R173" s="658">
        <f>SUM(R167:R172)</f>
        <v/>
      </c>
      <c r="S173" s="658">
        <f>SUM(S167:S172)</f>
        <v/>
      </c>
      <c r="T173" s="658">
        <f>SUM(T167:T172)</f>
        <v/>
      </c>
      <c r="U173" s="658">
        <f>SUM(U167:U172)</f>
        <v/>
      </c>
      <c r="V173" s="658">
        <f>SUM(V167:V172)</f>
        <v/>
      </c>
      <c r="W173" s="658">
        <f>SUM(W167:W172)</f>
        <v/>
      </c>
      <c r="X173" s="658">
        <f>SUM(X167:X172)</f>
        <v/>
      </c>
      <c r="Y173" s="658">
        <f>SUM(Y167:Y172)</f>
        <v/>
      </c>
      <c r="Z173" s="658">
        <f>SUM(Z167:Z172)</f>
        <v/>
      </c>
      <c r="AA173" s="658">
        <f>SUM(AA167:AA172)</f>
        <v/>
      </c>
      <c r="AB173" s="658">
        <f>SUM(AB167:AB172)</f>
        <v/>
      </c>
      <c r="AC173" s="658">
        <f>SUM(AC167:AC172)</f>
        <v/>
      </c>
      <c r="AD173" s="658">
        <f>SUM(AD167:AD172)</f>
        <v/>
      </c>
      <c r="AE173" s="658">
        <f>SUM(AE167:AE172)</f>
        <v/>
      </c>
      <c r="AF173" s="658">
        <f>SUM(AF167:AF172)</f>
        <v/>
      </c>
      <c r="AG173" s="658">
        <f>SUM(AG167:AG172)</f>
        <v/>
      </c>
      <c r="AH173" s="658">
        <f>SUM(AH167:AH172)</f>
        <v/>
      </c>
      <c r="AI173" s="658">
        <f>SUM(AI167:AI172)</f>
        <v/>
      </c>
      <c r="AJ173" s="658">
        <f>SUM(AJ167:AJ172)</f>
        <v/>
      </c>
      <c r="AK173" s="658">
        <f>SUM(AK167:AK172)</f>
        <v/>
      </c>
      <c r="AL173" s="658">
        <f>SUM(AL167:AL172)</f>
        <v/>
      </c>
      <c r="AM173" s="658">
        <f>SUM(AM167:AM172)</f>
        <v/>
      </c>
      <c r="AN173" s="658">
        <f>SUM(AN167:AN172)</f>
        <v/>
      </c>
      <c r="AO173" s="658">
        <f>SUM(AO167:AO172)</f>
        <v/>
      </c>
      <c r="AP173" s="658">
        <f>SUM(AP167:AP172)</f>
        <v/>
      </c>
      <c r="AQ173" s="658">
        <f>SUM(AQ167:AQ172)</f>
        <v/>
      </c>
      <c r="AR173" s="658">
        <f>SUM(AR167:AR172)</f>
        <v/>
      </c>
      <c r="AS173" s="658">
        <f>SUM(AS167:AS172)</f>
        <v/>
      </c>
      <c r="AT173" s="658">
        <f>SUM(AT167:AT172)</f>
        <v/>
      </c>
      <c r="AU173" s="658">
        <f>SUM(AU167:AU172)</f>
        <v/>
      </c>
      <c r="AV173" s="658">
        <f>SUM(AV167:AV172)</f>
        <v/>
      </c>
      <c r="AW173" s="658">
        <f>SUM(AW167:AW172)</f>
        <v/>
      </c>
      <c r="AX173" s="658">
        <f>SUM(AX167:AX172)</f>
        <v/>
      </c>
      <c r="AY173" s="658">
        <f>SUM(AY167:AY172)</f>
        <v/>
      </c>
      <c r="AZ173" s="658">
        <f>SUM(AZ167:AZ172)</f>
        <v/>
      </c>
      <c r="BA173" s="658">
        <f>SUM(BA167:BA172)</f>
        <v/>
      </c>
      <c r="BB173" s="658">
        <f>SUM(BB167:BB172)</f>
        <v/>
      </c>
      <c r="BC173" s="658">
        <f>SUM(BC167:BC172)</f>
        <v/>
      </c>
      <c r="BD173" s="658">
        <f>SUM(BD167:BD172)</f>
        <v/>
      </c>
      <c r="BE173" s="658">
        <f>SUM(BE167:BE172)</f>
        <v/>
      </c>
      <c r="BF173" s="658">
        <f>SUM(BF167:BF172)</f>
        <v/>
      </c>
      <c r="BG173" s="658">
        <f>SUM(BG167:BG172)</f>
        <v/>
      </c>
      <c r="BH173" s="658">
        <f>SUM(BH167:BH172)</f>
        <v/>
      </c>
      <c r="BI173" s="658">
        <f>SUM(BI167:BI172)</f>
        <v/>
      </c>
      <c r="BJ173" s="658">
        <f>SUM(BJ167:BJ172)</f>
        <v/>
      </c>
      <c r="BK173" s="658">
        <f>SUM(BK167:BK172)</f>
        <v/>
      </c>
      <c r="BL173" s="658">
        <f>SUM(BL167:BL172)</f>
        <v/>
      </c>
      <c r="BM173" s="658">
        <f>SUM(BM167:BM172)</f>
        <v/>
      </c>
      <c r="BN173" s="658">
        <f>SUM(BN167:BN172)</f>
        <v/>
      </c>
      <c r="BO173" s="658">
        <f>SUM(BO167:BO172)</f>
        <v/>
      </c>
      <c r="BP173" s="658">
        <f>SUM(BP167:BP172)</f>
        <v/>
      </c>
      <c r="BQ173" s="658">
        <f>SUM(BQ167:BQ172)</f>
        <v/>
      </c>
      <c r="BR173" s="658">
        <f>SUM(BR167:BR172)</f>
        <v/>
      </c>
      <c r="BS173" s="658">
        <f>SUM(BS167:BS172)</f>
        <v/>
      </c>
      <c r="BT173" s="658">
        <f>SUM(BT167:BT172)</f>
        <v/>
      </c>
      <c r="BU173" s="658">
        <f>SUM(BU167:BU172)</f>
        <v/>
      </c>
      <c r="BV173" s="658">
        <f>SUM(BV167:BV172)</f>
        <v/>
      </c>
      <c r="BW173" s="658">
        <f>SUM(BW167:BW172)</f>
        <v/>
      </c>
      <c r="BX173" s="658">
        <f>SUM(BX167:BX172)</f>
        <v/>
      </c>
      <c r="BY173" s="658">
        <f>SUM(BY167:BY172)</f>
        <v/>
      </c>
      <c r="BZ173" s="658">
        <f>SUM(BZ167:BZ172)</f>
        <v/>
      </c>
      <c r="CA173" s="658">
        <f>SUM(CA167:CA172)</f>
        <v/>
      </c>
      <c r="CB173" s="658">
        <f>SUM(CB167:CB172)</f>
        <v/>
      </c>
      <c r="CC173" s="658">
        <f>SUM(CC167:CC172)</f>
        <v/>
      </c>
      <c r="CD173" s="658">
        <f>SUM(CD167:CD172)</f>
        <v/>
      </c>
      <c r="CE173" s="658">
        <f>SUM(CE167:CE172)</f>
        <v/>
      </c>
      <c r="CF173" s="658">
        <f>SUM(CF167:CF172)</f>
        <v/>
      </c>
      <c r="CG173" s="658">
        <f>SUM(CG167:CG172)</f>
        <v/>
      </c>
      <c r="CH173" s="658">
        <f>SUM(CH167:CH172)</f>
        <v/>
      </c>
      <c r="CI173" s="658">
        <f>SUM(CI167:CI172)</f>
        <v/>
      </c>
      <c r="CJ173" s="658">
        <f>SUM(CJ167:CJ172)</f>
        <v/>
      </c>
      <c r="CK173" s="658">
        <f>SUM(CK167:CK172)</f>
        <v/>
      </c>
      <c r="CL173" s="658">
        <f>SUM(CL167:CL172)</f>
        <v/>
      </c>
      <c r="CM173" s="658">
        <f>SUM(CM167:CM172)</f>
        <v/>
      </c>
      <c r="CN173" s="658">
        <f>SUM(CN167:CN172)</f>
        <v/>
      </c>
      <c r="CO173" s="658">
        <f>SUM(CO167:CO172)</f>
        <v/>
      </c>
      <c r="CP173" s="658">
        <f>SUM(CP167:CP172)</f>
        <v/>
      </c>
      <c r="CQ173" s="658">
        <f>SUM(CQ167:CQ172)</f>
        <v/>
      </c>
      <c r="CR173" s="658">
        <f>SUM(CR167:CR172)</f>
        <v/>
      </c>
      <c r="CS173" s="658">
        <f>SUM(CS167:CS172)</f>
        <v/>
      </c>
      <c r="CT173" s="658">
        <f>SUM(CT167:CT172)</f>
        <v/>
      </c>
      <c r="CU173" s="658">
        <f>SUM(CU167:CU172)</f>
        <v/>
      </c>
      <c r="CV173" s="658">
        <f>SUM(CV167:CV172)</f>
        <v/>
      </c>
      <c r="CW173" s="658">
        <f>SUM(CW167:CW172)</f>
        <v/>
      </c>
      <c r="CX173" s="658">
        <f>SUM(CX167:CX172)</f>
        <v/>
      </c>
      <c r="CY173" s="658">
        <f>SUM(CY167:CY172)</f>
        <v/>
      </c>
      <c r="CZ173" s="658">
        <f>SUM(CZ167:CZ172)</f>
        <v/>
      </c>
      <c r="DA173" s="658">
        <f>SUM(DA167:DA172)</f>
        <v/>
      </c>
      <c r="DB173" s="658">
        <f>SUM(DB167:DB172)</f>
        <v/>
      </c>
      <c r="DC173" s="658">
        <f>SUM(DC167:DC172)</f>
        <v/>
      </c>
      <c r="DD173" s="658">
        <f>SUM(DD167:DD172)</f>
        <v/>
      </c>
      <c r="DE173" s="658">
        <f>SUM(DE167:DE172)</f>
        <v/>
      </c>
      <c r="DF173" s="658">
        <f>SUM(DF167:DF172)</f>
        <v/>
      </c>
      <c r="DG173" s="658">
        <f>SUM(DG167:DG172)</f>
        <v/>
      </c>
      <c r="DH173" s="658">
        <f>SUM(DH167:DH172)</f>
        <v/>
      </c>
      <c r="DI173" s="658">
        <f>SUM(DI167:DI172)</f>
        <v/>
      </c>
      <c r="DJ173" s="658">
        <f>SUM(DJ167:DJ172)</f>
        <v/>
      </c>
      <c r="DK173" s="658">
        <f>SUM(DK167:DK172)</f>
        <v/>
      </c>
      <c r="DL173" s="658">
        <f>SUM(DL167:DL172)</f>
        <v/>
      </c>
      <c r="DM173" s="658">
        <f>SUM(DM167:DM172)</f>
        <v/>
      </c>
      <c r="DN173" s="658">
        <f>SUM(DN167:DN172)</f>
        <v/>
      </c>
      <c r="DO173" s="658">
        <f>SUM(DO167:DO172)</f>
        <v/>
      </c>
      <c r="DP173" s="658">
        <f>SUM(DP167:DP172)</f>
        <v/>
      </c>
      <c r="DQ173" s="658">
        <f>SUM(DQ167:DQ172)</f>
        <v/>
      </c>
      <c r="DR173" s="658">
        <f>SUM(DR167:DR172)</f>
        <v/>
      </c>
      <c r="DS173" s="658">
        <f>SUM(DS167:DS172)</f>
        <v/>
      </c>
      <c r="DT173" s="658">
        <f>SUM(DT167:DT172)</f>
        <v/>
      </c>
      <c r="DU173" s="658">
        <f>SUM(DU167:DU172)</f>
        <v/>
      </c>
      <c r="DV173" s="658">
        <f>SUM(DV167:DV172)</f>
        <v/>
      </c>
      <c r="DW173" s="322" t="inlineStr">
        <is>
          <t>x</t>
        </is>
      </c>
    </row>
    <row r="174" hidden="1" outlineLevel="1" ht="17.25" customHeight="1" thickTop="1">
      <c r="C174" s="360" t="n"/>
      <c r="D174" s="360" t="n"/>
      <c r="E174" s="360" t="n"/>
      <c r="F174" s="360" t="n"/>
      <c r="G174" s="360" t="n"/>
      <c r="H174" s="360" t="n"/>
      <c r="I174" s="360" t="n"/>
      <c r="J174" s="360" t="n"/>
      <c r="K174" s="360" t="n"/>
      <c r="L174" s="360" t="n"/>
      <c r="M174" s="360" t="n"/>
      <c r="N174" s="360" t="n"/>
      <c r="O174" s="360" t="n"/>
      <c r="P174" s="360" t="n"/>
      <c r="Q174" s="360" t="n"/>
      <c r="R174" s="360" t="n"/>
      <c r="S174" s="360" t="n"/>
      <c r="T174" s="360" t="n"/>
      <c r="U174" s="360" t="n"/>
      <c r="V174" s="360" t="n"/>
      <c r="W174" s="360" t="n"/>
      <c r="X174" s="360" t="n"/>
      <c r="Y174" s="360" t="n"/>
      <c r="Z174" s="360" t="n"/>
      <c r="AA174" s="360" t="n"/>
      <c r="AB174" s="360" t="n"/>
      <c r="AC174" s="360" t="n"/>
      <c r="AD174" s="360" t="n"/>
      <c r="AE174" s="360" t="n"/>
      <c r="AF174" s="360" t="n"/>
      <c r="AG174" s="360" t="n"/>
      <c r="AH174" s="360" t="n"/>
      <c r="AI174" s="360" t="n"/>
      <c r="AJ174" s="360" t="n"/>
      <c r="AK174" s="360" t="n"/>
      <c r="AL174" s="360" t="n"/>
      <c r="AM174" s="360" t="n"/>
      <c r="AN174" s="360" t="n"/>
      <c r="AO174" s="360" t="n"/>
      <c r="AP174" s="360" t="n"/>
      <c r="AQ174" s="360" t="n"/>
      <c r="AR174" s="360" t="n"/>
      <c r="AS174" s="360" t="n"/>
      <c r="AT174" s="360" t="n"/>
      <c r="AU174" s="360" t="n"/>
      <c r="AV174" s="360" t="n"/>
      <c r="AW174" s="360" t="n"/>
      <c r="AX174" s="360" t="n"/>
      <c r="AY174" s="360" t="n"/>
      <c r="AZ174" s="360" t="n"/>
      <c r="BA174" s="360" t="n"/>
      <c r="BB174" s="360" t="n"/>
      <c r="BC174" s="360" t="n"/>
      <c r="BD174" s="360" t="n"/>
      <c r="BE174" s="360" t="n"/>
      <c r="BF174" s="360" t="n"/>
      <c r="BG174" s="360" t="n"/>
      <c r="BH174" s="360" t="n"/>
      <c r="BI174" s="360" t="n"/>
      <c r="BJ174" s="360" t="n"/>
      <c r="BK174" s="360" t="n"/>
      <c r="BL174" s="360" t="n"/>
      <c r="BM174" s="360" t="n"/>
      <c r="BN174" s="360" t="n"/>
      <c r="BO174" s="360" t="n"/>
      <c r="BP174" s="360" t="n"/>
      <c r="BQ174" s="360" t="n"/>
      <c r="BR174" s="360" t="n"/>
      <c r="BS174" s="360" t="n"/>
      <c r="BT174" s="360" t="n"/>
      <c r="BU174" s="360" t="n"/>
      <c r="BV174" s="360" t="n"/>
      <c r="BW174" s="360" t="n"/>
      <c r="BX174" s="360" t="n"/>
      <c r="BY174" s="360" t="n"/>
      <c r="BZ174" s="360" t="n"/>
      <c r="CA174" s="360" t="n"/>
      <c r="CB174" s="360" t="n"/>
      <c r="CC174" s="360" t="n"/>
      <c r="CD174" s="360" t="n"/>
      <c r="CE174" s="360" t="n"/>
      <c r="CF174" s="360" t="n"/>
      <c r="CG174" s="360" t="n"/>
      <c r="CH174" s="360" t="n"/>
      <c r="CI174" s="360" t="n"/>
      <c r="CJ174" s="360" t="n"/>
      <c r="CK174" s="360" t="n"/>
      <c r="CL174" s="360" t="n"/>
      <c r="CM174" s="360" t="n"/>
      <c r="CN174" s="360" t="n"/>
      <c r="CO174" s="360" t="n"/>
      <c r="CP174" s="360" t="n"/>
      <c r="CQ174" s="360" t="n"/>
      <c r="CR174" s="360" t="n"/>
      <c r="CS174" s="360" t="n"/>
      <c r="CT174" s="360" t="n"/>
      <c r="CU174" s="360" t="n"/>
      <c r="CV174" s="360" t="n"/>
      <c r="CW174" s="360" t="n"/>
      <c r="CX174" s="360" t="n"/>
      <c r="CY174" s="360" t="n"/>
      <c r="CZ174" s="360" t="n"/>
      <c r="DA174" s="360" t="n"/>
      <c r="DB174" s="360" t="n"/>
      <c r="DC174" s="360" t="n"/>
      <c r="DD174" s="360" t="n"/>
      <c r="DE174" s="360" t="n"/>
      <c r="DF174" s="360" t="n"/>
      <c r="DG174" s="360" t="n"/>
      <c r="DH174" s="360" t="n"/>
      <c r="DI174" s="360" t="n"/>
      <c r="DJ174" s="360" t="n"/>
      <c r="DK174" s="360" t="n"/>
      <c r="DL174" s="360" t="n"/>
      <c r="DM174" s="360" t="n"/>
      <c r="DN174" s="360" t="n"/>
      <c r="DO174" s="360" t="n"/>
      <c r="DP174" s="360" t="n"/>
      <c r="DQ174" s="360" t="n"/>
      <c r="DR174" s="360" t="n"/>
      <c r="DS174" s="360" t="n"/>
      <c r="DT174" s="360" t="n"/>
      <c r="DU174" s="360" t="n"/>
      <c r="DV174" s="360" t="n"/>
      <c r="DW174" s="322" t="inlineStr">
        <is>
          <t>x</t>
        </is>
      </c>
    </row>
    <row r="175" hidden="1" outlineLevel="1">
      <c r="C175" s="382" t="inlineStr">
        <is>
          <t>Tier III - Levered Multiple Hurdle</t>
        </is>
      </c>
      <c r="D175" s="395" t="n"/>
      <c r="E175" s="471" t="n"/>
      <c r="F175" s="463" t="n"/>
      <c r="G175" s="463" t="n"/>
      <c r="H175" s="463" t="n"/>
      <c r="I175" s="463" t="n"/>
      <c r="J175" s="463" t="n"/>
      <c r="K175" s="463" t="n"/>
      <c r="L175" s="463" t="n"/>
      <c r="M175" s="463" t="n"/>
      <c r="N175" s="463" t="n"/>
      <c r="O175" s="463" t="n"/>
      <c r="P175" s="463" t="n"/>
      <c r="Q175" s="463" t="n"/>
      <c r="R175" s="463" t="n"/>
      <c r="S175" s="463" t="n"/>
      <c r="T175" s="463" t="n"/>
      <c r="U175" s="463" t="n"/>
      <c r="V175" s="463" t="n"/>
      <c r="W175" s="463" t="n"/>
      <c r="X175" s="463" t="n"/>
      <c r="Y175" s="463" t="n"/>
      <c r="Z175" s="463" t="n"/>
      <c r="AA175" s="463" t="n"/>
      <c r="AB175" s="463" t="n"/>
      <c r="AC175" s="463" t="n"/>
      <c r="AD175" s="463" t="n"/>
      <c r="AE175" s="463" t="n"/>
      <c r="AF175" s="463" t="n"/>
      <c r="AG175" s="463" t="n"/>
      <c r="AH175" s="463" t="n"/>
      <c r="AI175" s="463" t="n"/>
      <c r="AJ175" s="463" t="n"/>
      <c r="AK175" s="463" t="n"/>
      <c r="AL175" s="463" t="n"/>
      <c r="AM175" s="374" t="n"/>
      <c r="AN175" s="374" t="n"/>
      <c r="AO175" s="374" t="n"/>
      <c r="AP175" s="472" t="n"/>
      <c r="AQ175" s="472" t="n"/>
      <c r="AR175" s="472" t="n"/>
      <c r="AS175" s="472" t="n"/>
      <c r="AT175" s="472" t="n"/>
      <c r="AU175" s="472" t="n"/>
      <c r="AV175" s="473" t="inlineStr">
        <is>
          <t>x</t>
        </is>
      </c>
      <c r="AW175" s="360" t="n"/>
      <c r="AX175" s="360" t="n"/>
      <c r="AY175" s="360" t="n"/>
      <c r="AZ175" s="360" t="n"/>
      <c r="BA175" s="360" t="n"/>
      <c r="BB175" s="360" t="n"/>
      <c r="BC175" s="360" t="n"/>
      <c r="BD175" s="360" t="n"/>
      <c r="BE175" s="360" t="n"/>
      <c r="BF175" s="360" t="n"/>
      <c r="BG175" s="360" t="n"/>
      <c r="BH175" s="360" t="n"/>
      <c r="BI175" s="360" t="n"/>
      <c r="BJ175" s="360" t="n"/>
      <c r="BK175" s="360" t="n"/>
      <c r="BL175" s="360" t="n"/>
      <c r="BM175" s="360" t="n"/>
      <c r="BN175" s="360" t="n"/>
      <c r="BO175" s="360" t="n"/>
      <c r="BP175" s="360" t="n"/>
      <c r="BQ175" s="360" t="n"/>
      <c r="BR175" s="360" t="n"/>
      <c r="BS175" s="360" t="n"/>
      <c r="BT175" s="360" t="n"/>
      <c r="BU175" s="360" t="n"/>
      <c r="BV175" s="360" t="n"/>
      <c r="BW175" s="360" t="n"/>
      <c r="BX175" s="360" t="n"/>
      <c r="BY175" s="360" t="n"/>
      <c r="BZ175" s="360" t="n"/>
      <c r="CA175" s="360" t="n"/>
      <c r="CB175" s="360" t="n"/>
      <c r="CC175" s="360" t="n"/>
      <c r="CD175" s="360" t="n"/>
      <c r="CE175" s="360" t="n"/>
      <c r="CF175" s="360" t="n"/>
      <c r="CG175" s="360" t="n"/>
      <c r="CH175" s="360" t="n"/>
      <c r="CI175" s="360" t="n"/>
      <c r="CJ175" s="360" t="n"/>
      <c r="CK175" s="360" t="n"/>
      <c r="CL175" s="360" t="n"/>
      <c r="CM175" s="360" t="n"/>
      <c r="CN175" s="360" t="n"/>
      <c r="CO175" s="360" t="n"/>
      <c r="CP175" s="360" t="n"/>
      <c r="CQ175" s="360" t="n"/>
      <c r="CR175" s="360" t="n"/>
      <c r="CS175" s="360" t="n"/>
      <c r="CT175" s="360" t="n"/>
      <c r="CU175" s="360" t="n"/>
      <c r="CV175" s="360" t="n"/>
      <c r="CW175" s="360" t="n"/>
      <c r="CX175" s="360" t="n"/>
      <c r="CY175" s="360" t="n"/>
      <c r="CZ175" s="360" t="n"/>
      <c r="DA175" s="360" t="n"/>
      <c r="DB175" s="360" t="n"/>
      <c r="DC175" s="360" t="n"/>
      <c r="DD175" s="360" t="n"/>
      <c r="DE175" s="360" t="n"/>
      <c r="DF175" s="360" t="n"/>
      <c r="DG175" s="360" t="n"/>
      <c r="DH175" s="360" t="n"/>
      <c r="DI175" s="360" t="n"/>
      <c r="DJ175" s="360" t="n"/>
      <c r="DK175" s="360" t="n"/>
      <c r="DL175" s="360" t="n"/>
      <c r="DM175" s="360" t="n"/>
      <c r="DN175" s="360" t="n"/>
      <c r="DO175" s="360" t="n"/>
      <c r="DP175" s="360" t="n"/>
      <c r="DQ175" s="360" t="n"/>
      <c r="DR175" s="360" t="n"/>
      <c r="DS175" s="360" t="n"/>
      <c r="DT175" s="360" t="n"/>
      <c r="DU175" s="360" t="n"/>
      <c r="DV175" s="360" t="n"/>
      <c r="DW175" s="322" t="inlineStr">
        <is>
          <t>x</t>
        </is>
      </c>
    </row>
    <row r="176" hidden="1" outlineLevel="1">
      <c r="C176" s="374" t="inlineStr">
        <is>
          <t>Injections</t>
        </is>
      </c>
      <c r="D176" s="474" t="n"/>
      <c r="E176" s="681">
        <f>SUM(F176:AL176)</f>
        <v/>
      </c>
      <c r="F176" s="680">
        <f>F168</f>
        <v/>
      </c>
      <c r="G176" s="680">
        <f>G168</f>
        <v/>
      </c>
      <c r="H176" s="680">
        <f>H168</f>
        <v/>
      </c>
      <c r="I176" s="680">
        <f>I168</f>
        <v/>
      </c>
      <c r="J176" s="680">
        <f>J168</f>
        <v/>
      </c>
      <c r="K176" s="680">
        <f>K168</f>
        <v/>
      </c>
      <c r="L176" s="680">
        <f>L168</f>
        <v/>
      </c>
      <c r="M176" s="680">
        <f>M168</f>
        <v/>
      </c>
      <c r="N176" s="680">
        <f>N168</f>
        <v/>
      </c>
      <c r="O176" s="680">
        <f>O168</f>
        <v/>
      </c>
      <c r="P176" s="680">
        <f>P168</f>
        <v/>
      </c>
      <c r="Q176" s="680">
        <f>Q168</f>
        <v/>
      </c>
      <c r="R176" s="680">
        <f>R168</f>
        <v/>
      </c>
      <c r="S176" s="680">
        <f>S168</f>
        <v/>
      </c>
      <c r="T176" s="680">
        <f>T168</f>
        <v/>
      </c>
      <c r="U176" s="680">
        <f>U168</f>
        <v/>
      </c>
      <c r="V176" s="680">
        <f>V168</f>
        <v/>
      </c>
      <c r="W176" s="680">
        <f>W168</f>
        <v/>
      </c>
      <c r="X176" s="680">
        <f>X168</f>
        <v/>
      </c>
      <c r="Y176" s="680">
        <f>Y168</f>
        <v/>
      </c>
      <c r="Z176" s="680">
        <f>Z168</f>
        <v/>
      </c>
      <c r="AA176" s="680">
        <f>AA168</f>
        <v/>
      </c>
      <c r="AB176" s="680">
        <f>AB168</f>
        <v/>
      </c>
      <c r="AC176" s="680">
        <f>AC168</f>
        <v/>
      </c>
      <c r="AD176" s="680">
        <f>AD168</f>
        <v/>
      </c>
      <c r="AE176" s="680">
        <f>AE168</f>
        <v/>
      </c>
      <c r="AF176" s="680">
        <f>AF168</f>
        <v/>
      </c>
      <c r="AG176" s="680">
        <f>AG168</f>
        <v/>
      </c>
      <c r="AH176" s="680">
        <f>AH168</f>
        <v/>
      </c>
      <c r="AI176" s="680">
        <f>AI168</f>
        <v/>
      </c>
      <c r="AJ176" s="680">
        <f>AJ168</f>
        <v/>
      </c>
      <c r="AK176" s="680">
        <f>AK168</f>
        <v/>
      </c>
      <c r="AL176" s="680">
        <f>AL168</f>
        <v/>
      </c>
      <c r="AM176" s="680">
        <f>AM168</f>
        <v/>
      </c>
      <c r="AN176" s="680">
        <f>AN168</f>
        <v/>
      </c>
      <c r="AO176" s="680">
        <f>AO168</f>
        <v/>
      </c>
      <c r="AP176" s="680">
        <f>AP168</f>
        <v/>
      </c>
      <c r="AQ176" s="680">
        <f>AQ168</f>
        <v/>
      </c>
      <c r="AR176" s="680">
        <f>AR168</f>
        <v/>
      </c>
      <c r="AS176" s="680">
        <f>AS168</f>
        <v/>
      </c>
      <c r="AT176" s="680">
        <f>AT168</f>
        <v/>
      </c>
      <c r="AU176" s="680">
        <f>AU168</f>
        <v/>
      </c>
      <c r="AV176" s="680">
        <f>AV168</f>
        <v/>
      </c>
      <c r="AW176" s="680">
        <f>AW168</f>
        <v/>
      </c>
      <c r="AX176" s="680">
        <f>AX168</f>
        <v/>
      </c>
      <c r="AY176" s="680">
        <f>AY168</f>
        <v/>
      </c>
      <c r="AZ176" s="680">
        <f>AZ168</f>
        <v/>
      </c>
      <c r="BA176" s="680">
        <f>BA168</f>
        <v/>
      </c>
      <c r="BB176" s="680">
        <f>BB168</f>
        <v/>
      </c>
      <c r="BC176" s="680">
        <f>BC168</f>
        <v/>
      </c>
      <c r="BD176" s="680">
        <f>BD168</f>
        <v/>
      </c>
      <c r="BE176" s="680">
        <f>BE168</f>
        <v/>
      </c>
      <c r="BF176" s="680">
        <f>BF168</f>
        <v/>
      </c>
      <c r="BG176" s="680">
        <f>BG168</f>
        <v/>
      </c>
      <c r="BH176" s="680">
        <f>BH168</f>
        <v/>
      </c>
      <c r="BI176" s="680">
        <f>BI168</f>
        <v/>
      </c>
      <c r="BJ176" s="680">
        <f>BJ168</f>
        <v/>
      </c>
      <c r="BK176" s="680">
        <f>BK168</f>
        <v/>
      </c>
      <c r="BL176" s="680">
        <f>BL168</f>
        <v/>
      </c>
      <c r="BM176" s="680">
        <f>BM168</f>
        <v/>
      </c>
      <c r="BN176" s="680">
        <f>BN168</f>
        <v/>
      </c>
      <c r="BO176" s="680">
        <f>BO168</f>
        <v/>
      </c>
      <c r="BP176" s="680">
        <f>BP168</f>
        <v/>
      </c>
      <c r="BQ176" s="680">
        <f>BQ168</f>
        <v/>
      </c>
      <c r="BR176" s="680">
        <f>BR168</f>
        <v/>
      </c>
      <c r="BS176" s="680">
        <f>BS168</f>
        <v/>
      </c>
      <c r="BT176" s="680">
        <f>BT168</f>
        <v/>
      </c>
      <c r="BU176" s="680">
        <f>BU168</f>
        <v/>
      </c>
      <c r="BV176" s="680">
        <f>BV168</f>
        <v/>
      </c>
      <c r="BW176" s="680">
        <f>BW168</f>
        <v/>
      </c>
      <c r="BX176" s="680">
        <f>BX168</f>
        <v/>
      </c>
      <c r="BY176" s="680">
        <f>BY168</f>
        <v/>
      </c>
      <c r="BZ176" s="680">
        <f>BZ168</f>
        <v/>
      </c>
      <c r="CA176" s="680">
        <f>CA168</f>
        <v/>
      </c>
      <c r="CB176" s="680">
        <f>CB168</f>
        <v/>
      </c>
      <c r="CC176" s="680">
        <f>CC168</f>
        <v/>
      </c>
      <c r="CD176" s="680">
        <f>CD168</f>
        <v/>
      </c>
      <c r="CE176" s="680">
        <f>CE168</f>
        <v/>
      </c>
      <c r="CF176" s="680">
        <f>CF168</f>
        <v/>
      </c>
      <c r="CG176" s="680">
        <f>CG168</f>
        <v/>
      </c>
      <c r="CH176" s="680">
        <f>CH168</f>
        <v/>
      </c>
      <c r="CI176" s="680">
        <f>CI168</f>
        <v/>
      </c>
      <c r="CJ176" s="680">
        <f>CJ168</f>
        <v/>
      </c>
      <c r="CK176" s="680">
        <f>CK168</f>
        <v/>
      </c>
      <c r="CL176" s="680">
        <f>CL168</f>
        <v/>
      </c>
      <c r="CM176" s="680">
        <f>CM168</f>
        <v/>
      </c>
      <c r="CN176" s="680">
        <f>CN168</f>
        <v/>
      </c>
      <c r="CO176" s="680">
        <f>CO168</f>
        <v/>
      </c>
      <c r="CP176" s="680">
        <f>CP168</f>
        <v/>
      </c>
      <c r="CQ176" s="680">
        <f>CQ168</f>
        <v/>
      </c>
      <c r="CR176" s="680">
        <f>CR168</f>
        <v/>
      </c>
      <c r="CS176" s="680">
        <f>CS168</f>
        <v/>
      </c>
      <c r="CT176" s="680">
        <f>CT168</f>
        <v/>
      </c>
      <c r="CU176" s="680">
        <f>CU168</f>
        <v/>
      </c>
      <c r="CV176" s="680">
        <f>CV168</f>
        <v/>
      </c>
      <c r="CW176" s="680">
        <f>CW168</f>
        <v/>
      </c>
      <c r="CX176" s="680">
        <f>CX168</f>
        <v/>
      </c>
      <c r="CY176" s="680">
        <f>CY168</f>
        <v/>
      </c>
      <c r="CZ176" s="680">
        <f>CZ168</f>
        <v/>
      </c>
      <c r="DA176" s="680">
        <f>DA168</f>
        <v/>
      </c>
      <c r="DB176" s="680">
        <f>DB168</f>
        <v/>
      </c>
      <c r="DC176" s="680">
        <f>DC168</f>
        <v/>
      </c>
      <c r="DD176" s="680">
        <f>DD168</f>
        <v/>
      </c>
      <c r="DE176" s="680">
        <f>DE168</f>
        <v/>
      </c>
      <c r="DF176" s="680">
        <f>DF168</f>
        <v/>
      </c>
      <c r="DG176" s="680">
        <f>DG168</f>
        <v/>
      </c>
      <c r="DH176" s="680">
        <f>DH168</f>
        <v/>
      </c>
      <c r="DI176" s="680">
        <f>DI168</f>
        <v/>
      </c>
      <c r="DJ176" s="680">
        <f>DJ168</f>
        <v/>
      </c>
      <c r="DK176" s="680">
        <f>DK168</f>
        <v/>
      </c>
      <c r="DL176" s="680">
        <f>DL168</f>
        <v/>
      </c>
      <c r="DM176" s="680">
        <f>DM168</f>
        <v/>
      </c>
      <c r="DN176" s="680">
        <f>DN168</f>
        <v/>
      </c>
      <c r="DO176" s="680">
        <f>DO168</f>
        <v/>
      </c>
      <c r="DP176" s="680">
        <f>DP168</f>
        <v/>
      </c>
      <c r="DQ176" s="680">
        <f>DQ168</f>
        <v/>
      </c>
      <c r="DR176" s="680">
        <f>DR168</f>
        <v/>
      </c>
      <c r="DS176" s="680">
        <f>DS168</f>
        <v/>
      </c>
      <c r="DT176" s="680">
        <f>DT168</f>
        <v/>
      </c>
      <c r="DU176" s="680">
        <f>DU168</f>
        <v/>
      </c>
      <c r="DV176" s="680">
        <f>DV168</f>
        <v/>
      </c>
      <c r="DW176" s="322" t="inlineStr">
        <is>
          <t>x</t>
        </is>
      </c>
    </row>
    <row r="177" hidden="1" outlineLevel="1">
      <c r="C177" s="374" t="inlineStr">
        <is>
          <t>Beginning Balance</t>
        </is>
      </c>
      <c r="D177" s="484" t="n"/>
      <c r="E177" s="463" t="n"/>
      <c r="F177" s="679" t="n">
        <v>0</v>
      </c>
      <c r="G177" s="681">
        <f>F182</f>
        <v/>
      </c>
      <c r="H177" s="681">
        <f>G182</f>
        <v/>
      </c>
      <c r="I177" s="681">
        <f>H182</f>
        <v/>
      </c>
      <c r="J177" s="681">
        <f>I182</f>
        <v/>
      </c>
      <c r="K177" s="681">
        <f>J182</f>
        <v/>
      </c>
      <c r="L177" s="681">
        <f>K182</f>
        <v/>
      </c>
      <c r="M177" s="681">
        <f>L182</f>
        <v/>
      </c>
      <c r="N177" s="681">
        <f>M182</f>
        <v/>
      </c>
      <c r="O177" s="681">
        <f>N182</f>
        <v/>
      </c>
      <c r="P177" s="681">
        <f>O182</f>
        <v/>
      </c>
      <c r="Q177" s="681">
        <f>P182</f>
        <v/>
      </c>
      <c r="R177" s="681">
        <f>Q182</f>
        <v/>
      </c>
      <c r="S177" s="681">
        <f>R182</f>
        <v/>
      </c>
      <c r="T177" s="681">
        <f>S182</f>
        <v/>
      </c>
      <c r="U177" s="681">
        <f>T182</f>
        <v/>
      </c>
      <c r="V177" s="681">
        <f>U182</f>
        <v/>
      </c>
      <c r="W177" s="681">
        <f>V182</f>
        <v/>
      </c>
      <c r="X177" s="681">
        <f>W182</f>
        <v/>
      </c>
      <c r="Y177" s="681">
        <f>X182</f>
        <v/>
      </c>
      <c r="Z177" s="681">
        <f>Y182</f>
        <v/>
      </c>
      <c r="AA177" s="681">
        <f>Z182</f>
        <v/>
      </c>
      <c r="AB177" s="681">
        <f>AA182</f>
        <v/>
      </c>
      <c r="AC177" s="681">
        <f>AB182</f>
        <v/>
      </c>
      <c r="AD177" s="681">
        <f>AC182</f>
        <v/>
      </c>
      <c r="AE177" s="681">
        <f>AD182</f>
        <v/>
      </c>
      <c r="AF177" s="681">
        <f>AE182</f>
        <v/>
      </c>
      <c r="AG177" s="681">
        <f>AF182</f>
        <v/>
      </c>
      <c r="AH177" s="681">
        <f>AG182</f>
        <v/>
      </c>
      <c r="AI177" s="681">
        <f>AH182</f>
        <v/>
      </c>
      <c r="AJ177" s="681">
        <f>AI182</f>
        <v/>
      </c>
      <c r="AK177" s="681">
        <f>AJ182</f>
        <v/>
      </c>
      <c r="AL177" s="681">
        <f>AK182</f>
        <v/>
      </c>
      <c r="AM177" s="681">
        <f>AL182</f>
        <v/>
      </c>
      <c r="AN177" s="681">
        <f>AM182</f>
        <v/>
      </c>
      <c r="AO177" s="681">
        <f>AN182</f>
        <v/>
      </c>
      <c r="AP177" s="681">
        <f>AO182</f>
        <v/>
      </c>
      <c r="AQ177" s="681">
        <f>AP182</f>
        <v/>
      </c>
      <c r="AR177" s="681">
        <f>AQ182</f>
        <v/>
      </c>
      <c r="AS177" s="681">
        <f>AR182</f>
        <v/>
      </c>
      <c r="AT177" s="681">
        <f>AS182</f>
        <v/>
      </c>
      <c r="AU177" s="681">
        <f>AT182</f>
        <v/>
      </c>
      <c r="AV177" s="681">
        <f>AU182</f>
        <v/>
      </c>
      <c r="AW177" s="681">
        <f>AV182</f>
        <v/>
      </c>
      <c r="AX177" s="681">
        <f>AW182</f>
        <v/>
      </c>
      <c r="AY177" s="681">
        <f>AX182</f>
        <v/>
      </c>
      <c r="AZ177" s="681">
        <f>AY182</f>
        <v/>
      </c>
      <c r="BA177" s="681">
        <f>AZ182</f>
        <v/>
      </c>
      <c r="BB177" s="681">
        <f>BA182</f>
        <v/>
      </c>
      <c r="BC177" s="681">
        <f>BB182</f>
        <v/>
      </c>
      <c r="BD177" s="681">
        <f>BC182</f>
        <v/>
      </c>
      <c r="BE177" s="681">
        <f>BD182</f>
        <v/>
      </c>
      <c r="BF177" s="681">
        <f>BE182</f>
        <v/>
      </c>
      <c r="BG177" s="681">
        <f>BF182</f>
        <v/>
      </c>
      <c r="BH177" s="681">
        <f>BG182</f>
        <v/>
      </c>
      <c r="BI177" s="681">
        <f>BH182</f>
        <v/>
      </c>
      <c r="BJ177" s="681">
        <f>BI182</f>
        <v/>
      </c>
      <c r="BK177" s="681">
        <f>BJ182</f>
        <v/>
      </c>
      <c r="BL177" s="681">
        <f>BK182</f>
        <v/>
      </c>
      <c r="BM177" s="681">
        <f>BL182</f>
        <v/>
      </c>
      <c r="BN177" s="681">
        <f>BM182</f>
        <v/>
      </c>
      <c r="BO177" s="681">
        <f>BN182</f>
        <v/>
      </c>
      <c r="BP177" s="681">
        <f>BO182</f>
        <v/>
      </c>
      <c r="BQ177" s="681">
        <f>BP182</f>
        <v/>
      </c>
      <c r="BR177" s="681">
        <f>BQ182</f>
        <v/>
      </c>
      <c r="BS177" s="681">
        <f>BR182</f>
        <v/>
      </c>
      <c r="BT177" s="681">
        <f>BS182</f>
        <v/>
      </c>
      <c r="BU177" s="681">
        <f>BT182</f>
        <v/>
      </c>
      <c r="BV177" s="681">
        <f>BU182</f>
        <v/>
      </c>
      <c r="BW177" s="681">
        <f>BV182</f>
        <v/>
      </c>
      <c r="BX177" s="681">
        <f>BW182</f>
        <v/>
      </c>
      <c r="BY177" s="681">
        <f>BX182</f>
        <v/>
      </c>
      <c r="BZ177" s="681">
        <f>BY182</f>
        <v/>
      </c>
      <c r="CA177" s="681">
        <f>BZ182</f>
        <v/>
      </c>
      <c r="CB177" s="681">
        <f>CA182</f>
        <v/>
      </c>
      <c r="CC177" s="681">
        <f>CB182</f>
        <v/>
      </c>
      <c r="CD177" s="681">
        <f>CC182</f>
        <v/>
      </c>
      <c r="CE177" s="681">
        <f>CD182</f>
        <v/>
      </c>
      <c r="CF177" s="681">
        <f>CE182</f>
        <v/>
      </c>
      <c r="CG177" s="681">
        <f>CF182</f>
        <v/>
      </c>
      <c r="CH177" s="681">
        <f>CG182</f>
        <v/>
      </c>
      <c r="CI177" s="681">
        <f>CH182</f>
        <v/>
      </c>
      <c r="CJ177" s="681">
        <f>CI182</f>
        <v/>
      </c>
      <c r="CK177" s="681">
        <f>CJ182</f>
        <v/>
      </c>
      <c r="CL177" s="681">
        <f>CK182</f>
        <v/>
      </c>
      <c r="CM177" s="681">
        <f>CL182</f>
        <v/>
      </c>
      <c r="CN177" s="681">
        <f>CM182</f>
        <v/>
      </c>
      <c r="CO177" s="681">
        <f>CN182</f>
        <v/>
      </c>
      <c r="CP177" s="681">
        <f>CO182</f>
        <v/>
      </c>
      <c r="CQ177" s="681">
        <f>CP182</f>
        <v/>
      </c>
      <c r="CR177" s="681">
        <f>CQ182</f>
        <v/>
      </c>
      <c r="CS177" s="681">
        <f>CR182</f>
        <v/>
      </c>
      <c r="CT177" s="681">
        <f>CS182</f>
        <v/>
      </c>
      <c r="CU177" s="681">
        <f>CT182</f>
        <v/>
      </c>
      <c r="CV177" s="681">
        <f>CU182</f>
        <v/>
      </c>
      <c r="CW177" s="681">
        <f>CV182</f>
        <v/>
      </c>
      <c r="CX177" s="681">
        <f>CW182</f>
        <v/>
      </c>
      <c r="CY177" s="681">
        <f>CX182</f>
        <v/>
      </c>
      <c r="CZ177" s="681">
        <f>CY182</f>
        <v/>
      </c>
      <c r="DA177" s="681">
        <f>CZ182</f>
        <v/>
      </c>
      <c r="DB177" s="681">
        <f>DA182</f>
        <v/>
      </c>
      <c r="DC177" s="681">
        <f>DB182</f>
        <v/>
      </c>
      <c r="DD177" s="681">
        <f>DC182</f>
        <v/>
      </c>
      <c r="DE177" s="681">
        <f>DD182</f>
        <v/>
      </c>
      <c r="DF177" s="681">
        <f>DE182</f>
        <v/>
      </c>
      <c r="DG177" s="681">
        <f>DF182</f>
        <v/>
      </c>
      <c r="DH177" s="681">
        <f>DG182</f>
        <v/>
      </c>
      <c r="DI177" s="681">
        <f>DH182</f>
        <v/>
      </c>
      <c r="DJ177" s="681">
        <f>DI182</f>
        <v/>
      </c>
      <c r="DK177" s="681">
        <f>DJ182</f>
        <v/>
      </c>
      <c r="DL177" s="681">
        <f>DK182</f>
        <v/>
      </c>
      <c r="DM177" s="681">
        <f>DL182</f>
        <v/>
      </c>
      <c r="DN177" s="681">
        <f>DM182</f>
        <v/>
      </c>
      <c r="DO177" s="681">
        <f>DN182</f>
        <v/>
      </c>
      <c r="DP177" s="681">
        <f>DO182</f>
        <v/>
      </c>
      <c r="DQ177" s="681">
        <f>DP182</f>
        <v/>
      </c>
      <c r="DR177" s="681">
        <f>DQ182</f>
        <v/>
      </c>
      <c r="DS177" s="681">
        <f>DR182</f>
        <v/>
      </c>
      <c r="DT177" s="681">
        <f>DS182</f>
        <v/>
      </c>
      <c r="DU177" s="681">
        <f>DT182</f>
        <v/>
      </c>
      <c r="DV177" s="681">
        <f>DU182</f>
        <v/>
      </c>
      <c r="DW177" s="322" t="inlineStr">
        <is>
          <t>x</t>
        </is>
      </c>
    </row>
    <row r="178" hidden="1" outlineLevel="1">
      <c r="C178" s="476" t="inlineStr">
        <is>
          <t>Investor Accrual</t>
        </is>
      </c>
      <c r="D178" s="477">
        <f>F40</f>
        <v/>
      </c>
      <c r="E178" s="463">
        <f>SUM(F178:AL178)</f>
        <v/>
      </c>
      <c r="F178" s="468">
        <f>F176*$D$178</f>
        <v/>
      </c>
      <c r="G178" s="468">
        <f>G176*$D$178</f>
        <v/>
      </c>
      <c r="H178" s="468">
        <f>H176*$D$178</f>
        <v/>
      </c>
      <c r="I178" s="468">
        <f>I176*$D$178</f>
        <v/>
      </c>
      <c r="J178" s="468">
        <f>J176*$D$178</f>
        <v/>
      </c>
      <c r="K178" s="468">
        <f>K176*$D$178</f>
        <v/>
      </c>
      <c r="L178" s="468">
        <f>L176*$D$178</f>
        <v/>
      </c>
      <c r="M178" s="468">
        <f>M176*$D$178</f>
        <v/>
      </c>
      <c r="N178" s="468">
        <f>N176*$D$178</f>
        <v/>
      </c>
      <c r="O178" s="468">
        <f>O176*$D$178</f>
        <v/>
      </c>
      <c r="P178" s="468">
        <f>P176*$D$178</f>
        <v/>
      </c>
      <c r="Q178" s="468">
        <f>Q176*$D$178</f>
        <v/>
      </c>
      <c r="R178" s="468">
        <f>R176*$D$178</f>
        <v/>
      </c>
      <c r="S178" s="468">
        <f>S176*$D$178</f>
        <v/>
      </c>
      <c r="T178" s="468">
        <f>T176*$D$178</f>
        <v/>
      </c>
      <c r="U178" s="468">
        <f>U176*$D$178</f>
        <v/>
      </c>
      <c r="V178" s="468">
        <f>V176*$D$178</f>
        <v/>
      </c>
      <c r="W178" s="468">
        <f>W176*$D$178</f>
        <v/>
      </c>
      <c r="X178" s="468">
        <f>X176*$D$178</f>
        <v/>
      </c>
      <c r="Y178" s="468">
        <f>Y176*$D$178</f>
        <v/>
      </c>
      <c r="Z178" s="468">
        <f>Z176*$D$178</f>
        <v/>
      </c>
      <c r="AA178" s="468">
        <f>AA176*$D$178</f>
        <v/>
      </c>
      <c r="AB178" s="468">
        <f>AB176*$D$178</f>
        <v/>
      </c>
      <c r="AC178" s="468">
        <f>AC176*$D$178</f>
        <v/>
      </c>
      <c r="AD178" s="468">
        <f>AD176*$D$178</f>
        <v/>
      </c>
      <c r="AE178" s="468">
        <f>AE176*$D$178</f>
        <v/>
      </c>
      <c r="AF178" s="468">
        <f>AF176*$D$178</f>
        <v/>
      </c>
      <c r="AG178" s="468">
        <f>AG176*$D$178</f>
        <v/>
      </c>
      <c r="AH178" s="468">
        <f>AH176*$D$178</f>
        <v/>
      </c>
      <c r="AI178" s="468">
        <f>AI176*$D$178</f>
        <v/>
      </c>
      <c r="AJ178" s="468">
        <f>AJ176*$D$178</f>
        <v/>
      </c>
      <c r="AK178" s="468">
        <f>AK176*$D$178</f>
        <v/>
      </c>
      <c r="AL178" s="468">
        <f>AL176*$D$178</f>
        <v/>
      </c>
      <c r="AM178" s="468">
        <f>AM176*$D$178</f>
        <v/>
      </c>
      <c r="AN178" s="468">
        <f>AN176*$D$178</f>
        <v/>
      </c>
      <c r="AO178" s="468">
        <f>AO176*$D$178</f>
        <v/>
      </c>
      <c r="AP178" s="468">
        <f>AP176*$D$178</f>
        <v/>
      </c>
      <c r="AQ178" s="468">
        <f>AQ176*$D$178</f>
        <v/>
      </c>
      <c r="AR178" s="468">
        <f>AR176*$D$178</f>
        <v/>
      </c>
      <c r="AS178" s="468">
        <f>AS176*$D$178</f>
        <v/>
      </c>
      <c r="AT178" s="468">
        <f>AT176*$D$178</f>
        <v/>
      </c>
      <c r="AU178" s="468">
        <f>AU176*$D$178</f>
        <v/>
      </c>
      <c r="AV178" s="468">
        <f>AV176*$D$178</f>
        <v/>
      </c>
      <c r="AW178" s="468">
        <f>AW176*$D$178</f>
        <v/>
      </c>
      <c r="AX178" s="468">
        <f>AX176*$D$178</f>
        <v/>
      </c>
      <c r="AY178" s="468">
        <f>AY176*$D$178</f>
        <v/>
      </c>
      <c r="AZ178" s="468">
        <f>AZ176*$D$178</f>
        <v/>
      </c>
      <c r="BA178" s="468">
        <f>BA176*$D$178</f>
        <v/>
      </c>
      <c r="BB178" s="468">
        <f>BB176*$D$178</f>
        <v/>
      </c>
      <c r="BC178" s="468">
        <f>BC176*$D$178</f>
        <v/>
      </c>
      <c r="BD178" s="468">
        <f>BD176*$D$178</f>
        <v/>
      </c>
      <c r="BE178" s="468">
        <f>BE176*$D$178</f>
        <v/>
      </c>
      <c r="BF178" s="468">
        <f>BF176*$D$178</f>
        <v/>
      </c>
      <c r="BG178" s="468">
        <f>BG176*$D$178</f>
        <v/>
      </c>
      <c r="BH178" s="468">
        <f>BH176*$D$178</f>
        <v/>
      </c>
      <c r="BI178" s="468">
        <f>BI176*$D$178</f>
        <v/>
      </c>
      <c r="BJ178" s="468">
        <f>BJ176*$D$178</f>
        <v/>
      </c>
      <c r="BK178" s="468">
        <f>BK176*$D$178</f>
        <v/>
      </c>
      <c r="BL178" s="468">
        <f>BL176*$D$178</f>
        <v/>
      </c>
      <c r="BM178" s="468">
        <f>BM176*$D$178</f>
        <v/>
      </c>
      <c r="BN178" s="468">
        <f>BN176*$D$178</f>
        <v/>
      </c>
      <c r="BO178" s="468">
        <f>BO176*$D$178</f>
        <v/>
      </c>
      <c r="BP178" s="468">
        <f>BP176*$D$178</f>
        <v/>
      </c>
      <c r="BQ178" s="468">
        <f>BQ176*$D$178</f>
        <v/>
      </c>
      <c r="BR178" s="468">
        <f>BR176*$D$178</f>
        <v/>
      </c>
      <c r="BS178" s="468">
        <f>BS176*$D$178</f>
        <v/>
      </c>
      <c r="BT178" s="468">
        <f>BT176*$D$178</f>
        <v/>
      </c>
      <c r="BU178" s="468">
        <f>BU176*$D$178</f>
        <v/>
      </c>
      <c r="BV178" s="468">
        <f>BV176*$D$178</f>
        <v/>
      </c>
      <c r="BW178" s="468">
        <f>BW176*$D$178</f>
        <v/>
      </c>
      <c r="BX178" s="468">
        <f>BX176*$D$178</f>
        <v/>
      </c>
      <c r="BY178" s="468">
        <f>BY176*$D$178</f>
        <v/>
      </c>
      <c r="BZ178" s="468">
        <f>BZ176*$D$178</f>
        <v/>
      </c>
      <c r="CA178" s="468">
        <f>CA176*$D$178</f>
        <v/>
      </c>
      <c r="CB178" s="468">
        <f>CB176*$D$178</f>
        <v/>
      </c>
      <c r="CC178" s="468">
        <f>CC176*$D$178</f>
        <v/>
      </c>
      <c r="CD178" s="468">
        <f>CD176*$D$178</f>
        <v/>
      </c>
      <c r="CE178" s="468">
        <f>CE176*$D$178</f>
        <v/>
      </c>
      <c r="CF178" s="468">
        <f>CF176*$D$178</f>
        <v/>
      </c>
      <c r="CG178" s="468">
        <f>CG176*$D$178</f>
        <v/>
      </c>
      <c r="CH178" s="468">
        <f>CH176*$D$178</f>
        <v/>
      </c>
      <c r="CI178" s="468">
        <f>CI176*$D$178</f>
        <v/>
      </c>
      <c r="CJ178" s="468">
        <f>CJ176*$D$178</f>
        <v/>
      </c>
      <c r="CK178" s="468">
        <f>CK176*$D$178</f>
        <v/>
      </c>
      <c r="CL178" s="468">
        <f>CL176*$D$178</f>
        <v/>
      </c>
      <c r="CM178" s="468">
        <f>CM176*$D$178</f>
        <v/>
      </c>
      <c r="CN178" s="468">
        <f>CN176*$D$178</f>
        <v/>
      </c>
      <c r="CO178" s="468">
        <f>CO176*$D$178</f>
        <v/>
      </c>
      <c r="CP178" s="468">
        <f>CP176*$D$178</f>
        <v/>
      </c>
      <c r="CQ178" s="468">
        <f>CQ176*$D$178</f>
        <v/>
      </c>
      <c r="CR178" s="468">
        <f>CR176*$D$178</f>
        <v/>
      </c>
      <c r="CS178" s="468">
        <f>CS176*$D$178</f>
        <v/>
      </c>
      <c r="CT178" s="468">
        <f>CT176*$D$178</f>
        <v/>
      </c>
      <c r="CU178" s="468">
        <f>CU176*$D$178</f>
        <v/>
      </c>
      <c r="CV178" s="468">
        <f>CV176*$D$178</f>
        <v/>
      </c>
      <c r="CW178" s="468">
        <f>CW176*$D$178</f>
        <v/>
      </c>
      <c r="CX178" s="468">
        <f>CX176*$D$178</f>
        <v/>
      </c>
      <c r="CY178" s="468">
        <f>CY176*$D$178</f>
        <v/>
      </c>
      <c r="CZ178" s="468">
        <f>CZ176*$D$178</f>
        <v/>
      </c>
      <c r="DA178" s="468">
        <f>DA176*$D$178</f>
        <v/>
      </c>
      <c r="DB178" s="468">
        <f>DB176*$D$178</f>
        <v/>
      </c>
      <c r="DC178" s="468">
        <f>DC176*$D$178</f>
        <v/>
      </c>
      <c r="DD178" s="468">
        <f>DD176*$D$178</f>
        <v/>
      </c>
      <c r="DE178" s="468">
        <f>DE176*$D$178</f>
        <v/>
      </c>
      <c r="DF178" s="468">
        <f>DF176*$D$178</f>
        <v/>
      </c>
      <c r="DG178" s="468">
        <f>DG176*$D$178</f>
        <v/>
      </c>
      <c r="DH178" s="468">
        <f>DH176*$D$178</f>
        <v/>
      </c>
      <c r="DI178" s="468">
        <f>DI176*$D$178</f>
        <v/>
      </c>
      <c r="DJ178" s="468">
        <f>DJ176*$D$178</f>
        <v/>
      </c>
      <c r="DK178" s="468">
        <f>DK176*$D$178</f>
        <v/>
      </c>
      <c r="DL178" s="468">
        <f>DL176*$D$178</f>
        <v/>
      </c>
      <c r="DM178" s="468">
        <f>DM176*$D$178</f>
        <v/>
      </c>
      <c r="DN178" s="468">
        <f>DN176*$D$178</f>
        <v/>
      </c>
      <c r="DO178" s="468">
        <f>DO176*$D$178</f>
        <v/>
      </c>
      <c r="DP178" s="468">
        <f>DP176*$D$178</f>
        <v/>
      </c>
      <c r="DQ178" s="468">
        <f>DQ176*$D$178</f>
        <v/>
      </c>
      <c r="DR178" s="468">
        <f>DR176*$D$178</f>
        <v/>
      </c>
      <c r="DS178" s="468">
        <f>DS176*$D$178</f>
        <v/>
      </c>
      <c r="DT178" s="468">
        <f>DT176*$D$178</f>
        <v/>
      </c>
      <c r="DU178" s="468">
        <f>DU176*$D$178</f>
        <v/>
      </c>
      <c r="DV178" s="468">
        <f>DV176*$D$178</f>
        <v/>
      </c>
      <c r="DW178" s="322" t="inlineStr">
        <is>
          <t>x</t>
        </is>
      </c>
    </row>
    <row r="179" hidden="1" outlineLevel="1">
      <c r="C179" s="682">
        <f>C170</f>
        <v/>
      </c>
      <c r="D179" s="478" t="n"/>
      <c r="E179" s="463">
        <f>SUM(F179:AL179)</f>
        <v/>
      </c>
      <c r="F179" s="468">
        <f>F170</f>
        <v/>
      </c>
      <c r="G179" s="468">
        <f>G170</f>
        <v/>
      </c>
      <c r="H179" s="468">
        <f>H170</f>
        <v/>
      </c>
      <c r="I179" s="468">
        <f>I170</f>
        <v/>
      </c>
      <c r="J179" s="468">
        <f>J170</f>
        <v/>
      </c>
      <c r="K179" s="468">
        <f>K170</f>
        <v/>
      </c>
      <c r="L179" s="468">
        <f>L170</f>
        <v/>
      </c>
      <c r="M179" s="468">
        <f>M170</f>
        <v/>
      </c>
      <c r="N179" s="468">
        <f>N170</f>
        <v/>
      </c>
      <c r="O179" s="468">
        <f>O170</f>
        <v/>
      </c>
      <c r="P179" s="468">
        <f>P170</f>
        <v/>
      </c>
      <c r="Q179" s="468">
        <f>Q170</f>
        <v/>
      </c>
      <c r="R179" s="468">
        <f>R170</f>
        <v/>
      </c>
      <c r="S179" s="468">
        <f>S170</f>
        <v/>
      </c>
      <c r="T179" s="468">
        <f>T170</f>
        <v/>
      </c>
      <c r="U179" s="468">
        <f>U170</f>
        <v/>
      </c>
      <c r="V179" s="468">
        <f>V170</f>
        <v/>
      </c>
      <c r="W179" s="468">
        <f>W170</f>
        <v/>
      </c>
      <c r="X179" s="468">
        <f>X170</f>
        <v/>
      </c>
      <c r="Y179" s="468">
        <f>Y170</f>
        <v/>
      </c>
      <c r="Z179" s="468">
        <f>Z170</f>
        <v/>
      </c>
      <c r="AA179" s="468">
        <f>AA170</f>
        <v/>
      </c>
      <c r="AB179" s="468">
        <f>AB170</f>
        <v/>
      </c>
      <c r="AC179" s="468">
        <f>AC170</f>
        <v/>
      </c>
      <c r="AD179" s="468">
        <f>AD170</f>
        <v/>
      </c>
      <c r="AE179" s="468">
        <f>AE170</f>
        <v/>
      </c>
      <c r="AF179" s="468">
        <f>AF170</f>
        <v/>
      </c>
      <c r="AG179" s="468">
        <f>AG170</f>
        <v/>
      </c>
      <c r="AH179" s="468">
        <f>AH170</f>
        <v/>
      </c>
      <c r="AI179" s="468">
        <f>AI170</f>
        <v/>
      </c>
      <c r="AJ179" s="468">
        <f>AJ170</f>
        <v/>
      </c>
      <c r="AK179" s="468">
        <f>AK170</f>
        <v/>
      </c>
      <c r="AL179" s="468">
        <f>AL170</f>
        <v/>
      </c>
      <c r="AM179" s="468">
        <f>AM170</f>
        <v/>
      </c>
      <c r="AN179" s="468">
        <f>AN170</f>
        <v/>
      </c>
      <c r="AO179" s="468">
        <f>AO170</f>
        <v/>
      </c>
      <c r="AP179" s="468">
        <f>AP170</f>
        <v/>
      </c>
      <c r="AQ179" s="468">
        <f>AQ170</f>
        <v/>
      </c>
      <c r="AR179" s="468">
        <f>AR170</f>
        <v/>
      </c>
      <c r="AS179" s="468">
        <f>AS170</f>
        <v/>
      </c>
      <c r="AT179" s="468">
        <f>AT170</f>
        <v/>
      </c>
      <c r="AU179" s="468">
        <f>AU170</f>
        <v/>
      </c>
      <c r="AV179" s="468">
        <f>AV170</f>
        <v/>
      </c>
      <c r="AW179" s="468">
        <f>AW170</f>
        <v/>
      </c>
      <c r="AX179" s="468">
        <f>AX170</f>
        <v/>
      </c>
      <c r="AY179" s="468">
        <f>AY170</f>
        <v/>
      </c>
      <c r="AZ179" s="468">
        <f>AZ170</f>
        <v/>
      </c>
      <c r="BA179" s="468">
        <f>BA170</f>
        <v/>
      </c>
      <c r="BB179" s="468">
        <f>BB170</f>
        <v/>
      </c>
      <c r="BC179" s="468">
        <f>BC170</f>
        <v/>
      </c>
      <c r="BD179" s="468">
        <f>BD170</f>
        <v/>
      </c>
      <c r="BE179" s="468">
        <f>BE170</f>
        <v/>
      </c>
      <c r="BF179" s="468">
        <f>BF170</f>
        <v/>
      </c>
      <c r="BG179" s="468">
        <f>BG170</f>
        <v/>
      </c>
      <c r="BH179" s="468">
        <f>BH170</f>
        <v/>
      </c>
      <c r="BI179" s="468">
        <f>BI170</f>
        <v/>
      </c>
      <c r="BJ179" s="468">
        <f>BJ170</f>
        <v/>
      </c>
      <c r="BK179" s="468">
        <f>BK170</f>
        <v/>
      </c>
      <c r="BL179" s="468">
        <f>BL170</f>
        <v/>
      </c>
      <c r="BM179" s="468">
        <f>BM170</f>
        <v/>
      </c>
      <c r="BN179" s="468">
        <f>BN170</f>
        <v/>
      </c>
      <c r="BO179" s="468">
        <f>BO170</f>
        <v/>
      </c>
      <c r="BP179" s="468">
        <f>BP170</f>
        <v/>
      </c>
      <c r="BQ179" s="468">
        <f>BQ170</f>
        <v/>
      </c>
      <c r="BR179" s="468">
        <f>BR170</f>
        <v/>
      </c>
      <c r="BS179" s="468">
        <f>BS170</f>
        <v/>
      </c>
      <c r="BT179" s="468">
        <f>BT170</f>
        <v/>
      </c>
      <c r="BU179" s="468">
        <f>BU170</f>
        <v/>
      </c>
      <c r="BV179" s="468">
        <f>BV170</f>
        <v/>
      </c>
      <c r="BW179" s="468">
        <f>BW170</f>
        <v/>
      </c>
      <c r="BX179" s="468">
        <f>BX170</f>
        <v/>
      </c>
      <c r="BY179" s="468">
        <f>BY170</f>
        <v/>
      </c>
      <c r="BZ179" s="468">
        <f>BZ170</f>
        <v/>
      </c>
      <c r="CA179" s="468">
        <f>CA170</f>
        <v/>
      </c>
      <c r="CB179" s="468">
        <f>CB170</f>
        <v/>
      </c>
      <c r="CC179" s="468">
        <f>CC170</f>
        <v/>
      </c>
      <c r="CD179" s="468">
        <f>CD170</f>
        <v/>
      </c>
      <c r="CE179" s="468">
        <f>CE170</f>
        <v/>
      </c>
      <c r="CF179" s="468">
        <f>CF170</f>
        <v/>
      </c>
      <c r="CG179" s="468">
        <f>CG170</f>
        <v/>
      </c>
      <c r="CH179" s="468">
        <f>CH170</f>
        <v/>
      </c>
      <c r="CI179" s="468">
        <f>CI170</f>
        <v/>
      </c>
      <c r="CJ179" s="468">
        <f>CJ170</f>
        <v/>
      </c>
      <c r="CK179" s="468">
        <f>CK170</f>
        <v/>
      </c>
      <c r="CL179" s="468">
        <f>CL170</f>
        <v/>
      </c>
      <c r="CM179" s="468">
        <f>CM170</f>
        <v/>
      </c>
      <c r="CN179" s="468">
        <f>CN170</f>
        <v/>
      </c>
      <c r="CO179" s="468">
        <f>CO170</f>
        <v/>
      </c>
      <c r="CP179" s="468">
        <f>CP170</f>
        <v/>
      </c>
      <c r="CQ179" s="468">
        <f>CQ170</f>
        <v/>
      </c>
      <c r="CR179" s="468">
        <f>CR170</f>
        <v/>
      </c>
      <c r="CS179" s="468">
        <f>CS170</f>
        <v/>
      </c>
      <c r="CT179" s="468">
        <f>CT170</f>
        <v/>
      </c>
      <c r="CU179" s="468">
        <f>CU170</f>
        <v/>
      </c>
      <c r="CV179" s="468">
        <f>CV170</f>
        <v/>
      </c>
      <c r="CW179" s="468">
        <f>CW170</f>
        <v/>
      </c>
      <c r="CX179" s="468">
        <f>CX170</f>
        <v/>
      </c>
      <c r="CY179" s="468">
        <f>CY170</f>
        <v/>
      </c>
      <c r="CZ179" s="468">
        <f>CZ170</f>
        <v/>
      </c>
      <c r="DA179" s="468">
        <f>DA170</f>
        <v/>
      </c>
      <c r="DB179" s="468">
        <f>DB170</f>
        <v/>
      </c>
      <c r="DC179" s="468">
        <f>DC170</f>
        <v/>
      </c>
      <c r="DD179" s="468">
        <f>DD170</f>
        <v/>
      </c>
      <c r="DE179" s="468">
        <f>DE170</f>
        <v/>
      </c>
      <c r="DF179" s="468">
        <f>DF170</f>
        <v/>
      </c>
      <c r="DG179" s="468">
        <f>DG170</f>
        <v/>
      </c>
      <c r="DH179" s="468">
        <f>DH170</f>
        <v/>
      </c>
      <c r="DI179" s="468">
        <f>DI170</f>
        <v/>
      </c>
      <c r="DJ179" s="468">
        <f>DJ170</f>
        <v/>
      </c>
      <c r="DK179" s="468">
        <f>DK170</f>
        <v/>
      </c>
      <c r="DL179" s="468">
        <f>DL170</f>
        <v/>
      </c>
      <c r="DM179" s="468">
        <f>DM170</f>
        <v/>
      </c>
      <c r="DN179" s="468">
        <f>DN170</f>
        <v/>
      </c>
      <c r="DO179" s="468">
        <f>DO170</f>
        <v/>
      </c>
      <c r="DP179" s="468">
        <f>DP170</f>
        <v/>
      </c>
      <c r="DQ179" s="468">
        <f>DQ170</f>
        <v/>
      </c>
      <c r="DR179" s="468">
        <f>DR170</f>
        <v/>
      </c>
      <c r="DS179" s="468">
        <f>DS170</f>
        <v/>
      </c>
      <c r="DT179" s="468">
        <f>DT170</f>
        <v/>
      </c>
      <c r="DU179" s="468">
        <f>DU170</f>
        <v/>
      </c>
      <c r="DV179" s="468">
        <f>DV170</f>
        <v/>
      </c>
      <c r="DW179" s="322" t="inlineStr">
        <is>
          <t>x</t>
        </is>
      </c>
    </row>
    <row r="180" hidden="1" outlineLevel="1">
      <c r="C180" s="476">
        <f>C171</f>
        <v/>
      </c>
      <c r="D180" s="478" t="n"/>
      <c r="E180" s="463" t="n"/>
      <c r="F180" s="468">
        <f>F171</f>
        <v/>
      </c>
      <c r="G180" s="468">
        <f>G171</f>
        <v/>
      </c>
      <c r="H180" s="468">
        <f>H171</f>
        <v/>
      </c>
      <c r="I180" s="468">
        <f>I171</f>
        <v/>
      </c>
      <c r="J180" s="468">
        <f>J171</f>
        <v/>
      </c>
      <c r="K180" s="468">
        <f>K171</f>
        <v/>
      </c>
      <c r="L180" s="468">
        <f>L171</f>
        <v/>
      </c>
      <c r="M180" s="468">
        <f>M171</f>
        <v/>
      </c>
      <c r="N180" s="468">
        <f>N171</f>
        <v/>
      </c>
      <c r="O180" s="468">
        <f>O171</f>
        <v/>
      </c>
      <c r="P180" s="468">
        <f>P171</f>
        <v/>
      </c>
      <c r="Q180" s="468">
        <f>Q171</f>
        <v/>
      </c>
      <c r="R180" s="468">
        <f>R171</f>
        <v/>
      </c>
      <c r="S180" s="468">
        <f>S171</f>
        <v/>
      </c>
      <c r="T180" s="468">
        <f>T171</f>
        <v/>
      </c>
      <c r="U180" s="468">
        <f>U171</f>
        <v/>
      </c>
      <c r="V180" s="468">
        <f>V171</f>
        <v/>
      </c>
      <c r="W180" s="468">
        <f>W171</f>
        <v/>
      </c>
      <c r="X180" s="468">
        <f>X171</f>
        <v/>
      </c>
      <c r="Y180" s="468">
        <f>Y171</f>
        <v/>
      </c>
      <c r="Z180" s="468">
        <f>Z171</f>
        <v/>
      </c>
      <c r="AA180" s="468">
        <f>AA171</f>
        <v/>
      </c>
      <c r="AB180" s="468">
        <f>AB171</f>
        <v/>
      </c>
      <c r="AC180" s="468">
        <f>AC171</f>
        <v/>
      </c>
      <c r="AD180" s="468">
        <f>AD171</f>
        <v/>
      </c>
      <c r="AE180" s="468">
        <f>AE171</f>
        <v/>
      </c>
      <c r="AF180" s="468">
        <f>AF171</f>
        <v/>
      </c>
      <c r="AG180" s="468">
        <f>AG171</f>
        <v/>
      </c>
      <c r="AH180" s="468">
        <f>AH171</f>
        <v/>
      </c>
      <c r="AI180" s="468">
        <f>AI171</f>
        <v/>
      </c>
      <c r="AJ180" s="468">
        <f>AJ171</f>
        <v/>
      </c>
      <c r="AK180" s="468">
        <f>AK171</f>
        <v/>
      </c>
      <c r="AL180" s="468">
        <f>AL171</f>
        <v/>
      </c>
      <c r="AM180" s="468">
        <f>AM171</f>
        <v/>
      </c>
      <c r="AN180" s="468">
        <f>AN171</f>
        <v/>
      </c>
      <c r="AO180" s="468">
        <f>AO171</f>
        <v/>
      </c>
      <c r="AP180" s="468">
        <f>AP171</f>
        <v/>
      </c>
      <c r="AQ180" s="468">
        <f>AQ171</f>
        <v/>
      </c>
      <c r="AR180" s="468">
        <f>AR171</f>
        <v/>
      </c>
      <c r="AS180" s="468">
        <f>AS171</f>
        <v/>
      </c>
      <c r="AT180" s="468">
        <f>AT171</f>
        <v/>
      </c>
      <c r="AU180" s="468">
        <f>AU171</f>
        <v/>
      </c>
      <c r="AV180" s="468">
        <f>AV171</f>
        <v/>
      </c>
      <c r="AW180" s="468">
        <f>AW171</f>
        <v/>
      </c>
      <c r="AX180" s="468">
        <f>AX171</f>
        <v/>
      </c>
      <c r="AY180" s="468">
        <f>AY171</f>
        <v/>
      </c>
      <c r="AZ180" s="468">
        <f>AZ171</f>
        <v/>
      </c>
      <c r="BA180" s="468">
        <f>BA171</f>
        <v/>
      </c>
      <c r="BB180" s="468">
        <f>BB171</f>
        <v/>
      </c>
      <c r="BC180" s="468">
        <f>BC171</f>
        <v/>
      </c>
      <c r="BD180" s="468">
        <f>BD171</f>
        <v/>
      </c>
      <c r="BE180" s="468">
        <f>BE171</f>
        <v/>
      </c>
      <c r="BF180" s="468">
        <f>BF171</f>
        <v/>
      </c>
      <c r="BG180" s="468">
        <f>BG171</f>
        <v/>
      </c>
      <c r="BH180" s="468">
        <f>BH171</f>
        <v/>
      </c>
      <c r="BI180" s="468">
        <f>BI171</f>
        <v/>
      </c>
      <c r="BJ180" s="468">
        <f>BJ171</f>
        <v/>
      </c>
      <c r="BK180" s="468">
        <f>BK171</f>
        <v/>
      </c>
      <c r="BL180" s="468">
        <f>BL171</f>
        <v/>
      </c>
      <c r="BM180" s="468">
        <f>BM171</f>
        <v/>
      </c>
      <c r="BN180" s="468">
        <f>BN171</f>
        <v/>
      </c>
      <c r="BO180" s="468">
        <f>BO171</f>
        <v/>
      </c>
      <c r="BP180" s="468">
        <f>BP171</f>
        <v/>
      </c>
      <c r="BQ180" s="468">
        <f>BQ171</f>
        <v/>
      </c>
      <c r="BR180" s="468">
        <f>BR171</f>
        <v/>
      </c>
      <c r="BS180" s="468">
        <f>BS171</f>
        <v/>
      </c>
      <c r="BT180" s="468">
        <f>BT171</f>
        <v/>
      </c>
      <c r="BU180" s="468">
        <f>BU171</f>
        <v/>
      </c>
      <c r="BV180" s="468">
        <f>BV171</f>
        <v/>
      </c>
      <c r="BW180" s="468">
        <f>BW171</f>
        <v/>
      </c>
      <c r="BX180" s="468">
        <f>BX171</f>
        <v/>
      </c>
      <c r="BY180" s="468">
        <f>BY171</f>
        <v/>
      </c>
      <c r="BZ180" s="468">
        <f>BZ171</f>
        <v/>
      </c>
      <c r="CA180" s="468">
        <f>CA171</f>
        <v/>
      </c>
      <c r="CB180" s="468">
        <f>CB171</f>
        <v/>
      </c>
      <c r="CC180" s="468">
        <f>CC171</f>
        <v/>
      </c>
      <c r="CD180" s="468">
        <f>CD171</f>
        <v/>
      </c>
      <c r="CE180" s="468">
        <f>CE171</f>
        <v/>
      </c>
      <c r="CF180" s="468">
        <f>CF171</f>
        <v/>
      </c>
      <c r="CG180" s="468">
        <f>CG171</f>
        <v/>
      </c>
      <c r="CH180" s="468">
        <f>CH171</f>
        <v/>
      </c>
      <c r="CI180" s="468">
        <f>CI171</f>
        <v/>
      </c>
      <c r="CJ180" s="468">
        <f>CJ171</f>
        <v/>
      </c>
      <c r="CK180" s="468">
        <f>CK171</f>
        <v/>
      </c>
      <c r="CL180" s="468">
        <f>CL171</f>
        <v/>
      </c>
      <c r="CM180" s="468">
        <f>CM171</f>
        <v/>
      </c>
      <c r="CN180" s="468">
        <f>CN171</f>
        <v/>
      </c>
      <c r="CO180" s="468">
        <f>CO171</f>
        <v/>
      </c>
      <c r="CP180" s="468">
        <f>CP171</f>
        <v/>
      </c>
      <c r="CQ180" s="468">
        <f>CQ171</f>
        <v/>
      </c>
      <c r="CR180" s="468">
        <f>CR171</f>
        <v/>
      </c>
      <c r="CS180" s="468">
        <f>CS171</f>
        <v/>
      </c>
      <c r="CT180" s="468">
        <f>CT171</f>
        <v/>
      </c>
      <c r="CU180" s="468">
        <f>CU171</f>
        <v/>
      </c>
      <c r="CV180" s="468">
        <f>CV171</f>
        <v/>
      </c>
      <c r="CW180" s="468">
        <f>CW171</f>
        <v/>
      </c>
      <c r="CX180" s="468">
        <f>CX171</f>
        <v/>
      </c>
      <c r="CY180" s="468">
        <f>CY171</f>
        <v/>
      </c>
      <c r="CZ180" s="468">
        <f>CZ171</f>
        <v/>
      </c>
      <c r="DA180" s="468">
        <f>DA171</f>
        <v/>
      </c>
      <c r="DB180" s="468">
        <f>DB171</f>
        <v/>
      </c>
      <c r="DC180" s="468">
        <f>DC171</f>
        <v/>
      </c>
      <c r="DD180" s="468">
        <f>DD171</f>
        <v/>
      </c>
      <c r="DE180" s="468">
        <f>DE171</f>
        <v/>
      </c>
      <c r="DF180" s="468">
        <f>DF171</f>
        <v/>
      </c>
      <c r="DG180" s="468">
        <f>DG171</f>
        <v/>
      </c>
      <c r="DH180" s="468">
        <f>DH171</f>
        <v/>
      </c>
      <c r="DI180" s="468">
        <f>DI171</f>
        <v/>
      </c>
      <c r="DJ180" s="468">
        <f>DJ171</f>
        <v/>
      </c>
      <c r="DK180" s="468">
        <f>DK171</f>
        <v/>
      </c>
      <c r="DL180" s="468">
        <f>DL171</f>
        <v/>
      </c>
      <c r="DM180" s="468">
        <f>DM171</f>
        <v/>
      </c>
      <c r="DN180" s="468">
        <f>DN171</f>
        <v/>
      </c>
      <c r="DO180" s="468">
        <f>DO171</f>
        <v/>
      </c>
      <c r="DP180" s="468">
        <f>DP171</f>
        <v/>
      </c>
      <c r="DQ180" s="468">
        <f>DQ171</f>
        <v/>
      </c>
      <c r="DR180" s="468">
        <f>DR171</f>
        <v/>
      </c>
      <c r="DS180" s="468">
        <f>DS171</f>
        <v/>
      </c>
      <c r="DT180" s="468">
        <f>DT171</f>
        <v/>
      </c>
      <c r="DU180" s="468">
        <f>DU171</f>
        <v/>
      </c>
      <c r="DV180" s="468">
        <f>DV171</f>
        <v/>
      </c>
      <c r="DW180" s="322" t="inlineStr">
        <is>
          <t>x</t>
        </is>
      </c>
    </row>
    <row r="181" hidden="1" outlineLevel="1">
      <c r="C181" s="476">
        <f>TEXT(D178,"0.0x")&amp;" Accrual Distribution"</f>
        <v/>
      </c>
      <c r="D181" s="484" t="n"/>
      <c r="E181" s="463">
        <f>SUM(F181:AL181)</f>
        <v/>
      </c>
      <c r="F181" s="468">
        <f>-MIN(SUM(F177:F180),-F193)</f>
        <v/>
      </c>
      <c r="G181" s="468">
        <f>-MIN(SUM(G177:G180),-G193)</f>
        <v/>
      </c>
      <c r="H181" s="468">
        <f>-MIN(SUM(H177:H180),-H193)</f>
        <v/>
      </c>
      <c r="I181" s="468">
        <f>-MIN(SUM(I177:I180),-I193)</f>
        <v/>
      </c>
      <c r="J181" s="468">
        <f>-MIN(SUM(J177:J180),-J193)</f>
        <v/>
      </c>
      <c r="K181" s="468">
        <f>-MIN(SUM(K177:K180),-K193)</f>
        <v/>
      </c>
      <c r="L181" s="468">
        <f>-MIN(SUM(L177:L180),-L193)</f>
        <v/>
      </c>
      <c r="M181" s="468">
        <f>-MIN(SUM(M177:M180),-M193)</f>
        <v/>
      </c>
      <c r="N181" s="468">
        <f>-MIN(SUM(N177:N180),-N193)</f>
        <v/>
      </c>
      <c r="O181" s="468">
        <f>-MIN(SUM(O177:O180),-O193)</f>
        <v/>
      </c>
      <c r="P181" s="468">
        <f>-MIN(SUM(P177:P180),-P193)</f>
        <v/>
      </c>
      <c r="Q181" s="468">
        <f>-MIN(SUM(Q177:Q180),-Q193)</f>
        <v/>
      </c>
      <c r="R181" s="468">
        <f>-MIN(SUM(R177:R180),-R193)</f>
        <v/>
      </c>
      <c r="S181" s="468">
        <f>-MIN(SUM(S177:S180),-S193)</f>
        <v/>
      </c>
      <c r="T181" s="468">
        <f>-MIN(SUM(T177:T180),-T193)</f>
        <v/>
      </c>
      <c r="U181" s="468">
        <f>-MIN(SUM(U177:U180),-U193)</f>
        <v/>
      </c>
      <c r="V181" s="468">
        <f>-MIN(SUM(V177:V180),-V193)</f>
        <v/>
      </c>
      <c r="W181" s="468">
        <f>-MIN(SUM(W177:W180),-W193)</f>
        <v/>
      </c>
      <c r="X181" s="468">
        <f>-MIN(SUM(X177:X180),-X193)</f>
        <v/>
      </c>
      <c r="Y181" s="468">
        <f>-MIN(SUM(Y177:Y180),-Y193)</f>
        <v/>
      </c>
      <c r="Z181" s="468">
        <f>-MIN(SUM(Z177:Z180),-Z193)</f>
        <v/>
      </c>
      <c r="AA181" s="468">
        <f>-MIN(SUM(AA177:AA180),-AA193)</f>
        <v/>
      </c>
      <c r="AB181" s="468">
        <f>-MIN(SUM(AB177:AB180),-AB193)</f>
        <v/>
      </c>
      <c r="AC181" s="468">
        <f>-MIN(SUM(AC177:AC180),-AC193)</f>
        <v/>
      </c>
      <c r="AD181" s="468">
        <f>-MIN(SUM(AD177:AD180),-AD193)</f>
        <v/>
      </c>
      <c r="AE181" s="468">
        <f>-MIN(SUM(AE177:AE180),-AE193)</f>
        <v/>
      </c>
      <c r="AF181" s="468">
        <f>-MIN(SUM(AF177:AF180),-AF193)</f>
        <v/>
      </c>
      <c r="AG181" s="468">
        <f>-MIN(SUM(AG177:AG180),-AG193)</f>
        <v/>
      </c>
      <c r="AH181" s="468">
        <f>-MIN(SUM(AH177:AH180),-AH193)</f>
        <v/>
      </c>
      <c r="AI181" s="468">
        <f>-MIN(SUM(AI177:AI180),-AI193)</f>
        <v/>
      </c>
      <c r="AJ181" s="468">
        <f>-MIN(SUM(AJ177:AJ180),-AJ193)</f>
        <v/>
      </c>
      <c r="AK181" s="468">
        <f>-MIN(SUM(AK177:AK180),-AK193)</f>
        <v/>
      </c>
      <c r="AL181" s="468">
        <f>-MIN(SUM(AL177:AL180),-AL193)</f>
        <v/>
      </c>
      <c r="AM181" s="468">
        <f>-MIN(SUM(AM177:AM180),-AM193)</f>
        <v/>
      </c>
      <c r="AN181" s="468">
        <f>-MIN(SUM(AN177:AN180),-AN193)</f>
        <v/>
      </c>
      <c r="AO181" s="468">
        <f>-MIN(SUM(AO177:AO180),-AO193)</f>
        <v/>
      </c>
      <c r="AP181" s="468">
        <f>-MIN(SUM(AP177:AP180),-AP193)</f>
        <v/>
      </c>
      <c r="AQ181" s="468">
        <f>-MIN(SUM(AQ177:AQ180),-AQ193)</f>
        <v/>
      </c>
      <c r="AR181" s="468">
        <f>-MIN(SUM(AR177:AR180),-AR193)</f>
        <v/>
      </c>
      <c r="AS181" s="468">
        <f>-MIN(SUM(AS177:AS180),-AS193)</f>
        <v/>
      </c>
      <c r="AT181" s="468">
        <f>-MIN(SUM(AT177:AT180),-AT193)</f>
        <v/>
      </c>
      <c r="AU181" s="468">
        <f>-MIN(SUM(AU177:AU180),-AU193)</f>
        <v/>
      </c>
      <c r="AV181" s="468">
        <f>-MIN(SUM(AV177:AV180),-AV193)</f>
        <v/>
      </c>
      <c r="AW181" s="468">
        <f>-MIN(SUM(AW177:AW180),-AW193)</f>
        <v/>
      </c>
      <c r="AX181" s="468">
        <f>-MIN(SUM(AX177:AX180),-AX193)</f>
        <v/>
      </c>
      <c r="AY181" s="468">
        <f>-MIN(SUM(AY177:AY180),-AY193)</f>
        <v/>
      </c>
      <c r="AZ181" s="468">
        <f>-MIN(SUM(AZ177:AZ180),-AZ193)</f>
        <v/>
      </c>
      <c r="BA181" s="468">
        <f>-MIN(SUM(BA177:BA180),-BA193)</f>
        <v/>
      </c>
      <c r="BB181" s="468">
        <f>-MIN(SUM(BB177:BB180),-BB193)</f>
        <v/>
      </c>
      <c r="BC181" s="468">
        <f>-MIN(SUM(BC177:BC180),-BC193)</f>
        <v/>
      </c>
      <c r="BD181" s="468">
        <f>-MIN(SUM(BD177:BD180),-BD193)</f>
        <v/>
      </c>
      <c r="BE181" s="468">
        <f>-MIN(SUM(BE177:BE180),-BE193)</f>
        <v/>
      </c>
      <c r="BF181" s="468">
        <f>-MIN(SUM(BF177:BF180),-BF193)</f>
        <v/>
      </c>
      <c r="BG181" s="468">
        <f>-MIN(SUM(BG177:BG180),-BG193)</f>
        <v/>
      </c>
      <c r="BH181" s="468">
        <f>-MIN(SUM(BH177:BH180),-BH193)</f>
        <v/>
      </c>
      <c r="BI181" s="468">
        <f>-MIN(SUM(BI177:BI180),-BI193)</f>
        <v/>
      </c>
      <c r="BJ181" s="468">
        <f>-MIN(SUM(BJ177:BJ180),-BJ193)</f>
        <v/>
      </c>
      <c r="BK181" s="468">
        <f>-MIN(SUM(BK177:BK180),-BK193)</f>
        <v/>
      </c>
      <c r="BL181" s="468">
        <f>-MIN(SUM(BL177:BL180),-BL193)</f>
        <v/>
      </c>
      <c r="BM181" s="468">
        <f>-MIN(SUM(BM177:BM180),-BM193)</f>
        <v/>
      </c>
      <c r="BN181" s="468">
        <f>-MIN(SUM(BN177:BN180),-BN193)</f>
        <v/>
      </c>
      <c r="BO181" s="468">
        <f>-MIN(SUM(BO177:BO180),-BO193)</f>
        <v/>
      </c>
      <c r="BP181" s="468">
        <f>-MIN(SUM(BP177:BP180),-BP193)</f>
        <v/>
      </c>
      <c r="BQ181" s="468">
        <f>-MIN(SUM(BQ177:BQ180),-BQ193)</f>
        <v/>
      </c>
      <c r="BR181" s="468">
        <f>-MIN(SUM(BR177:BR180),-BR193)</f>
        <v/>
      </c>
      <c r="BS181" s="468">
        <f>-MIN(SUM(BS177:BS180),-BS193)</f>
        <v/>
      </c>
      <c r="BT181" s="468">
        <f>-MIN(SUM(BT177:BT180),-BT193)</f>
        <v/>
      </c>
      <c r="BU181" s="468">
        <f>-MIN(SUM(BU177:BU180),-BU193)</f>
        <v/>
      </c>
      <c r="BV181" s="468">
        <f>-MIN(SUM(BV177:BV180),-BV193)</f>
        <v/>
      </c>
      <c r="BW181" s="468">
        <f>-MIN(SUM(BW177:BW180),-BW193)</f>
        <v/>
      </c>
      <c r="BX181" s="468">
        <f>-MIN(SUM(BX177:BX180),-BX193)</f>
        <v/>
      </c>
      <c r="BY181" s="468">
        <f>-MIN(SUM(BY177:BY180),-BY193)</f>
        <v/>
      </c>
      <c r="BZ181" s="468">
        <f>-MIN(SUM(BZ177:BZ180),-BZ193)</f>
        <v/>
      </c>
      <c r="CA181" s="468">
        <f>-MIN(SUM(CA177:CA180),-CA193)</f>
        <v/>
      </c>
      <c r="CB181" s="468">
        <f>-MIN(SUM(CB177:CB180),-CB193)</f>
        <v/>
      </c>
      <c r="CC181" s="468">
        <f>-MIN(SUM(CC177:CC180),-CC193)</f>
        <v/>
      </c>
      <c r="CD181" s="468">
        <f>-MIN(SUM(CD177:CD180),-CD193)</f>
        <v/>
      </c>
      <c r="CE181" s="468">
        <f>-MIN(SUM(CE177:CE180),-CE193)</f>
        <v/>
      </c>
      <c r="CF181" s="468">
        <f>-MIN(SUM(CF177:CF180),-CF193)</f>
        <v/>
      </c>
      <c r="CG181" s="468">
        <f>-MIN(SUM(CG177:CG180),-CG193)</f>
        <v/>
      </c>
      <c r="CH181" s="468">
        <f>-MIN(SUM(CH177:CH180),-CH193)</f>
        <v/>
      </c>
      <c r="CI181" s="468">
        <f>-MIN(SUM(CI177:CI180),-CI193)</f>
        <v/>
      </c>
      <c r="CJ181" s="468">
        <f>-MIN(SUM(CJ177:CJ180),-CJ193)</f>
        <v/>
      </c>
      <c r="CK181" s="468">
        <f>-MIN(SUM(CK177:CK180),-CK193)</f>
        <v/>
      </c>
      <c r="CL181" s="468">
        <f>-MIN(SUM(CL177:CL180),-CL193)</f>
        <v/>
      </c>
      <c r="CM181" s="468">
        <f>-MIN(SUM(CM177:CM180),-CM193)</f>
        <v/>
      </c>
      <c r="CN181" s="468">
        <f>-MIN(SUM(CN177:CN180),-CN193)</f>
        <v/>
      </c>
      <c r="CO181" s="468">
        <f>-MIN(SUM(CO177:CO180),-CO193)</f>
        <v/>
      </c>
      <c r="CP181" s="468">
        <f>-MIN(SUM(CP177:CP180),-CP193)</f>
        <v/>
      </c>
      <c r="CQ181" s="468">
        <f>-MIN(SUM(CQ177:CQ180),-CQ193)</f>
        <v/>
      </c>
      <c r="CR181" s="468">
        <f>-MIN(SUM(CR177:CR180),-CR193)</f>
        <v/>
      </c>
      <c r="CS181" s="468">
        <f>-MIN(SUM(CS177:CS180),-CS193)</f>
        <v/>
      </c>
      <c r="CT181" s="468">
        <f>-MIN(SUM(CT177:CT180),-CT193)</f>
        <v/>
      </c>
      <c r="CU181" s="468">
        <f>-MIN(SUM(CU177:CU180),-CU193)</f>
        <v/>
      </c>
      <c r="CV181" s="468">
        <f>-MIN(SUM(CV177:CV180),-CV193)</f>
        <v/>
      </c>
      <c r="CW181" s="468">
        <f>-MIN(SUM(CW177:CW180),-CW193)</f>
        <v/>
      </c>
      <c r="CX181" s="468">
        <f>-MIN(SUM(CX177:CX180),-CX193)</f>
        <v/>
      </c>
      <c r="CY181" s="468">
        <f>-MIN(SUM(CY177:CY180),-CY193)</f>
        <v/>
      </c>
      <c r="CZ181" s="468">
        <f>-MIN(SUM(CZ177:CZ180),-CZ193)</f>
        <v/>
      </c>
      <c r="DA181" s="468">
        <f>-MIN(SUM(DA177:DA180),-DA193)</f>
        <v/>
      </c>
      <c r="DB181" s="468">
        <f>-MIN(SUM(DB177:DB180),-DB193)</f>
        <v/>
      </c>
      <c r="DC181" s="468">
        <f>-MIN(SUM(DC177:DC180),-DC193)</f>
        <v/>
      </c>
      <c r="DD181" s="468">
        <f>-MIN(SUM(DD177:DD180),-DD193)</f>
        <v/>
      </c>
      <c r="DE181" s="468">
        <f>-MIN(SUM(DE177:DE180),-DE193)</f>
        <v/>
      </c>
      <c r="DF181" s="468">
        <f>-MIN(SUM(DF177:DF180),-DF193)</f>
        <v/>
      </c>
      <c r="DG181" s="468">
        <f>-MIN(SUM(DG177:DG180),-DG193)</f>
        <v/>
      </c>
      <c r="DH181" s="468">
        <f>-MIN(SUM(DH177:DH180),-DH193)</f>
        <v/>
      </c>
      <c r="DI181" s="468">
        <f>-MIN(SUM(DI177:DI180),-DI193)</f>
        <v/>
      </c>
      <c r="DJ181" s="468">
        <f>-MIN(SUM(DJ177:DJ180),-DJ193)</f>
        <v/>
      </c>
      <c r="DK181" s="468">
        <f>-MIN(SUM(DK177:DK180),-DK193)</f>
        <v/>
      </c>
      <c r="DL181" s="468">
        <f>-MIN(SUM(DL177:DL180),-DL193)</f>
        <v/>
      </c>
      <c r="DM181" s="468">
        <f>-MIN(SUM(DM177:DM180),-DM193)</f>
        <v/>
      </c>
      <c r="DN181" s="468">
        <f>-MIN(SUM(DN177:DN180),-DN193)</f>
        <v/>
      </c>
      <c r="DO181" s="468">
        <f>-MIN(SUM(DO177:DO180),-DO193)</f>
        <v/>
      </c>
      <c r="DP181" s="468">
        <f>-MIN(SUM(DP177:DP180),-DP193)</f>
        <v/>
      </c>
      <c r="DQ181" s="468">
        <f>-MIN(SUM(DQ177:DQ180),-DQ193)</f>
        <v/>
      </c>
      <c r="DR181" s="468">
        <f>-MIN(SUM(DR177:DR180),-DR193)</f>
        <v/>
      </c>
      <c r="DS181" s="468">
        <f>-MIN(SUM(DS177:DS180),-DS193)</f>
        <v/>
      </c>
      <c r="DT181" s="468">
        <f>-MIN(SUM(DT177:DT180),-DT193)</f>
        <v/>
      </c>
      <c r="DU181" s="468">
        <f>-MIN(SUM(DU177:DU180),-DU193)</f>
        <v/>
      </c>
      <c r="DV181" s="468">
        <f>-MIN(SUM(DV177:DV180),-DV193)</f>
        <v/>
      </c>
      <c r="DW181" s="322" t="inlineStr">
        <is>
          <t>x</t>
        </is>
      </c>
    </row>
    <row r="182" hidden="1" outlineLevel="1" ht="17.25" customHeight="1" thickBot="1">
      <c r="C182" s="365" t="inlineStr">
        <is>
          <t>Ending Balance</t>
        </is>
      </c>
      <c r="D182" s="484" t="n"/>
      <c r="E182" s="657">
        <f>SUM(E178:E181)</f>
        <v/>
      </c>
      <c r="F182" s="657">
        <f>SUM(F177:F181)</f>
        <v/>
      </c>
      <c r="G182" s="657">
        <f>SUM(G177:G181)</f>
        <v/>
      </c>
      <c r="H182" s="657">
        <f>SUM(H177:H181)</f>
        <v/>
      </c>
      <c r="I182" s="657">
        <f>SUM(I177:I181)</f>
        <v/>
      </c>
      <c r="J182" s="657">
        <f>SUM(J177:J181)</f>
        <v/>
      </c>
      <c r="K182" s="657">
        <f>SUM(K177:K181)</f>
        <v/>
      </c>
      <c r="L182" s="657">
        <f>SUM(L177:L181)</f>
        <v/>
      </c>
      <c r="M182" s="657">
        <f>SUM(M177:M181)</f>
        <v/>
      </c>
      <c r="N182" s="657">
        <f>SUM(N177:N181)</f>
        <v/>
      </c>
      <c r="O182" s="657">
        <f>SUM(O177:O181)</f>
        <v/>
      </c>
      <c r="P182" s="657">
        <f>SUM(P177:P181)</f>
        <v/>
      </c>
      <c r="Q182" s="657">
        <f>SUM(Q177:Q181)</f>
        <v/>
      </c>
      <c r="R182" s="657">
        <f>SUM(R177:R181)</f>
        <v/>
      </c>
      <c r="S182" s="657">
        <f>SUM(S177:S181)</f>
        <v/>
      </c>
      <c r="T182" s="657">
        <f>SUM(T177:T181)</f>
        <v/>
      </c>
      <c r="U182" s="657">
        <f>SUM(U177:U181)</f>
        <v/>
      </c>
      <c r="V182" s="657">
        <f>SUM(V177:V181)</f>
        <v/>
      </c>
      <c r="W182" s="657">
        <f>SUM(W177:W181)</f>
        <v/>
      </c>
      <c r="X182" s="657">
        <f>SUM(X177:X181)</f>
        <v/>
      </c>
      <c r="Y182" s="657">
        <f>SUM(Y177:Y181)</f>
        <v/>
      </c>
      <c r="Z182" s="657">
        <f>SUM(Z177:Z181)</f>
        <v/>
      </c>
      <c r="AA182" s="657">
        <f>SUM(AA177:AA181)</f>
        <v/>
      </c>
      <c r="AB182" s="657">
        <f>SUM(AB177:AB181)</f>
        <v/>
      </c>
      <c r="AC182" s="657">
        <f>SUM(AC177:AC181)</f>
        <v/>
      </c>
      <c r="AD182" s="657">
        <f>SUM(AD177:AD181)</f>
        <v/>
      </c>
      <c r="AE182" s="657">
        <f>SUM(AE177:AE181)</f>
        <v/>
      </c>
      <c r="AF182" s="657">
        <f>SUM(AF177:AF181)</f>
        <v/>
      </c>
      <c r="AG182" s="657">
        <f>SUM(AG177:AG181)</f>
        <v/>
      </c>
      <c r="AH182" s="657">
        <f>SUM(AH177:AH181)</f>
        <v/>
      </c>
      <c r="AI182" s="657">
        <f>SUM(AI177:AI181)</f>
        <v/>
      </c>
      <c r="AJ182" s="657">
        <f>SUM(AJ177:AJ181)</f>
        <v/>
      </c>
      <c r="AK182" s="657">
        <f>SUM(AK177:AK181)</f>
        <v/>
      </c>
      <c r="AL182" s="657">
        <f>SUM(AL177:AL181)</f>
        <v/>
      </c>
      <c r="AM182" s="657">
        <f>SUM(AM177:AM181)</f>
        <v/>
      </c>
      <c r="AN182" s="657">
        <f>SUM(AN177:AN181)</f>
        <v/>
      </c>
      <c r="AO182" s="657">
        <f>SUM(AO177:AO181)</f>
        <v/>
      </c>
      <c r="AP182" s="657">
        <f>SUM(AP177:AP181)</f>
        <v/>
      </c>
      <c r="AQ182" s="657">
        <f>SUM(AQ177:AQ181)</f>
        <v/>
      </c>
      <c r="AR182" s="657">
        <f>SUM(AR177:AR181)</f>
        <v/>
      </c>
      <c r="AS182" s="657">
        <f>SUM(AS177:AS181)</f>
        <v/>
      </c>
      <c r="AT182" s="657">
        <f>SUM(AT177:AT181)</f>
        <v/>
      </c>
      <c r="AU182" s="657">
        <f>SUM(AU177:AU181)</f>
        <v/>
      </c>
      <c r="AV182" s="657">
        <f>SUM(AV177:AV181)</f>
        <v/>
      </c>
      <c r="AW182" s="657">
        <f>SUM(AW177:AW181)</f>
        <v/>
      </c>
      <c r="AX182" s="657">
        <f>SUM(AX177:AX181)</f>
        <v/>
      </c>
      <c r="AY182" s="657">
        <f>SUM(AY177:AY181)</f>
        <v/>
      </c>
      <c r="AZ182" s="657">
        <f>SUM(AZ177:AZ181)</f>
        <v/>
      </c>
      <c r="BA182" s="657">
        <f>SUM(BA177:BA181)</f>
        <v/>
      </c>
      <c r="BB182" s="657">
        <f>SUM(BB177:BB181)</f>
        <v/>
      </c>
      <c r="BC182" s="657">
        <f>SUM(BC177:BC181)</f>
        <v/>
      </c>
      <c r="BD182" s="657">
        <f>SUM(BD177:BD181)</f>
        <v/>
      </c>
      <c r="BE182" s="657">
        <f>SUM(BE177:BE181)</f>
        <v/>
      </c>
      <c r="BF182" s="657">
        <f>SUM(BF177:BF181)</f>
        <v/>
      </c>
      <c r="BG182" s="657">
        <f>SUM(BG177:BG181)</f>
        <v/>
      </c>
      <c r="BH182" s="657">
        <f>SUM(BH177:BH181)</f>
        <v/>
      </c>
      <c r="BI182" s="657">
        <f>SUM(BI177:BI181)</f>
        <v/>
      </c>
      <c r="BJ182" s="657">
        <f>SUM(BJ177:BJ181)</f>
        <v/>
      </c>
      <c r="BK182" s="657">
        <f>SUM(BK177:BK181)</f>
        <v/>
      </c>
      <c r="BL182" s="657">
        <f>SUM(BL177:BL181)</f>
        <v/>
      </c>
      <c r="BM182" s="657">
        <f>SUM(BM177:BM181)</f>
        <v/>
      </c>
      <c r="BN182" s="657">
        <f>SUM(BN177:BN181)</f>
        <v/>
      </c>
      <c r="BO182" s="657">
        <f>SUM(BO177:BO181)</f>
        <v/>
      </c>
      <c r="BP182" s="657">
        <f>SUM(BP177:BP181)</f>
        <v/>
      </c>
      <c r="BQ182" s="657">
        <f>SUM(BQ177:BQ181)</f>
        <v/>
      </c>
      <c r="BR182" s="657">
        <f>SUM(BR177:BR181)</f>
        <v/>
      </c>
      <c r="BS182" s="657">
        <f>SUM(BS177:BS181)</f>
        <v/>
      </c>
      <c r="BT182" s="657">
        <f>SUM(BT177:BT181)</f>
        <v/>
      </c>
      <c r="BU182" s="657">
        <f>SUM(BU177:BU181)</f>
        <v/>
      </c>
      <c r="BV182" s="657">
        <f>SUM(BV177:BV181)</f>
        <v/>
      </c>
      <c r="BW182" s="657">
        <f>SUM(BW177:BW181)</f>
        <v/>
      </c>
      <c r="BX182" s="657">
        <f>SUM(BX177:BX181)</f>
        <v/>
      </c>
      <c r="BY182" s="657">
        <f>SUM(BY177:BY181)</f>
        <v/>
      </c>
      <c r="BZ182" s="657">
        <f>SUM(BZ177:BZ181)</f>
        <v/>
      </c>
      <c r="CA182" s="657">
        <f>SUM(CA177:CA181)</f>
        <v/>
      </c>
      <c r="CB182" s="657">
        <f>SUM(CB177:CB181)</f>
        <v/>
      </c>
      <c r="CC182" s="657">
        <f>SUM(CC177:CC181)</f>
        <v/>
      </c>
      <c r="CD182" s="657">
        <f>SUM(CD177:CD181)</f>
        <v/>
      </c>
      <c r="CE182" s="657">
        <f>SUM(CE177:CE181)</f>
        <v/>
      </c>
      <c r="CF182" s="657">
        <f>SUM(CF177:CF181)</f>
        <v/>
      </c>
      <c r="CG182" s="657">
        <f>SUM(CG177:CG181)</f>
        <v/>
      </c>
      <c r="CH182" s="657">
        <f>SUM(CH177:CH181)</f>
        <v/>
      </c>
      <c r="CI182" s="657">
        <f>SUM(CI177:CI181)</f>
        <v/>
      </c>
      <c r="CJ182" s="657">
        <f>SUM(CJ177:CJ181)</f>
        <v/>
      </c>
      <c r="CK182" s="657">
        <f>SUM(CK177:CK181)</f>
        <v/>
      </c>
      <c r="CL182" s="657">
        <f>SUM(CL177:CL181)</f>
        <v/>
      </c>
      <c r="CM182" s="657">
        <f>SUM(CM177:CM181)</f>
        <v/>
      </c>
      <c r="CN182" s="657">
        <f>SUM(CN177:CN181)</f>
        <v/>
      </c>
      <c r="CO182" s="657">
        <f>SUM(CO177:CO181)</f>
        <v/>
      </c>
      <c r="CP182" s="657">
        <f>SUM(CP177:CP181)</f>
        <v/>
      </c>
      <c r="CQ182" s="657">
        <f>SUM(CQ177:CQ181)</f>
        <v/>
      </c>
      <c r="CR182" s="657">
        <f>SUM(CR177:CR181)</f>
        <v/>
      </c>
      <c r="CS182" s="657">
        <f>SUM(CS177:CS181)</f>
        <v/>
      </c>
      <c r="CT182" s="657">
        <f>SUM(CT177:CT181)</f>
        <v/>
      </c>
      <c r="CU182" s="657">
        <f>SUM(CU177:CU181)</f>
        <v/>
      </c>
      <c r="CV182" s="657">
        <f>SUM(CV177:CV181)</f>
        <v/>
      </c>
      <c r="CW182" s="657">
        <f>SUM(CW177:CW181)</f>
        <v/>
      </c>
      <c r="CX182" s="657">
        <f>SUM(CX177:CX181)</f>
        <v/>
      </c>
      <c r="CY182" s="657">
        <f>SUM(CY177:CY181)</f>
        <v/>
      </c>
      <c r="CZ182" s="657">
        <f>SUM(CZ177:CZ181)</f>
        <v/>
      </c>
      <c r="DA182" s="657">
        <f>SUM(DA177:DA181)</f>
        <v/>
      </c>
      <c r="DB182" s="657">
        <f>SUM(DB177:DB181)</f>
        <v/>
      </c>
      <c r="DC182" s="657">
        <f>SUM(DC177:DC181)</f>
        <v/>
      </c>
      <c r="DD182" s="657">
        <f>SUM(DD177:DD181)</f>
        <v/>
      </c>
      <c r="DE182" s="657">
        <f>SUM(DE177:DE181)</f>
        <v/>
      </c>
      <c r="DF182" s="657">
        <f>SUM(DF177:DF181)</f>
        <v/>
      </c>
      <c r="DG182" s="657">
        <f>SUM(DG177:DG181)</f>
        <v/>
      </c>
      <c r="DH182" s="657">
        <f>SUM(DH177:DH181)</f>
        <v/>
      </c>
      <c r="DI182" s="657">
        <f>SUM(DI177:DI181)</f>
        <v/>
      </c>
      <c r="DJ182" s="657">
        <f>SUM(DJ177:DJ181)</f>
        <v/>
      </c>
      <c r="DK182" s="657">
        <f>SUM(DK177:DK181)</f>
        <v/>
      </c>
      <c r="DL182" s="657">
        <f>SUM(DL177:DL181)</f>
        <v/>
      </c>
      <c r="DM182" s="657">
        <f>SUM(DM177:DM181)</f>
        <v/>
      </c>
      <c r="DN182" s="657">
        <f>SUM(DN177:DN181)</f>
        <v/>
      </c>
      <c r="DO182" s="657">
        <f>SUM(DO177:DO181)</f>
        <v/>
      </c>
      <c r="DP182" s="657">
        <f>SUM(DP177:DP181)</f>
        <v/>
      </c>
      <c r="DQ182" s="657">
        <f>SUM(DQ177:DQ181)</f>
        <v/>
      </c>
      <c r="DR182" s="657">
        <f>SUM(DR177:DR181)</f>
        <v/>
      </c>
      <c r="DS182" s="657">
        <f>SUM(DS177:DS181)</f>
        <v/>
      </c>
      <c r="DT182" s="657">
        <f>SUM(DT177:DT181)</f>
        <v/>
      </c>
      <c r="DU182" s="657">
        <f>SUM(DU177:DU181)</f>
        <v/>
      </c>
      <c r="DV182" s="657">
        <f>SUM(DV177:DV181)</f>
        <v/>
      </c>
      <c r="DW182" s="322" t="inlineStr">
        <is>
          <t>x</t>
        </is>
      </c>
    </row>
    <row r="183" hidden="1" outlineLevel="1" ht="17.25" customHeight="1" thickTop="1">
      <c r="C183" s="365" t="n"/>
      <c r="D183" s="484" t="n"/>
      <c r="E183" s="654" t="n"/>
      <c r="F183" s="654" t="n"/>
      <c r="G183" s="654" t="n"/>
      <c r="H183" s="654" t="n"/>
      <c r="I183" s="654" t="n"/>
      <c r="J183" s="654" t="n"/>
      <c r="K183" s="654" t="n"/>
      <c r="L183" s="654" t="n"/>
      <c r="M183" s="654" t="n"/>
      <c r="N183" s="654" t="n"/>
      <c r="O183" s="654" t="n"/>
      <c r="P183" s="654" t="n"/>
      <c r="Q183" s="654" t="n"/>
      <c r="R183" s="654" t="n"/>
      <c r="S183" s="654" t="n"/>
      <c r="T183" s="654" t="n"/>
      <c r="U183" s="654" t="n"/>
      <c r="V183" s="654" t="n"/>
      <c r="W183" s="654" t="n"/>
      <c r="X183" s="654" t="n"/>
      <c r="Y183" s="654" t="n"/>
      <c r="Z183" s="654" t="n"/>
      <c r="AA183" s="654" t="n"/>
      <c r="AB183" s="654" t="n"/>
      <c r="AC183" s="654" t="n"/>
      <c r="AD183" s="654" t="n"/>
      <c r="AE183" s="654" t="n"/>
      <c r="AF183" s="654" t="n"/>
      <c r="AG183" s="654" t="n"/>
      <c r="AH183" s="654" t="n"/>
      <c r="AI183" s="654" t="n"/>
      <c r="AJ183" s="654" t="n"/>
      <c r="AK183" s="654" t="n"/>
      <c r="AL183" s="654" t="n"/>
      <c r="AM183" s="374" t="n"/>
      <c r="AN183" s="374" t="n"/>
      <c r="AO183" s="374" t="n"/>
      <c r="AP183" s="472" t="n"/>
      <c r="AQ183" s="472" t="n"/>
      <c r="AR183" s="472" t="n"/>
      <c r="AS183" s="472" t="n"/>
      <c r="AT183" s="472" t="n"/>
      <c r="AU183" s="472" t="n"/>
      <c r="AV183" s="473" t="n"/>
      <c r="AW183" s="360" t="n"/>
      <c r="AX183" s="360" t="n"/>
      <c r="AY183" s="360" t="n"/>
      <c r="AZ183" s="360" t="n"/>
      <c r="BA183" s="360" t="n"/>
      <c r="BB183" s="360" t="n"/>
      <c r="BC183" s="360" t="n"/>
      <c r="BD183" s="360" t="n"/>
      <c r="BE183" s="360" t="n"/>
      <c r="BF183" s="360" t="n"/>
      <c r="BG183" s="360" t="n"/>
      <c r="BH183" s="360" t="n"/>
      <c r="BI183" s="360" t="n"/>
      <c r="BJ183" s="360" t="n"/>
      <c r="BK183" s="360" t="n"/>
      <c r="BL183" s="360" t="n"/>
      <c r="BM183" s="360" t="n"/>
      <c r="BN183" s="360" t="n"/>
      <c r="BO183" s="360" t="n"/>
      <c r="BP183" s="360" t="n"/>
      <c r="BQ183" s="360" t="n"/>
      <c r="BR183" s="360" t="n"/>
      <c r="BS183" s="360" t="n"/>
      <c r="BT183" s="360" t="n"/>
      <c r="BU183" s="360" t="n"/>
      <c r="BV183" s="360" t="n"/>
      <c r="BW183" s="360" t="n"/>
      <c r="BX183" s="360" t="n"/>
      <c r="BY183" s="360" t="n"/>
      <c r="BZ183" s="360" t="n"/>
      <c r="CA183" s="360" t="n"/>
      <c r="CB183" s="360" t="n"/>
      <c r="CC183" s="360" t="n"/>
      <c r="CD183" s="360" t="n"/>
      <c r="CE183" s="360" t="n"/>
      <c r="CF183" s="360" t="n"/>
      <c r="CG183" s="360" t="n"/>
      <c r="CH183" s="360" t="n"/>
      <c r="CI183" s="360" t="n"/>
      <c r="CJ183" s="360" t="n"/>
      <c r="CK183" s="360" t="n"/>
      <c r="CL183" s="360" t="n"/>
      <c r="CM183" s="360" t="n"/>
      <c r="CN183" s="360" t="n"/>
      <c r="CO183" s="360" t="n"/>
      <c r="CP183" s="360" t="n"/>
      <c r="CQ183" s="360" t="n"/>
      <c r="CR183" s="360" t="n"/>
      <c r="CS183" s="360" t="n"/>
      <c r="CT183" s="360" t="n"/>
      <c r="CU183" s="360" t="n"/>
      <c r="CV183" s="360" t="n"/>
      <c r="CW183" s="360" t="n"/>
      <c r="CX183" s="360" t="n"/>
      <c r="CY183" s="360" t="n"/>
      <c r="CZ183" s="360" t="n"/>
      <c r="DA183" s="360" t="n"/>
      <c r="DB183" s="360" t="n"/>
      <c r="DC183" s="360" t="n"/>
      <c r="DD183" s="360" t="n"/>
      <c r="DE183" s="360" t="n"/>
      <c r="DF183" s="360" t="n"/>
      <c r="DG183" s="360" t="n"/>
      <c r="DH183" s="360" t="n"/>
      <c r="DI183" s="360" t="n"/>
      <c r="DJ183" s="360" t="n"/>
      <c r="DK183" s="360" t="n"/>
      <c r="DL183" s="360" t="n"/>
      <c r="DM183" s="360" t="n"/>
      <c r="DN183" s="360" t="n"/>
      <c r="DO183" s="360" t="n"/>
      <c r="DP183" s="360" t="n"/>
      <c r="DQ183" s="360" t="n"/>
      <c r="DR183" s="360" t="n"/>
      <c r="DS183" s="360" t="n"/>
      <c r="DT183" s="360" t="n"/>
      <c r="DU183" s="360" t="n"/>
      <c r="DV183" s="360" t="n"/>
      <c r="DW183" s="322" t="inlineStr">
        <is>
          <t>x</t>
        </is>
      </c>
    </row>
    <row r="184" hidden="1" outlineLevel="1">
      <c r="C184" s="479" t="inlineStr">
        <is>
          <t xml:space="preserve">Amount Required to Satisfy greater of </t>
        </is>
      </c>
      <c r="D184" s="480" t="n"/>
      <c r="E184" s="481" t="n"/>
      <c r="F184" s="481" t="n"/>
      <c r="G184" s="481" t="n"/>
      <c r="H184" s="481" t="n"/>
      <c r="I184" s="481" t="n"/>
      <c r="J184" s="481" t="n"/>
      <c r="K184" s="481" t="n"/>
      <c r="L184" s="481" t="n"/>
      <c r="M184" s="481" t="n"/>
      <c r="N184" s="481" t="n"/>
      <c r="O184" s="481" t="n"/>
      <c r="P184" s="481" t="n"/>
      <c r="Q184" s="481" t="n"/>
      <c r="R184" s="481" t="n"/>
      <c r="S184" s="481" t="n"/>
      <c r="T184" s="481" t="n"/>
      <c r="U184" s="481" t="n"/>
      <c r="V184" s="481" t="n"/>
      <c r="W184" s="481" t="n"/>
      <c r="X184" s="481" t="n"/>
      <c r="Y184" s="481" t="n"/>
      <c r="Z184" s="481" t="n"/>
      <c r="AA184" s="481" t="n"/>
      <c r="AB184" s="481" t="n"/>
      <c r="AC184" s="481" t="n"/>
      <c r="AD184" s="481" t="n"/>
      <c r="AE184" s="481" t="n"/>
      <c r="AF184" s="481" t="n"/>
      <c r="AG184" s="481" t="n"/>
      <c r="AH184" s="481" t="n"/>
      <c r="AI184" s="481" t="n"/>
      <c r="AJ184" s="481" t="n"/>
      <c r="AK184" s="481" t="n"/>
      <c r="AL184" s="481" t="n"/>
      <c r="AM184" s="481" t="n"/>
      <c r="AN184" s="481" t="n"/>
      <c r="AO184" s="481" t="n"/>
      <c r="AP184" s="481" t="n"/>
      <c r="AQ184" s="481" t="n"/>
      <c r="AR184" s="481" t="n"/>
      <c r="AS184" s="481" t="n"/>
      <c r="AT184" s="481" t="n"/>
      <c r="AU184" s="481" t="n"/>
      <c r="AV184" s="481" t="n"/>
      <c r="AW184" s="481" t="n"/>
      <c r="AX184" s="481" t="n"/>
      <c r="AY184" s="481" t="n"/>
      <c r="AZ184" s="481" t="n"/>
      <c r="BA184" s="481" t="n"/>
      <c r="BB184" s="481" t="n"/>
      <c r="BC184" s="481" t="n"/>
      <c r="BD184" s="481" t="n"/>
      <c r="BE184" s="481" t="n"/>
      <c r="BF184" s="481" t="n"/>
      <c r="BG184" s="481" t="n"/>
      <c r="BH184" s="481" t="n"/>
      <c r="BI184" s="481" t="n"/>
      <c r="BJ184" s="481" t="n"/>
      <c r="BK184" s="481" t="n"/>
      <c r="BL184" s="481" t="n"/>
      <c r="BM184" s="481" t="n"/>
      <c r="BN184" s="481" t="n"/>
      <c r="BO184" s="481" t="n"/>
      <c r="BP184" s="481" t="n"/>
      <c r="BQ184" s="481" t="n"/>
      <c r="BR184" s="481" t="n"/>
      <c r="BS184" s="481" t="n"/>
      <c r="BT184" s="481" t="n"/>
      <c r="BU184" s="481" t="n"/>
      <c r="BV184" s="481" t="n"/>
      <c r="BW184" s="481" t="n"/>
      <c r="BX184" s="481" t="n"/>
      <c r="BY184" s="481" t="n"/>
      <c r="BZ184" s="481" t="n"/>
      <c r="CA184" s="481" t="n"/>
      <c r="CB184" s="481" t="n"/>
      <c r="CC184" s="481" t="n"/>
      <c r="CD184" s="481" t="n"/>
      <c r="CE184" s="481" t="n"/>
      <c r="CF184" s="481" t="n"/>
      <c r="CG184" s="481" t="n"/>
      <c r="CH184" s="481" t="n"/>
      <c r="CI184" s="481" t="n"/>
      <c r="CJ184" s="481" t="n"/>
      <c r="CK184" s="481" t="n"/>
      <c r="CL184" s="481" t="n"/>
      <c r="CM184" s="481" t="n"/>
      <c r="CN184" s="481" t="n"/>
      <c r="CO184" s="481" t="n"/>
      <c r="CP184" s="481" t="n"/>
      <c r="CQ184" s="481" t="n"/>
      <c r="CR184" s="481" t="n"/>
      <c r="CS184" s="481" t="n"/>
      <c r="CT184" s="481" t="n"/>
      <c r="CU184" s="481" t="n"/>
      <c r="CV184" s="481" t="n"/>
      <c r="CW184" s="481" t="n"/>
      <c r="CX184" s="481" t="n"/>
      <c r="CY184" s="481" t="n"/>
      <c r="CZ184" s="481" t="n"/>
      <c r="DA184" s="481" t="n"/>
      <c r="DB184" s="481" t="n"/>
      <c r="DC184" s="481" t="n"/>
      <c r="DD184" s="481" t="n"/>
      <c r="DE184" s="481" t="n"/>
      <c r="DF184" s="481" t="n"/>
      <c r="DG184" s="481" t="n"/>
      <c r="DH184" s="481" t="n"/>
      <c r="DI184" s="481" t="n"/>
      <c r="DJ184" s="481" t="n"/>
      <c r="DK184" s="481" t="n"/>
      <c r="DL184" s="481" t="n"/>
      <c r="DM184" s="481" t="n"/>
      <c r="DN184" s="481" t="n"/>
      <c r="DO184" s="481" t="n"/>
      <c r="DP184" s="481" t="n"/>
      <c r="DQ184" s="481" t="n"/>
      <c r="DR184" s="481" t="n"/>
      <c r="DS184" s="481" t="n"/>
      <c r="DT184" s="481" t="n"/>
      <c r="DU184" s="481" t="n"/>
      <c r="DV184" s="481" t="n"/>
      <c r="DW184" s="322" t="inlineStr">
        <is>
          <t>x</t>
        </is>
      </c>
    </row>
    <row r="185" hidden="1" outlineLevel="1">
      <c r="C185" s="479">
        <f>"IRR and Equity Multiple Test for "&amp;C86</f>
        <v/>
      </c>
      <c r="D185" s="480" t="n"/>
      <c r="E185" s="481" t="n"/>
      <c r="F185" s="481">
        <f>MAX(SUM(F167:F171),SUM(F177:F180))</f>
        <v/>
      </c>
      <c r="G185" s="481">
        <f>MAX(SUM(G167:G171),SUM(G177:G180))</f>
        <v/>
      </c>
      <c r="H185" s="481">
        <f>MAX(SUM(H167:H171),SUM(H177:H180))</f>
        <v/>
      </c>
      <c r="I185" s="481">
        <f>MAX(SUM(I167:I171),SUM(I177:I180))</f>
        <v/>
      </c>
      <c r="J185" s="481">
        <f>MAX(SUM(J167:J171),SUM(J177:J180))</f>
        <v/>
      </c>
      <c r="K185" s="481">
        <f>MAX(SUM(K167:K171),SUM(K177:K180))</f>
        <v/>
      </c>
      <c r="L185" s="481">
        <f>MAX(SUM(L167:L171),SUM(L177:L180))</f>
        <v/>
      </c>
      <c r="M185" s="481">
        <f>MAX(SUM(M167:M171),SUM(M177:M180))</f>
        <v/>
      </c>
      <c r="N185" s="481">
        <f>MAX(SUM(N167:N171),SUM(N177:N180))</f>
        <v/>
      </c>
      <c r="O185" s="481">
        <f>MAX(SUM(O167:O171),SUM(O177:O180))</f>
        <v/>
      </c>
      <c r="P185" s="481">
        <f>MAX(SUM(P167:P171),SUM(P177:P180))</f>
        <v/>
      </c>
      <c r="Q185" s="481">
        <f>MAX(SUM(Q167:Q171),SUM(Q177:Q180))</f>
        <v/>
      </c>
      <c r="R185" s="481">
        <f>MAX(SUM(R167:R171),SUM(R177:R180))</f>
        <v/>
      </c>
      <c r="S185" s="481">
        <f>MAX(SUM(S167:S171),SUM(S177:S180))</f>
        <v/>
      </c>
      <c r="T185" s="481">
        <f>MAX(SUM(T167:T171),SUM(T177:T180))</f>
        <v/>
      </c>
      <c r="U185" s="481">
        <f>MAX(SUM(U167:U171),SUM(U177:U180))</f>
        <v/>
      </c>
      <c r="V185" s="481">
        <f>MAX(SUM(V167:V171),SUM(V177:V180))</f>
        <v/>
      </c>
      <c r="W185" s="481">
        <f>MAX(SUM(W167:W171),SUM(W177:W180))</f>
        <v/>
      </c>
      <c r="X185" s="481">
        <f>MAX(SUM(X167:X171),SUM(X177:X180))</f>
        <v/>
      </c>
      <c r="Y185" s="481">
        <f>MAX(SUM(Y167:Y171),SUM(Y177:Y180))</f>
        <v/>
      </c>
      <c r="Z185" s="481">
        <f>MAX(SUM(Z167:Z171),SUM(Z177:Z180))</f>
        <v/>
      </c>
      <c r="AA185" s="481">
        <f>MAX(SUM(AA167:AA171),SUM(AA177:AA180))</f>
        <v/>
      </c>
      <c r="AB185" s="481">
        <f>MAX(SUM(AB167:AB171),SUM(AB177:AB180))</f>
        <v/>
      </c>
      <c r="AC185" s="481">
        <f>MAX(SUM(AC167:AC171),SUM(AC177:AC180))</f>
        <v/>
      </c>
      <c r="AD185" s="481">
        <f>MAX(SUM(AD167:AD171),SUM(AD177:AD180))</f>
        <v/>
      </c>
      <c r="AE185" s="481">
        <f>MAX(SUM(AE167:AE171),SUM(AE177:AE180))</f>
        <v/>
      </c>
      <c r="AF185" s="481">
        <f>MAX(SUM(AF167:AF171),SUM(AF177:AF180))</f>
        <v/>
      </c>
      <c r="AG185" s="481">
        <f>MAX(SUM(AG167:AG171),SUM(AG177:AG180))</f>
        <v/>
      </c>
      <c r="AH185" s="481">
        <f>MAX(SUM(AH167:AH171),SUM(AH177:AH180))</f>
        <v/>
      </c>
      <c r="AI185" s="481">
        <f>MAX(SUM(AI167:AI171),SUM(AI177:AI180))</f>
        <v/>
      </c>
      <c r="AJ185" s="481">
        <f>MAX(SUM(AJ167:AJ171),SUM(AJ177:AJ180))</f>
        <v/>
      </c>
      <c r="AK185" s="481">
        <f>MAX(SUM(AK167:AK171),SUM(AK177:AK180))</f>
        <v/>
      </c>
      <c r="AL185" s="481">
        <f>MAX(SUM(AL167:AL171),SUM(AL177:AL180))</f>
        <v/>
      </c>
      <c r="AM185" s="481">
        <f>MAX(SUM(AM167:AM171),SUM(AM177:AM180))</f>
        <v/>
      </c>
      <c r="AN185" s="481">
        <f>MAX(SUM(AN167:AN171),SUM(AN177:AN180))</f>
        <v/>
      </c>
      <c r="AO185" s="481">
        <f>MAX(SUM(AO167:AO171),SUM(AO177:AO180))</f>
        <v/>
      </c>
      <c r="AP185" s="481">
        <f>MAX(SUM(AP167:AP171),SUM(AP177:AP180))</f>
        <v/>
      </c>
      <c r="AQ185" s="481">
        <f>MAX(SUM(AQ167:AQ171),SUM(AQ177:AQ180))</f>
        <v/>
      </c>
      <c r="AR185" s="481">
        <f>MAX(SUM(AR167:AR171),SUM(AR177:AR180))</f>
        <v/>
      </c>
      <c r="AS185" s="481">
        <f>MAX(SUM(AS167:AS171),SUM(AS177:AS180))</f>
        <v/>
      </c>
      <c r="AT185" s="481">
        <f>MAX(SUM(AT167:AT171),SUM(AT177:AT180))</f>
        <v/>
      </c>
      <c r="AU185" s="481">
        <f>MAX(SUM(AU167:AU171),SUM(AU177:AU180))</f>
        <v/>
      </c>
      <c r="AV185" s="481">
        <f>MAX(SUM(AV167:AV171),SUM(AV177:AV180))</f>
        <v/>
      </c>
      <c r="AW185" s="481">
        <f>MAX(SUM(AW167:AW171),SUM(AW177:AW180))</f>
        <v/>
      </c>
      <c r="AX185" s="481">
        <f>MAX(SUM(AX167:AX171),SUM(AX177:AX180))</f>
        <v/>
      </c>
      <c r="AY185" s="481">
        <f>MAX(SUM(AY167:AY171),SUM(AY177:AY180))</f>
        <v/>
      </c>
      <c r="AZ185" s="481">
        <f>MAX(SUM(AZ167:AZ171),SUM(AZ177:AZ180))</f>
        <v/>
      </c>
      <c r="BA185" s="481">
        <f>MAX(SUM(BA167:BA171),SUM(BA177:BA180))</f>
        <v/>
      </c>
      <c r="BB185" s="481">
        <f>MAX(SUM(BB167:BB171),SUM(BB177:BB180))</f>
        <v/>
      </c>
      <c r="BC185" s="481">
        <f>MAX(SUM(BC167:BC171),SUM(BC177:BC180))</f>
        <v/>
      </c>
      <c r="BD185" s="481">
        <f>MAX(SUM(BD167:BD171),SUM(BD177:BD180))</f>
        <v/>
      </c>
      <c r="BE185" s="481">
        <f>MAX(SUM(BE167:BE171),SUM(BE177:BE180))</f>
        <v/>
      </c>
      <c r="BF185" s="481">
        <f>MAX(SUM(BF167:BF171),SUM(BF177:BF180))</f>
        <v/>
      </c>
      <c r="BG185" s="481">
        <f>MAX(SUM(BG167:BG171),SUM(BG177:BG180))</f>
        <v/>
      </c>
      <c r="BH185" s="481">
        <f>MAX(SUM(BH167:BH171),SUM(BH177:BH180))</f>
        <v/>
      </c>
      <c r="BI185" s="481">
        <f>MAX(SUM(BI167:BI171),SUM(BI177:BI180))</f>
        <v/>
      </c>
      <c r="BJ185" s="481">
        <f>MAX(SUM(BJ167:BJ171),SUM(BJ177:BJ180))</f>
        <v/>
      </c>
      <c r="BK185" s="481">
        <f>MAX(SUM(BK167:BK171),SUM(BK177:BK180))</f>
        <v/>
      </c>
      <c r="BL185" s="481">
        <f>MAX(SUM(BL167:BL171),SUM(BL177:BL180))</f>
        <v/>
      </c>
      <c r="BM185" s="481">
        <f>MAX(SUM(BM167:BM171),SUM(BM177:BM180))</f>
        <v/>
      </c>
      <c r="BN185" s="481">
        <f>MAX(SUM(BN167:BN171),SUM(BN177:BN180))</f>
        <v/>
      </c>
      <c r="BO185" s="481">
        <f>MAX(SUM(BO167:BO171),SUM(BO177:BO180))</f>
        <v/>
      </c>
      <c r="BP185" s="481">
        <f>MAX(SUM(BP167:BP171),SUM(BP177:BP180))</f>
        <v/>
      </c>
      <c r="BQ185" s="481">
        <f>MAX(SUM(BQ167:BQ171),SUM(BQ177:BQ180))</f>
        <v/>
      </c>
      <c r="BR185" s="481">
        <f>MAX(SUM(BR167:BR171),SUM(BR177:BR180))</f>
        <v/>
      </c>
      <c r="BS185" s="481">
        <f>MAX(SUM(BS167:BS171),SUM(BS177:BS180))</f>
        <v/>
      </c>
      <c r="BT185" s="481">
        <f>MAX(SUM(BT167:BT171),SUM(BT177:BT180))</f>
        <v/>
      </c>
      <c r="BU185" s="481">
        <f>MAX(SUM(BU167:BU171),SUM(BU177:BU180))</f>
        <v/>
      </c>
      <c r="BV185" s="481">
        <f>MAX(SUM(BV167:BV171),SUM(BV177:BV180))</f>
        <v/>
      </c>
      <c r="BW185" s="481">
        <f>MAX(SUM(BW167:BW171),SUM(BW177:BW180))</f>
        <v/>
      </c>
      <c r="BX185" s="481">
        <f>MAX(SUM(BX167:BX171),SUM(BX177:BX180))</f>
        <v/>
      </c>
      <c r="BY185" s="481">
        <f>MAX(SUM(BY167:BY171),SUM(BY177:BY180))</f>
        <v/>
      </c>
      <c r="BZ185" s="481">
        <f>MAX(SUM(BZ167:BZ171),SUM(BZ177:BZ180))</f>
        <v/>
      </c>
      <c r="CA185" s="481">
        <f>MAX(SUM(CA167:CA171),SUM(CA177:CA180))</f>
        <v/>
      </c>
      <c r="CB185" s="481">
        <f>MAX(SUM(CB167:CB171),SUM(CB177:CB180))</f>
        <v/>
      </c>
      <c r="CC185" s="481">
        <f>MAX(SUM(CC167:CC171),SUM(CC177:CC180))</f>
        <v/>
      </c>
      <c r="CD185" s="481">
        <f>MAX(SUM(CD167:CD171),SUM(CD177:CD180))</f>
        <v/>
      </c>
      <c r="CE185" s="481">
        <f>MAX(SUM(CE167:CE171),SUM(CE177:CE180))</f>
        <v/>
      </c>
      <c r="CF185" s="481">
        <f>MAX(SUM(CF167:CF171),SUM(CF177:CF180))</f>
        <v/>
      </c>
      <c r="CG185" s="481">
        <f>MAX(SUM(CG167:CG171),SUM(CG177:CG180))</f>
        <v/>
      </c>
      <c r="CH185" s="481">
        <f>MAX(SUM(CH167:CH171),SUM(CH177:CH180))</f>
        <v/>
      </c>
      <c r="CI185" s="481">
        <f>MAX(SUM(CI167:CI171),SUM(CI177:CI180))</f>
        <v/>
      </c>
      <c r="CJ185" s="481">
        <f>MAX(SUM(CJ167:CJ171),SUM(CJ177:CJ180))</f>
        <v/>
      </c>
      <c r="CK185" s="481">
        <f>MAX(SUM(CK167:CK171),SUM(CK177:CK180))</f>
        <v/>
      </c>
      <c r="CL185" s="481">
        <f>MAX(SUM(CL167:CL171),SUM(CL177:CL180))</f>
        <v/>
      </c>
      <c r="CM185" s="481">
        <f>MAX(SUM(CM167:CM171),SUM(CM177:CM180))</f>
        <v/>
      </c>
      <c r="CN185" s="481">
        <f>MAX(SUM(CN167:CN171),SUM(CN177:CN180))</f>
        <v/>
      </c>
      <c r="CO185" s="481">
        <f>MAX(SUM(CO167:CO171),SUM(CO177:CO180))</f>
        <v/>
      </c>
      <c r="CP185" s="481">
        <f>MAX(SUM(CP167:CP171),SUM(CP177:CP180))</f>
        <v/>
      </c>
      <c r="CQ185" s="481">
        <f>MAX(SUM(CQ167:CQ171),SUM(CQ177:CQ180))</f>
        <v/>
      </c>
      <c r="CR185" s="481">
        <f>MAX(SUM(CR167:CR171),SUM(CR177:CR180))</f>
        <v/>
      </c>
      <c r="CS185" s="481">
        <f>MAX(SUM(CS167:CS171),SUM(CS177:CS180))</f>
        <v/>
      </c>
      <c r="CT185" s="481">
        <f>MAX(SUM(CT167:CT171),SUM(CT177:CT180))</f>
        <v/>
      </c>
      <c r="CU185" s="481">
        <f>MAX(SUM(CU167:CU171),SUM(CU177:CU180))</f>
        <v/>
      </c>
      <c r="CV185" s="481">
        <f>MAX(SUM(CV167:CV171),SUM(CV177:CV180))</f>
        <v/>
      </c>
      <c r="CW185" s="481">
        <f>MAX(SUM(CW167:CW171),SUM(CW177:CW180))</f>
        <v/>
      </c>
      <c r="CX185" s="481">
        <f>MAX(SUM(CX167:CX171),SUM(CX177:CX180))</f>
        <v/>
      </c>
      <c r="CY185" s="481">
        <f>MAX(SUM(CY167:CY171),SUM(CY177:CY180))</f>
        <v/>
      </c>
      <c r="CZ185" s="481">
        <f>MAX(SUM(CZ167:CZ171),SUM(CZ177:CZ180))</f>
        <v/>
      </c>
      <c r="DA185" s="481">
        <f>MAX(SUM(DA167:DA171),SUM(DA177:DA180))</f>
        <v/>
      </c>
      <c r="DB185" s="481">
        <f>MAX(SUM(DB167:DB171),SUM(DB177:DB180))</f>
        <v/>
      </c>
      <c r="DC185" s="481">
        <f>MAX(SUM(DC167:DC171),SUM(DC177:DC180))</f>
        <v/>
      </c>
      <c r="DD185" s="481">
        <f>MAX(SUM(DD167:DD171),SUM(DD177:DD180))</f>
        <v/>
      </c>
      <c r="DE185" s="481">
        <f>MAX(SUM(DE167:DE171),SUM(DE177:DE180))</f>
        <v/>
      </c>
      <c r="DF185" s="481">
        <f>MAX(SUM(DF167:DF171),SUM(DF177:DF180))</f>
        <v/>
      </c>
      <c r="DG185" s="481">
        <f>MAX(SUM(DG167:DG171),SUM(DG177:DG180))</f>
        <v/>
      </c>
      <c r="DH185" s="481">
        <f>MAX(SUM(DH167:DH171),SUM(DH177:DH180))</f>
        <v/>
      </c>
      <c r="DI185" s="481">
        <f>MAX(SUM(DI167:DI171),SUM(DI177:DI180))</f>
        <v/>
      </c>
      <c r="DJ185" s="481">
        <f>MAX(SUM(DJ167:DJ171),SUM(DJ177:DJ180))</f>
        <v/>
      </c>
      <c r="DK185" s="481">
        <f>MAX(SUM(DK167:DK171),SUM(DK177:DK180))</f>
        <v/>
      </c>
      <c r="DL185" s="481">
        <f>MAX(SUM(DL167:DL171),SUM(DL177:DL180))</f>
        <v/>
      </c>
      <c r="DM185" s="481">
        <f>MAX(SUM(DM167:DM171),SUM(DM177:DM180))</f>
        <v/>
      </c>
      <c r="DN185" s="481">
        <f>MAX(SUM(DN167:DN171),SUM(DN177:DN180))</f>
        <v/>
      </c>
      <c r="DO185" s="481">
        <f>MAX(SUM(DO167:DO171),SUM(DO177:DO180))</f>
        <v/>
      </c>
      <c r="DP185" s="481">
        <f>MAX(SUM(DP167:DP171),SUM(DP177:DP180))</f>
        <v/>
      </c>
      <c r="DQ185" s="481">
        <f>MAX(SUM(DQ167:DQ171),SUM(DQ177:DQ180))</f>
        <v/>
      </c>
      <c r="DR185" s="481">
        <f>MAX(SUM(DR167:DR171),SUM(DR177:DR180))</f>
        <v/>
      </c>
      <c r="DS185" s="481">
        <f>MAX(SUM(DS167:DS171),SUM(DS177:DS180))</f>
        <v/>
      </c>
      <c r="DT185" s="481">
        <f>MAX(SUM(DT167:DT171),SUM(DT177:DT180))</f>
        <v/>
      </c>
      <c r="DU185" s="481">
        <f>MAX(SUM(DU167:DU171),SUM(DU177:DU180))</f>
        <v/>
      </c>
      <c r="DV185" s="481">
        <f>MAX(SUM(DV167:DV171),SUM(DV177:DV180))</f>
        <v/>
      </c>
      <c r="DW185" s="322" t="inlineStr">
        <is>
          <t>x</t>
        </is>
      </c>
    </row>
    <row r="186" hidden="1" outlineLevel="1">
      <c r="C186" s="479" t="n"/>
      <c r="D186" s="480" t="n"/>
      <c r="E186" s="481" t="n"/>
      <c r="F186" s="481" t="n"/>
      <c r="G186" s="481" t="n"/>
      <c r="H186" s="481" t="n"/>
      <c r="I186" s="481" t="n"/>
      <c r="J186" s="481" t="n"/>
      <c r="K186" s="481" t="n"/>
      <c r="L186" s="481" t="n"/>
      <c r="M186" s="481" t="n"/>
      <c r="N186" s="481" t="n"/>
      <c r="O186" s="481" t="n"/>
      <c r="P186" s="481" t="n"/>
      <c r="Q186" s="481" t="n"/>
      <c r="R186" s="481" t="n"/>
      <c r="S186" s="481" t="n"/>
      <c r="T186" s="481" t="n"/>
      <c r="U186" s="481" t="n"/>
      <c r="V186" s="481" t="n"/>
      <c r="W186" s="481" t="n"/>
      <c r="X186" s="481" t="n"/>
      <c r="Y186" s="481" t="n"/>
      <c r="Z186" s="481" t="n"/>
      <c r="AA186" s="481" t="n"/>
      <c r="AB186" s="481" t="n"/>
      <c r="AC186" s="481" t="n"/>
      <c r="AD186" s="481" t="n"/>
      <c r="AE186" s="481" t="n"/>
      <c r="AF186" s="481" t="n"/>
      <c r="AG186" s="481" t="n"/>
      <c r="AH186" s="481" t="n"/>
      <c r="AI186" s="481" t="n"/>
      <c r="AJ186" s="481" t="n"/>
      <c r="AK186" s="481" t="n"/>
      <c r="AL186" s="481" t="n"/>
      <c r="AM186" s="481" t="n"/>
      <c r="AN186" s="481" t="n"/>
      <c r="AO186" s="481" t="n"/>
      <c r="AP186" s="481" t="n"/>
      <c r="AQ186" s="481" t="n"/>
      <c r="AR186" s="481" t="n"/>
      <c r="AS186" s="481" t="n"/>
      <c r="AT186" s="481" t="n"/>
      <c r="AU186" s="481" t="n"/>
      <c r="AV186" s="481" t="n"/>
      <c r="AW186" s="481" t="n"/>
      <c r="AX186" s="481" t="n"/>
      <c r="AY186" s="481" t="n"/>
      <c r="AZ186" s="481" t="n"/>
      <c r="BA186" s="481" t="n"/>
      <c r="BB186" s="481" t="n"/>
      <c r="BC186" s="481" t="n"/>
      <c r="BD186" s="481" t="n"/>
      <c r="BE186" s="481" t="n"/>
      <c r="BF186" s="481" t="n"/>
      <c r="BG186" s="481" t="n"/>
      <c r="BH186" s="481" t="n"/>
      <c r="BI186" s="481" t="n"/>
      <c r="BJ186" s="481" t="n"/>
      <c r="BK186" s="481" t="n"/>
      <c r="BL186" s="481" t="n"/>
      <c r="BM186" s="481" t="n"/>
      <c r="BN186" s="481" t="n"/>
      <c r="BO186" s="481" t="n"/>
      <c r="BP186" s="481" t="n"/>
      <c r="BQ186" s="481" t="n"/>
      <c r="BR186" s="481" t="n"/>
      <c r="BS186" s="481" t="n"/>
      <c r="BT186" s="481" t="n"/>
      <c r="BU186" s="481" t="n"/>
      <c r="BV186" s="481" t="n"/>
      <c r="BW186" s="481" t="n"/>
      <c r="BX186" s="481" t="n"/>
      <c r="BY186" s="481" t="n"/>
      <c r="BZ186" s="481" t="n"/>
      <c r="CA186" s="481" t="n"/>
      <c r="CB186" s="481" t="n"/>
      <c r="CC186" s="481" t="n"/>
      <c r="CD186" s="481" t="n"/>
      <c r="CE186" s="481" t="n"/>
      <c r="CF186" s="481" t="n"/>
      <c r="CG186" s="481" t="n"/>
      <c r="CH186" s="481" t="n"/>
      <c r="CI186" s="481" t="n"/>
      <c r="CJ186" s="481" t="n"/>
      <c r="CK186" s="481" t="n"/>
      <c r="CL186" s="481" t="n"/>
      <c r="CM186" s="481" t="n"/>
      <c r="CN186" s="481" t="n"/>
      <c r="CO186" s="481" t="n"/>
      <c r="CP186" s="481" t="n"/>
      <c r="CQ186" s="481" t="n"/>
      <c r="CR186" s="481" t="n"/>
      <c r="CS186" s="481" t="n"/>
      <c r="CT186" s="481" t="n"/>
      <c r="CU186" s="481" t="n"/>
      <c r="CV186" s="481" t="n"/>
      <c r="CW186" s="481" t="n"/>
      <c r="CX186" s="481" t="n"/>
      <c r="CY186" s="481" t="n"/>
      <c r="CZ186" s="481" t="n"/>
      <c r="DA186" s="481" t="n"/>
      <c r="DB186" s="481" t="n"/>
      <c r="DC186" s="481" t="n"/>
      <c r="DD186" s="481" t="n"/>
      <c r="DE186" s="481" t="n"/>
      <c r="DF186" s="481" t="n"/>
      <c r="DG186" s="481" t="n"/>
      <c r="DH186" s="481" t="n"/>
      <c r="DI186" s="481" t="n"/>
      <c r="DJ186" s="481" t="n"/>
      <c r="DK186" s="481" t="n"/>
      <c r="DL186" s="481" t="n"/>
      <c r="DM186" s="481" t="n"/>
      <c r="DN186" s="481" t="n"/>
      <c r="DO186" s="481" t="n"/>
      <c r="DP186" s="481" t="n"/>
      <c r="DQ186" s="481" t="n"/>
      <c r="DR186" s="481" t="n"/>
      <c r="DS186" s="481" t="n"/>
      <c r="DT186" s="481" t="n"/>
      <c r="DU186" s="481" t="n"/>
      <c r="DV186" s="481" t="n"/>
      <c r="DW186" s="322" t="inlineStr">
        <is>
          <t>x</t>
        </is>
      </c>
    </row>
    <row r="187" hidden="1" outlineLevel="1" ht="17.25" customHeight="1" thickBot="1">
      <c r="C187" s="480">
        <f>"Total Distribution Per Tier III to "&amp;C86</f>
        <v/>
      </c>
      <c r="D187" s="480" t="n"/>
      <c r="E187" s="491">
        <f>SUM(F187:DV187)</f>
        <v/>
      </c>
      <c r="F187" s="483">
        <f>-MAX(MIN(F185,F162*$D$190),0)</f>
        <v/>
      </c>
      <c r="G187" s="483">
        <f>-MAX(MIN(G185,G162*$D$190),0)</f>
        <v/>
      </c>
      <c r="H187" s="483">
        <f>-MAX(MIN(H185,H162*$D$190),0)</f>
        <v/>
      </c>
      <c r="I187" s="483">
        <f>-MAX(MIN(I185,I162*$D$190),0)</f>
        <v/>
      </c>
      <c r="J187" s="483">
        <f>-MAX(MIN(J185,J162*$D$190),0)</f>
        <v/>
      </c>
      <c r="K187" s="483">
        <f>-MAX(MIN(K185,K162*$D$190),0)</f>
        <v/>
      </c>
      <c r="L187" s="483">
        <f>-MAX(MIN(L185,L162*$D$190),0)</f>
        <v/>
      </c>
      <c r="M187" s="483">
        <f>-MAX(MIN(M185,M162*$D$190),0)</f>
        <v/>
      </c>
      <c r="N187" s="483">
        <f>-MAX(MIN(N185,N162*$D$190),0)</f>
        <v/>
      </c>
      <c r="O187" s="483">
        <f>-MAX(MIN(O185,O162*$D$190),0)</f>
        <v/>
      </c>
      <c r="P187" s="483">
        <f>-MAX(MIN(P185,P162*$D$190),0)</f>
        <v/>
      </c>
      <c r="Q187" s="483">
        <f>-MAX(MIN(Q185,Q162*$D$190),0)</f>
        <v/>
      </c>
      <c r="R187" s="483">
        <f>-MAX(MIN(R185,R162*$D$190),0)</f>
        <v/>
      </c>
      <c r="S187" s="483">
        <f>-MAX(MIN(S185,S162*$D$190),0)</f>
        <v/>
      </c>
      <c r="T187" s="483">
        <f>-MAX(MIN(T185,T162*$D$190),0)</f>
        <v/>
      </c>
      <c r="U187" s="483">
        <f>-MAX(MIN(U185,U162*$D$190),0)</f>
        <v/>
      </c>
      <c r="V187" s="483">
        <f>-MAX(MIN(V185,V162*$D$190),0)</f>
        <v/>
      </c>
      <c r="W187" s="483">
        <f>-MAX(MIN(W185,W162*$D$190),0)</f>
        <v/>
      </c>
      <c r="X187" s="483">
        <f>-MAX(MIN(X185,X162*$D$190),0)</f>
        <v/>
      </c>
      <c r="Y187" s="483">
        <f>-MAX(MIN(Y185,Y162*$D$190),0)</f>
        <v/>
      </c>
      <c r="Z187" s="483">
        <f>-MAX(MIN(Z185,Z162*$D$190),0)</f>
        <v/>
      </c>
      <c r="AA187" s="483">
        <f>-MAX(MIN(AA185,AA162*$D$190),0)</f>
        <v/>
      </c>
      <c r="AB187" s="483">
        <f>-MAX(MIN(AB185,AB162*$D$190),0)</f>
        <v/>
      </c>
      <c r="AC187" s="483">
        <f>-MAX(MIN(AC185,AC162*$D$190),0)</f>
        <v/>
      </c>
      <c r="AD187" s="483">
        <f>-MAX(MIN(AD185,AD162*$D$190),0)</f>
        <v/>
      </c>
      <c r="AE187" s="483">
        <f>-MAX(MIN(AE185,AE162*$D$190),0)</f>
        <v/>
      </c>
      <c r="AF187" s="483">
        <f>-MAX(MIN(AF185,AF162*$D$190),0)</f>
        <v/>
      </c>
      <c r="AG187" s="483">
        <f>-MAX(MIN(AG185,AG162*$D$190),0)</f>
        <v/>
      </c>
      <c r="AH187" s="483">
        <f>-MAX(MIN(AH185,AH162*$D$190),0)</f>
        <v/>
      </c>
      <c r="AI187" s="483">
        <f>-MAX(MIN(AI185,AI162*$D$190),0)</f>
        <v/>
      </c>
      <c r="AJ187" s="483">
        <f>-MAX(MIN(AJ185,AJ162*$D$190),0)</f>
        <v/>
      </c>
      <c r="AK187" s="483">
        <f>-MAX(MIN(AK185,AK162*$D$190),0)</f>
        <v/>
      </c>
      <c r="AL187" s="483">
        <f>-MAX(MIN(AL185,AL162*$D$190),0)</f>
        <v/>
      </c>
      <c r="AM187" s="483">
        <f>-MAX(MIN(AM185,AM162*$D$190),0)</f>
        <v/>
      </c>
      <c r="AN187" s="483">
        <f>-MAX(MIN(AN185,AN162*$D$190),0)</f>
        <v/>
      </c>
      <c r="AO187" s="483">
        <f>-MAX(MIN(AO185,AO162*$D$190),0)</f>
        <v/>
      </c>
      <c r="AP187" s="483">
        <f>-MAX(MIN(AP185,AP162*$D$190),0)</f>
        <v/>
      </c>
      <c r="AQ187" s="483">
        <f>-MAX(MIN(AQ185,AQ162*$D$190),0)</f>
        <v/>
      </c>
      <c r="AR187" s="483">
        <f>-MAX(MIN(AR185,AR162*$D$190),0)</f>
        <v/>
      </c>
      <c r="AS187" s="483">
        <f>-MAX(MIN(AS185,AS162*$D$190),0)</f>
        <v/>
      </c>
      <c r="AT187" s="483">
        <f>-MAX(MIN(AT185,AT162*$D$190),0)</f>
        <v/>
      </c>
      <c r="AU187" s="483">
        <f>-MAX(MIN(AU185,AU162*$D$190),0)</f>
        <v/>
      </c>
      <c r="AV187" s="483">
        <f>-MAX(MIN(AV185,AV162*$D$190),0)</f>
        <v/>
      </c>
      <c r="AW187" s="483">
        <f>-MAX(MIN(AW185,AW162*$D$190),0)</f>
        <v/>
      </c>
      <c r="AX187" s="483">
        <f>-MAX(MIN(AX185,AX162*$D$190),0)</f>
        <v/>
      </c>
      <c r="AY187" s="483">
        <f>-MAX(MIN(AY185,AY162*$D$190),0)</f>
        <v/>
      </c>
      <c r="AZ187" s="483">
        <f>-MAX(MIN(AZ185,AZ162*$D$190),0)</f>
        <v/>
      </c>
      <c r="BA187" s="483">
        <f>-MAX(MIN(BA185,BA162*$D$190),0)</f>
        <v/>
      </c>
      <c r="BB187" s="483">
        <f>-MAX(MIN(BB185,BB162*$D$190),0)</f>
        <v/>
      </c>
      <c r="BC187" s="483">
        <f>-MAX(MIN(BC185,BC162*$D$190),0)</f>
        <v/>
      </c>
      <c r="BD187" s="483">
        <f>-MAX(MIN(BD185,BD162*$D$190),0)</f>
        <v/>
      </c>
      <c r="BE187" s="483">
        <f>-MAX(MIN(BE185,BE162*$D$190),0)</f>
        <v/>
      </c>
      <c r="BF187" s="483">
        <f>-MAX(MIN(BF185,BF162*$D$190),0)</f>
        <v/>
      </c>
      <c r="BG187" s="483">
        <f>-MAX(MIN(BG185,BG162*$D$190),0)</f>
        <v/>
      </c>
      <c r="BH187" s="483">
        <f>-MAX(MIN(BH185,BH162*$D$190),0)</f>
        <v/>
      </c>
      <c r="BI187" s="483">
        <f>-MAX(MIN(BI185,BI162*$D$190),0)</f>
        <v/>
      </c>
      <c r="BJ187" s="483">
        <f>-MAX(MIN(BJ185,BJ162*$D$190),0)</f>
        <v/>
      </c>
      <c r="BK187" s="483">
        <f>-MAX(MIN(BK185,BK162*$D$190),0)</f>
        <v/>
      </c>
      <c r="BL187" s="483">
        <f>-MAX(MIN(BL185,BL162*$D$190),0)</f>
        <v/>
      </c>
      <c r="BM187" s="483">
        <f>-MAX(MIN(BM185,BM162*$D$190),0)</f>
        <v/>
      </c>
      <c r="BN187" s="483">
        <f>-MAX(MIN(BN185,BN162*$D$190),0)</f>
        <v/>
      </c>
      <c r="BO187" s="483">
        <f>-MAX(MIN(BO185,BO162*$D$190),0)</f>
        <v/>
      </c>
      <c r="BP187" s="483">
        <f>-MAX(MIN(BP185,BP162*$D$190),0)</f>
        <v/>
      </c>
      <c r="BQ187" s="483">
        <f>-MAX(MIN(BQ185,BQ162*$D$190),0)</f>
        <v/>
      </c>
      <c r="BR187" s="483">
        <f>-MAX(MIN(BR185,BR162*$D$190),0)</f>
        <v/>
      </c>
      <c r="BS187" s="483">
        <f>-MAX(MIN(BS185,BS162*$D$190),0)</f>
        <v/>
      </c>
      <c r="BT187" s="483">
        <f>-MAX(MIN(BT185,BT162*$D$190),0)</f>
        <v/>
      </c>
      <c r="BU187" s="483">
        <f>-MAX(MIN(BU185,BU162*$D$190),0)</f>
        <v/>
      </c>
      <c r="BV187" s="483">
        <f>-MAX(MIN(BV185,BV162*$D$190),0)</f>
        <v/>
      </c>
      <c r="BW187" s="483">
        <f>-MAX(MIN(BW185,BW162*$D$190),0)</f>
        <v/>
      </c>
      <c r="BX187" s="483">
        <f>-MAX(MIN(BX185,BX162*$D$190),0)</f>
        <v/>
      </c>
      <c r="BY187" s="483">
        <f>-MAX(MIN(BY185,BY162*$D$190),0)</f>
        <v/>
      </c>
      <c r="BZ187" s="483">
        <f>-MAX(MIN(BZ185,BZ162*$D$190),0)</f>
        <v/>
      </c>
      <c r="CA187" s="483">
        <f>-MAX(MIN(CA185,CA162*$D$190),0)</f>
        <v/>
      </c>
      <c r="CB187" s="483">
        <f>-MAX(MIN(CB185,CB162*$D$190),0)</f>
        <v/>
      </c>
      <c r="CC187" s="483">
        <f>-MAX(MIN(CC185,CC162*$D$190),0)</f>
        <v/>
      </c>
      <c r="CD187" s="483">
        <f>-MAX(MIN(CD185,CD162*$D$190),0)</f>
        <v/>
      </c>
      <c r="CE187" s="483">
        <f>-MAX(MIN(CE185,CE162*$D$190),0)</f>
        <v/>
      </c>
      <c r="CF187" s="483">
        <f>-MAX(MIN(CF185,CF162*$D$190),0)</f>
        <v/>
      </c>
      <c r="CG187" s="483">
        <f>-MAX(MIN(CG185,CG162*$D$190),0)</f>
        <v/>
      </c>
      <c r="CH187" s="483">
        <f>-MAX(MIN(CH185,CH162*$D$190),0)</f>
        <v/>
      </c>
      <c r="CI187" s="483">
        <f>-MAX(MIN(CI185,CI162*$D$190),0)</f>
        <v/>
      </c>
      <c r="CJ187" s="483">
        <f>-MAX(MIN(CJ185,CJ162*$D$190),0)</f>
        <v/>
      </c>
      <c r="CK187" s="483">
        <f>-MAX(MIN(CK185,CK162*$D$190),0)</f>
        <v/>
      </c>
      <c r="CL187" s="483">
        <f>-MAX(MIN(CL185,CL162*$D$190),0)</f>
        <v/>
      </c>
      <c r="CM187" s="483">
        <f>-MAX(MIN(CM185,CM162*$D$190),0)</f>
        <v/>
      </c>
      <c r="CN187" s="483">
        <f>-MAX(MIN(CN185,CN162*$D$190),0)</f>
        <v/>
      </c>
      <c r="CO187" s="483">
        <f>-MAX(MIN(CO185,CO162*$D$190),0)</f>
        <v/>
      </c>
      <c r="CP187" s="483">
        <f>-MAX(MIN(CP185,CP162*$D$190),0)</f>
        <v/>
      </c>
      <c r="CQ187" s="483">
        <f>-MAX(MIN(CQ185,CQ162*$D$190),0)</f>
        <v/>
      </c>
      <c r="CR187" s="483">
        <f>-MAX(MIN(CR185,CR162*$D$190),0)</f>
        <v/>
      </c>
      <c r="CS187" s="483">
        <f>-MAX(MIN(CS185,CS162*$D$190),0)</f>
        <v/>
      </c>
      <c r="CT187" s="483">
        <f>-MAX(MIN(CT185,CT162*$D$190),0)</f>
        <v/>
      </c>
      <c r="CU187" s="483">
        <f>-MAX(MIN(CU185,CU162*$D$190),0)</f>
        <v/>
      </c>
      <c r="CV187" s="483">
        <f>-MAX(MIN(CV185,CV162*$D$190),0)</f>
        <v/>
      </c>
      <c r="CW187" s="483">
        <f>-MAX(MIN(CW185,CW162*$D$190),0)</f>
        <v/>
      </c>
      <c r="CX187" s="483">
        <f>-MAX(MIN(CX185,CX162*$D$190),0)</f>
        <v/>
      </c>
      <c r="CY187" s="483">
        <f>-MAX(MIN(CY185,CY162*$D$190),0)</f>
        <v/>
      </c>
      <c r="CZ187" s="483">
        <f>-MAX(MIN(CZ185,CZ162*$D$190),0)</f>
        <v/>
      </c>
      <c r="DA187" s="483">
        <f>-MAX(MIN(DA185,DA162*$D$190),0)</f>
        <v/>
      </c>
      <c r="DB187" s="483">
        <f>-MAX(MIN(DB185,DB162*$D$190),0)</f>
        <v/>
      </c>
      <c r="DC187" s="483">
        <f>-MAX(MIN(DC185,DC162*$D$190),0)</f>
        <v/>
      </c>
      <c r="DD187" s="483">
        <f>-MAX(MIN(DD185,DD162*$D$190),0)</f>
        <v/>
      </c>
      <c r="DE187" s="483">
        <f>-MAX(MIN(DE185,DE162*$D$190),0)</f>
        <v/>
      </c>
      <c r="DF187" s="483">
        <f>-MAX(MIN(DF185,DF162*$D$190),0)</f>
        <v/>
      </c>
      <c r="DG187" s="483">
        <f>-MAX(MIN(DG185,DG162*$D$190),0)</f>
        <v/>
      </c>
      <c r="DH187" s="483">
        <f>-MAX(MIN(DH185,DH162*$D$190),0)</f>
        <v/>
      </c>
      <c r="DI187" s="483">
        <f>-MAX(MIN(DI185,DI162*$D$190),0)</f>
        <v/>
      </c>
      <c r="DJ187" s="483">
        <f>-MAX(MIN(DJ185,DJ162*$D$190),0)</f>
        <v/>
      </c>
      <c r="DK187" s="483">
        <f>-MAX(MIN(DK185,DK162*$D$190),0)</f>
        <v/>
      </c>
      <c r="DL187" s="483">
        <f>-MAX(MIN(DL185,DL162*$D$190),0)</f>
        <v/>
      </c>
      <c r="DM187" s="483">
        <f>-MAX(MIN(DM185,DM162*$D$190),0)</f>
        <v/>
      </c>
      <c r="DN187" s="483">
        <f>-MAX(MIN(DN185,DN162*$D$190),0)</f>
        <v/>
      </c>
      <c r="DO187" s="483">
        <f>-MAX(MIN(DO185,DO162*$D$190),0)</f>
        <v/>
      </c>
      <c r="DP187" s="483">
        <f>-MAX(MIN(DP185,DP162*$D$190),0)</f>
        <v/>
      </c>
      <c r="DQ187" s="483">
        <f>-MAX(MIN(DQ185,DQ162*$D$190),0)</f>
        <v/>
      </c>
      <c r="DR187" s="483">
        <f>-MAX(MIN(DR185,DR162*$D$190),0)</f>
        <v/>
      </c>
      <c r="DS187" s="483">
        <f>-MAX(MIN(DS185,DS162*$D$190),0)</f>
        <v/>
      </c>
      <c r="DT187" s="483">
        <f>-MAX(MIN(DT185,DT162*$D$190),0)</f>
        <v/>
      </c>
      <c r="DU187" s="483">
        <f>-MAX(MIN(DU185,DU162*$D$190),0)</f>
        <v/>
      </c>
      <c r="DV187" s="483">
        <f>-MAX(MIN(DV185,DV162*$D$190),0)</f>
        <v/>
      </c>
      <c r="DW187" s="322" t="inlineStr">
        <is>
          <t>x</t>
        </is>
      </c>
    </row>
    <row r="188" hidden="1" outlineLevel="1" ht="17.25" customHeight="1" thickTop="1">
      <c r="C188" s="360" t="n"/>
      <c r="D188" s="360" t="n"/>
      <c r="E188" s="360" t="n"/>
      <c r="F188" s="360" t="n"/>
      <c r="G188" s="360" t="n"/>
      <c r="H188" s="360" t="n"/>
      <c r="I188" s="360" t="n"/>
      <c r="J188" s="360" t="n"/>
      <c r="K188" s="360" t="n"/>
      <c r="L188" s="360" t="n"/>
      <c r="M188" s="360" t="n"/>
      <c r="N188" s="360" t="n"/>
      <c r="O188" s="360" t="n"/>
      <c r="P188" s="360" t="n"/>
      <c r="Q188" s="360" t="n"/>
      <c r="R188" s="360" t="n"/>
      <c r="S188" s="360" t="n"/>
      <c r="T188" s="360" t="n"/>
      <c r="U188" s="360" t="n"/>
      <c r="V188" s="360" t="n"/>
      <c r="W188" s="360" t="n"/>
      <c r="X188" s="360" t="n"/>
      <c r="Y188" s="360" t="n"/>
      <c r="Z188" s="360" t="n"/>
      <c r="AA188" s="360" t="n"/>
      <c r="AB188" s="360" t="n"/>
      <c r="AC188" s="360" t="n"/>
      <c r="AD188" s="360" t="n"/>
      <c r="AE188" s="360" t="n"/>
      <c r="AF188" s="360" t="n"/>
      <c r="AG188" s="360" t="n"/>
      <c r="AH188" s="360" t="n"/>
      <c r="AI188" s="360" t="n"/>
      <c r="AJ188" s="360" t="n"/>
      <c r="AK188" s="360" t="n"/>
      <c r="AL188" s="360" t="n"/>
      <c r="AM188" s="360" t="n"/>
      <c r="AN188" s="360" t="n"/>
      <c r="AO188" s="360" t="n"/>
      <c r="AP188" s="360" t="n"/>
      <c r="AQ188" s="360" t="n"/>
      <c r="AR188" s="360" t="n"/>
      <c r="AS188" s="360" t="n"/>
      <c r="AT188" s="360" t="n"/>
      <c r="AU188" s="360" t="n"/>
      <c r="AV188" s="360" t="n"/>
      <c r="AW188" s="360" t="n"/>
      <c r="AX188" s="360" t="n"/>
      <c r="AY188" s="360" t="n"/>
      <c r="AZ188" s="360" t="n"/>
      <c r="BA188" s="360" t="n"/>
      <c r="BB188" s="360" t="n"/>
      <c r="BC188" s="360" t="n"/>
      <c r="BD188" s="360" t="n"/>
      <c r="BE188" s="360" t="n"/>
      <c r="BF188" s="360" t="n"/>
      <c r="BG188" s="360" t="n"/>
      <c r="BH188" s="360" t="n"/>
      <c r="BI188" s="360" t="n"/>
      <c r="BJ188" s="360" t="n"/>
      <c r="BK188" s="360" t="n"/>
      <c r="BL188" s="360" t="n"/>
      <c r="BM188" s="360" t="n"/>
      <c r="BN188" s="360" t="n"/>
      <c r="BO188" s="360" t="n"/>
      <c r="BP188" s="360" t="n"/>
      <c r="BQ188" s="360" t="n"/>
      <c r="BR188" s="360" t="n"/>
      <c r="BS188" s="360" t="n"/>
      <c r="BT188" s="360" t="n"/>
      <c r="BU188" s="360" t="n"/>
      <c r="BV188" s="360" t="n"/>
      <c r="BW188" s="360" t="n"/>
      <c r="BX188" s="360" t="n"/>
      <c r="BY188" s="360" t="n"/>
      <c r="BZ188" s="360" t="n"/>
      <c r="CA188" s="360" t="n"/>
      <c r="CB188" s="360" t="n"/>
      <c r="CC188" s="360" t="n"/>
      <c r="CD188" s="360" t="n"/>
      <c r="CE188" s="360" t="n"/>
      <c r="CF188" s="360" t="n"/>
      <c r="CG188" s="360" t="n"/>
      <c r="CH188" s="360" t="n"/>
      <c r="CI188" s="360" t="n"/>
      <c r="CJ188" s="360" t="n"/>
      <c r="CK188" s="360" t="n"/>
      <c r="CL188" s="360" t="n"/>
      <c r="CM188" s="360" t="n"/>
      <c r="CN188" s="360" t="n"/>
      <c r="CO188" s="360" t="n"/>
      <c r="CP188" s="360" t="n"/>
      <c r="CQ188" s="360" t="n"/>
      <c r="CR188" s="360" t="n"/>
      <c r="CS188" s="360" t="n"/>
      <c r="CT188" s="360" t="n"/>
      <c r="CU188" s="360" t="n"/>
      <c r="CV188" s="360" t="n"/>
      <c r="CW188" s="360" t="n"/>
      <c r="CX188" s="360" t="n"/>
      <c r="CY188" s="360" t="n"/>
      <c r="CZ188" s="360" t="n"/>
      <c r="DA188" s="360" t="n"/>
      <c r="DB188" s="360" t="n"/>
      <c r="DC188" s="360" t="n"/>
      <c r="DD188" s="360" t="n"/>
      <c r="DE188" s="360" t="n"/>
      <c r="DF188" s="360" t="n"/>
      <c r="DG188" s="360" t="n"/>
      <c r="DH188" s="360" t="n"/>
      <c r="DI188" s="360" t="n"/>
      <c r="DJ188" s="360" t="n"/>
      <c r="DK188" s="360" t="n"/>
      <c r="DL188" s="360" t="n"/>
      <c r="DM188" s="360" t="n"/>
      <c r="DN188" s="360" t="n"/>
      <c r="DO188" s="360" t="n"/>
      <c r="DP188" s="360" t="n"/>
      <c r="DQ188" s="360" t="n"/>
      <c r="DR188" s="360" t="n"/>
      <c r="DS188" s="360" t="n"/>
      <c r="DT188" s="360" t="n"/>
      <c r="DU188" s="360" t="n"/>
      <c r="DV188" s="360" t="n"/>
      <c r="DW188" s="322" t="inlineStr">
        <is>
          <t>x</t>
        </is>
      </c>
    </row>
    <row r="189" hidden="1" outlineLevel="1">
      <c r="C189" s="485" t="inlineStr">
        <is>
          <t>Splits</t>
        </is>
      </c>
      <c r="D189" s="374" t="n"/>
      <c r="E189" s="463" t="n"/>
      <c r="F189" s="374" t="n"/>
      <c r="G189" s="374" t="n"/>
      <c r="H189" s="463" t="n"/>
      <c r="I189" s="463" t="n"/>
      <c r="J189" s="463" t="n"/>
      <c r="K189" s="463" t="n"/>
      <c r="L189" s="463" t="n"/>
      <c r="M189" s="463" t="n"/>
      <c r="N189" s="463" t="n"/>
      <c r="O189" s="463" t="n"/>
      <c r="P189" s="463" t="n"/>
      <c r="Q189" s="463" t="n"/>
      <c r="R189" s="463" t="n"/>
      <c r="S189" s="463" t="n"/>
      <c r="T189" s="463" t="n"/>
      <c r="U189" s="463" t="n"/>
      <c r="V189" s="463" t="n"/>
      <c r="W189" s="463" t="n"/>
      <c r="X189" s="463" t="n"/>
      <c r="Y189" s="463" t="n"/>
      <c r="Z189" s="463" t="n"/>
      <c r="AA189" s="463" t="n"/>
      <c r="AB189" s="463" t="n"/>
      <c r="AC189" s="463" t="n"/>
      <c r="AD189" s="463" t="n"/>
      <c r="AE189" s="463" t="n"/>
      <c r="AF189" s="463" t="n"/>
      <c r="AG189" s="463" t="n"/>
      <c r="AH189" s="463" t="n"/>
      <c r="AI189" s="463" t="n"/>
      <c r="AJ189" s="463" t="n"/>
      <c r="AK189" s="463" t="n"/>
      <c r="AL189" s="463" t="n"/>
      <c r="AM189" s="463" t="n"/>
      <c r="AN189" s="463" t="n"/>
      <c r="AO189" s="463" t="n"/>
      <c r="AP189" s="463" t="n"/>
      <c r="AQ189" s="463" t="n"/>
      <c r="AR189" s="463" t="n"/>
      <c r="AS189" s="463" t="n"/>
      <c r="AT189" s="463" t="n"/>
      <c r="AU189" s="463" t="n"/>
      <c r="AV189" s="463" t="n"/>
      <c r="AW189" s="463" t="n"/>
      <c r="AX189" s="463" t="n"/>
      <c r="AY189" s="463" t="n"/>
      <c r="AZ189" s="463" t="n"/>
      <c r="BA189" s="463" t="n"/>
      <c r="BB189" s="463" t="n"/>
      <c r="BC189" s="463" t="n"/>
      <c r="BD189" s="463" t="n"/>
      <c r="BE189" s="463" t="n"/>
      <c r="BF189" s="463" t="n"/>
      <c r="BG189" s="463" t="n"/>
      <c r="BH189" s="463" t="n"/>
      <c r="BI189" s="463" t="n"/>
      <c r="BJ189" s="463" t="n"/>
      <c r="BK189" s="463" t="n"/>
      <c r="BL189" s="463" t="n"/>
      <c r="BM189" s="463" t="n"/>
      <c r="BN189" s="463" t="n"/>
      <c r="BO189" s="463" t="n"/>
      <c r="BP189" s="463" t="n"/>
      <c r="BQ189" s="463" t="n"/>
      <c r="BR189" s="463" t="n"/>
      <c r="BS189" s="463" t="n"/>
      <c r="BT189" s="463" t="n"/>
      <c r="BU189" s="463" t="n"/>
      <c r="BV189" s="463" t="n"/>
      <c r="BW189" s="463" t="n"/>
      <c r="BX189" s="463" t="n"/>
      <c r="BY189" s="463" t="n"/>
      <c r="BZ189" s="463" t="n"/>
      <c r="CA189" s="463" t="n"/>
      <c r="CB189" s="463" t="n"/>
      <c r="CC189" s="463" t="n"/>
      <c r="CD189" s="463" t="n"/>
      <c r="CE189" s="463" t="n"/>
      <c r="CF189" s="463" t="n"/>
      <c r="CG189" s="463" t="n"/>
      <c r="CH189" s="463" t="n"/>
      <c r="CI189" s="463" t="n"/>
      <c r="CJ189" s="463" t="n"/>
      <c r="CK189" s="463" t="n"/>
      <c r="CL189" s="463" t="n"/>
      <c r="CM189" s="463" t="n"/>
      <c r="CN189" s="463" t="n"/>
      <c r="CO189" s="463" t="n"/>
      <c r="CP189" s="463" t="n"/>
      <c r="CQ189" s="463" t="n"/>
      <c r="CR189" s="463" t="n"/>
      <c r="CS189" s="463" t="n"/>
      <c r="CT189" s="463" t="n"/>
      <c r="CU189" s="463" t="n"/>
      <c r="CV189" s="463" t="n"/>
      <c r="CW189" s="463" t="n"/>
      <c r="CX189" s="463" t="n"/>
      <c r="CY189" s="463" t="n"/>
      <c r="CZ189" s="463" t="n"/>
      <c r="DA189" s="463" t="n"/>
      <c r="DB189" s="463" t="n"/>
      <c r="DC189" s="463" t="n"/>
      <c r="DD189" s="463" t="n"/>
      <c r="DE189" s="463" t="n"/>
      <c r="DF189" s="463" t="n"/>
      <c r="DG189" s="463" t="n"/>
      <c r="DH189" s="463" t="n"/>
      <c r="DI189" s="463" t="n"/>
      <c r="DJ189" s="463" t="n"/>
      <c r="DK189" s="463" t="n"/>
      <c r="DL189" s="463" t="n"/>
      <c r="DM189" s="463" t="n"/>
      <c r="DN189" s="463" t="n"/>
      <c r="DO189" s="463" t="n"/>
      <c r="DP189" s="463" t="n"/>
      <c r="DQ189" s="463" t="n"/>
      <c r="DR189" s="463" t="n"/>
      <c r="DS189" s="463" t="n"/>
      <c r="DT189" s="463" t="n"/>
      <c r="DU189" s="463" t="n"/>
      <c r="DV189" s="463" t="n"/>
      <c r="DW189" s="322" t="inlineStr">
        <is>
          <t>x</t>
        </is>
      </c>
    </row>
    <row r="190" hidden="1" outlineLevel="1">
      <c r="C190" s="374">
        <f>C157</f>
        <v/>
      </c>
      <c r="D190" s="486">
        <f>H40</f>
        <v/>
      </c>
      <c r="E190" s="680">
        <f>SUM(F190:DV190)</f>
        <v/>
      </c>
      <c r="F190" s="680">
        <f>-F187</f>
        <v/>
      </c>
      <c r="G190" s="680">
        <f>-G187</f>
        <v/>
      </c>
      <c r="H190" s="680">
        <f>-H187</f>
        <v/>
      </c>
      <c r="I190" s="680">
        <f>-I187</f>
        <v/>
      </c>
      <c r="J190" s="680">
        <f>-J187</f>
        <v/>
      </c>
      <c r="K190" s="680">
        <f>-K187</f>
        <v/>
      </c>
      <c r="L190" s="680">
        <f>-L187</f>
        <v/>
      </c>
      <c r="M190" s="680">
        <f>-M187</f>
        <v/>
      </c>
      <c r="N190" s="680">
        <f>-N187</f>
        <v/>
      </c>
      <c r="O190" s="680">
        <f>-O187</f>
        <v/>
      </c>
      <c r="P190" s="680">
        <f>-P187</f>
        <v/>
      </c>
      <c r="Q190" s="680">
        <f>-Q187</f>
        <v/>
      </c>
      <c r="R190" s="680">
        <f>-R187</f>
        <v/>
      </c>
      <c r="S190" s="680">
        <f>-S187</f>
        <v/>
      </c>
      <c r="T190" s="680">
        <f>-T187</f>
        <v/>
      </c>
      <c r="U190" s="680">
        <f>-U187</f>
        <v/>
      </c>
      <c r="V190" s="680">
        <f>-V187</f>
        <v/>
      </c>
      <c r="W190" s="680">
        <f>-W187</f>
        <v/>
      </c>
      <c r="X190" s="680">
        <f>-X187</f>
        <v/>
      </c>
      <c r="Y190" s="680">
        <f>-Y187</f>
        <v/>
      </c>
      <c r="Z190" s="680">
        <f>-Z187</f>
        <v/>
      </c>
      <c r="AA190" s="680">
        <f>-AA187</f>
        <v/>
      </c>
      <c r="AB190" s="680">
        <f>-AB187</f>
        <v/>
      </c>
      <c r="AC190" s="680">
        <f>-AC187</f>
        <v/>
      </c>
      <c r="AD190" s="680">
        <f>-AD187</f>
        <v/>
      </c>
      <c r="AE190" s="680">
        <f>-AE187</f>
        <v/>
      </c>
      <c r="AF190" s="680">
        <f>-AF187</f>
        <v/>
      </c>
      <c r="AG190" s="680">
        <f>-AG187</f>
        <v/>
      </c>
      <c r="AH190" s="680">
        <f>-AH187</f>
        <v/>
      </c>
      <c r="AI190" s="680">
        <f>-AI187</f>
        <v/>
      </c>
      <c r="AJ190" s="680">
        <f>-AJ187</f>
        <v/>
      </c>
      <c r="AK190" s="680">
        <f>-AK187</f>
        <v/>
      </c>
      <c r="AL190" s="680">
        <f>-AL187</f>
        <v/>
      </c>
      <c r="AM190" s="680">
        <f>-AM187</f>
        <v/>
      </c>
      <c r="AN190" s="680">
        <f>-AN187</f>
        <v/>
      </c>
      <c r="AO190" s="680">
        <f>-AO187</f>
        <v/>
      </c>
      <c r="AP190" s="680">
        <f>-AP187</f>
        <v/>
      </c>
      <c r="AQ190" s="680">
        <f>-AQ187</f>
        <v/>
      </c>
      <c r="AR190" s="680">
        <f>-AR187</f>
        <v/>
      </c>
      <c r="AS190" s="680">
        <f>-AS187</f>
        <v/>
      </c>
      <c r="AT190" s="680">
        <f>-AT187</f>
        <v/>
      </c>
      <c r="AU190" s="680">
        <f>-AU187</f>
        <v/>
      </c>
      <c r="AV190" s="680">
        <f>-AV187</f>
        <v/>
      </c>
      <c r="AW190" s="680">
        <f>-AW187</f>
        <v/>
      </c>
      <c r="AX190" s="680">
        <f>-AX187</f>
        <v/>
      </c>
      <c r="AY190" s="680">
        <f>-AY187</f>
        <v/>
      </c>
      <c r="AZ190" s="680">
        <f>-AZ187</f>
        <v/>
      </c>
      <c r="BA190" s="680">
        <f>-BA187</f>
        <v/>
      </c>
      <c r="BB190" s="680">
        <f>-BB187</f>
        <v/>
      </c>
      <c r="BC190" s="680">
        <f>-BC187</f>
        <v/>
      </c>
      <c r="BD190" s="680">
        <f>-BD187</f>
        <v/>
      </c>
      <c r="BE190" s="680">
        <f>-BE187</f>
        <v/>
      </c>
      <c r="BF190" s="680">
        <f>-BF187</f>
        <v/>
      </c>
      <c r="BG190" s="680">
        <f>-BG187</f>
        <v/>
      </c>
      <c r="BH190" s="680">
        <f>-BH187</f>
        <v/>
      </c>
      <c r="BI190" s="680">
        <f>-BI187</f>
        <v/>
      </c>
      <c r="BJ190" s="680">
        <f>-BJ187</f>
        <v/>
      </c>
      <c r="BK190" s="680">
        <f>-BK187</f>
        <v/>
      </c>
      <c r="BL190" s="680">
        <f>-BL187</f>
        <v/>
      </c>
      <c r="BM190" s="680">
        <f>-BM187</f>
        <v/>
      </c>
      <c r="BN190" s="680">
        <f>-BN187</f>
        <v/>
      </c>
      <c r="BO190" s="680">
        <f>-BO187</f>
        <v/>
      </c>
      <c r="BP190" s="680">
        <f>-BP187</f>
        <v/>
      </c>
      <c r="BQ190" s="680">
        <f>-BQ187</f>
        <v/>
      </c>
      <c r="BR190" s="680">
        <f>-BR187</f>
        <v/>
      </c>
      <c r="BS190" s="680">
        <f>-BS187</f>
        <v/>
      </c>
      <c r="BT190" s="680">
        <f>-BT187</f>
        <v/>
      </c>
      <c r="BU190" s="680">
        <f>-BU187</f>
        <v/>
      </c>
      <c r="BV190" s="680">
        <f>-BV187</f>
        <v/>
      </c>
      <c r="BW190" s="680">
        <f>-BW187</f>
        <v/>
      </c>
      <c r="BX190" s="680">
        <f>-BX187</f>
        <v/>
      </c>
      <c r="BY190" s="680">
        <f>-BY187</f>
        <v/>
      </c>
      <c r="BZ190" s="680">
        <f>-BZ187</f>
        <v/>
      </c>
      <c r="CA190" s="680">
        <f>-CA187</f>
        <v/>
      </c>
      <c r="CB190" s="680">
        <f>-CB187</f>
        <v/>
      </c>
      <c r="CC190" s="680">
        <f>-CC187</f>
        <v/>
      </c>
      <c r="CD190" s="680">
        <f>-CD187</f>
        <v/>
      </c>
      <c r="CE190" s="680">
        <f>-CE187</f>
        <v/>
      </c>
      <c r="CF190" s="680">
        <f>-CF187</f>
        <v/>
      </c>
      <c r="CG190" s="680">
        <f>-CG187</f>
        <v/>
      </c>
      <c r="CH190" s="680">
        <f>-CH187</f>
        <v/>
      </c>
      <c r="CI190" s="680">
        <f>-CI187</f>
        <v/>
      </c>
      <c r="CJ190" s="680">
        <f>-CJ187</f>
        <v/>
      </c>
      <c r="CK190" s="680">
        <f>-CK187</f>
        <v/>
      </c>
      <c r="CL190" s="680">
        <f>-CL187</f>
        <v/>
      </c>
      <c r="CM190" s="680">
        <f>-CM187</f>
        <v/>
      </c>
      <c r="CN190" s="680">
        <f>-CN187</f>
        <v/>
      </c>
      <c r="CO190" s="680">
        <f>-CO187</f>
        <v/>
      </c>
      <c r="CP190" s="680">
        <f>-CP187</f>
        <v/>
      </c>
      <c r="CQ190" s="680">
        <f>-CQ187</f>
        <v/>
      </c>
      <c r="CR190" s="680">
        <f>-CR187</f>
        <v/>
      </c>
      <c r="CS190" s="680">
        <f>-CS187</f>
        <v/>
      </c>
      <c r="CT190" s="680">
        <f>-CT187</f>
        <v/>
      </c>
      <c r="CU190" s="680">
        <f>-CU187</f>
        <v/>
      </c>
      <c r="CV190" s="680">
        <f>-CV187</f>
        <v/>
      </c>
      <c r="CW190" s="680">
        <f>-CW187</f>
        <v/>
      </c>
      <c r="CX190" s="680">
        <f>-CX187</f>
        <v/>
      </c>
      <c r="CY190" s="680">
        <f>-CY187</f>
        <v/>
      </c>
      <c r="CZ190" s="680">
        <f>-CZ187</f>
        <v/>
      </c>
      <c r="DA190" s="680">
        <f>-DA187</f>
        <v/>
      </c>
      <c r="DB190" s="680">
        <f>-DB187</f>
        <v/>
      </c>
      <c r="DC190" s="680">
        <f>-DC187</f>
        <v/>
      </c>
      <c r="DD190" s="680">
        <f>-DD187</f>
        <v/>
      </c>
      <c r="DE190" s="680">
        <f>-DE187</f>
        <v/>
      </c>
      <c r="DF190" s="680">
        <f>-DF187</f>
        <v/>
      </c>
      <c r="DG190" s="680">
        <f>-DG187</f>
        <v/>
      </c>
      <c r="DH190" s="680">
        <f>-DH187</f>
        <v/>
      </c>
      <c r="DI190" s="680">
        <f>-DI187</f>
        <v/>
      </c>
      <c r="DJ190" s="680">
        <f>-DJ187</f>
        <v/>
      </c>
      <c r="DK190" s="680">
        <f>-DK187</f>
        <v/>
      </c>
      <c r="DL190" s="680">
        <f>-DL187</f>
        <v/>
      </c>
      <c r="DM190" s="680">
        <f>-DM187</f>
        <v/>
      </c>
      <c r="DN190" s="680">
        <f>-DN187</f>
        <v/>
      </c>
      <c r="DO190" s="680">
        <f>-DO187</f>
        <v/>
      </c>
      <c r="DP190" s="680">
        <f>-DP187</f>
        <v/>
      </c>
      <c r="DQ190" s="680">
        <f>-DQ187</f>
        <v/>
      </c>
      <c r="DR190" s="680">
        <f>-DR187</f>
        <v/>
      </c>
      <c r="DS190" s="680">
        <f>-DS187</f>
        <v/>
      </c>
      <c r="DT190" s="680">
        <f>-DT187</f>
        <v/>
      </c>
      <c r="DU190" s="680">
        <f>-DU187</f>
        <v/>
      </c>
      <c r="DV190" s="680">
        <f>-DV187</f>
        <v/>
      </c>
      <c r="DW190" s="322" t="inlineStr">
        <is>
          <t>x</t>
        </is>
      </c>
    </row>
    <row r="191" hidden="1" outlineLevel="1">
      <c r="C191" s="374">
        <f>C158</f>
        <v/>
      </c>
      <c r="D191" s="486">
        <f>1-SUM(D190,D192)</f>
        <v/>
      </c>
      <c r="E191" s="468">
        <f>SUM(F191:DV191)</f>
        <v/>
      </c>
      <c r="F191" s="468" t="n">
        <v>0</v>
      </c>
      <c r="G191" s="468">
        <f>(G190/$D$190)*$D$191</f>
        <v/>
      </c>
      <c r="H191" s="468">
        <f>(H190/$D$190)*$D$191</f>
        <v/>
      </c>
      <c r="I191" s="468">
        <f>(I190/$D$190)*$D$191</f>
        <v/>
      </c>
      <c r="J191" s="468">
        <f>(J190/$D$190)*$D$191</f>
        <v/>
      </c>
      <c r="K191" s="468">
        <f>(K190/$D$190)*$D$191</f>
        <v/>
      </c>
      <c r="L191" s="468">
        <f>(L190/$D$190)*$D$191</f>
        <v/>
      </c>
      <c r="M191" s="468">
        <f>(M190/$D$190)*$D$191</f>
        <v/>
      </c>
      <c r="N191" s="468">
        <f>(N190/$D$190)*$D$191</f>
        <v/>
      </c>
      <c r="O191" s="468">
        <f>(O190/$D$190)*$D$191</f>
        <v/>
      </c>
      <c r="P191" s="468">
        <f>(P190/$D$190)*$D$191</f>
        <v/>
      </c>
      <c r="Q191" s="468">
        <f>(Q190/$D$190)*$D$191</f>
        <v/>
      </c>
      <c r="R191" s="468">
        <f>(R190/$D$190)*$D$191</f>
        <v/>
      </c>
      <c r="S191" s="468">
        <f>(S190/$D$190)*$D$191</f>
        <v/>
      </c>
      <c r="T191" s="468">
        <f>(T190/$D$190)*$D$191</f>
        <v/>
      </c>
      <c r="U191" s="468">
        <f>(U190/$D$190)*$D$191</f>
        <v/>
      </c>
      <c r="V191" s="468">
        <f>(V190/$D$190)*$D$191</f>
        <v/>
      </c>
      <c r="W191" s="468">
        <f>(W190/$D$190)*$D$191</f>
        <v/>
      </c>
      <c r="X191" s="468">
        <f>(X190/$D$190)*$D$191</f>
        <v/>
      </c>
      <c r="Y191" s="468">
        <f>(Y190/$D$190)*$D$191</f>
        <v/>
      </c>
      <c r="Z191" s="468">
        <f>(Z190/$D$190)*$D$191</f>
        <v/>
      </c>
      <c r="AA191" s="468">
        <f>(AA190/$D$190)*$D$191</f>
        <v/>
      </c>
      <c r="AB191" s="468">
        <f>(AB190/$D$190)*$D$191</f>
        <v/>
      </c>
      <c r="AC191" s="468">
        <f>(AC190/$D$190)*$D$191</f>
        <v/>
      </c>
      <c r="AD191" s="468">
        <f>(AD190/$D$190)*$D$191</f>
        <v/>
      </c>
      <c r="AE191" s="468">
        <f>(AE190/$D$190)*$D$191</f>
        <v/>
      </c>
      <c r="AF191" s="468">
        <f>(AF190/$D$190)*$D$191</f>
        <v/>
      </c>
      <c r="AG191" s="468">
        <f>(AG190/$D$190)*$D$191</f>
        <v/>
      </c>
      <c r="AH191" s="468">
        <f>(AH190/$D$190)*$D$191</f>
        <v/>
      </c>
      <c r="AI191" s="468">
        <f>(AI190/$D$190)*$D$191</f>
        <v/>
      </c>
      <c r="AJ191" s="468">
        <f>(AJ190/$D$190)*$D$191</f>
        <v/>
      </c>
      <c r="AK191" s="468">
        <f>(AK190/$D$190)*$D$191</f>
        <v/>
      </c>
      <c r="AL191" s="468">
        <f>(AL190/$D$190)*$D$191</f>
        <v/>
      </c>
      <c r="AM191" s="468">
        <f>(AM190/$D$190)*$D$191</f>
        <v/>
      </c>
      <c r="AN191" s="468">
        <f>(AN190/$D$190)*$D$191</f>
        <v/>
      </c>
      <c r="AO191" s="468">
        <f>(AO190/$D$190)*$D$191</f>
        <v/>
      </c>
      <c r="AP191" s="468">
        <f>(AP190/$D$190)*$D$191</f>
        <v/>
      </c>
      <c r="AQ191" s="468">
        <f>(AQ190/$D$190)*$D$191</f>
        <v/>
      </c>
      <c r="AR191" s="468">
        <f>(AR190/$D$190)*$D$191</f>
        <v/>
      </c>
      <c r="AS191" s="468">
        <f>(AS190/$D$190)*$D$191</f>
        <v/>
      </c>
      <c r="AT191" s="468">
        <f>(AT190/$D$190)*$D$191</f>
        <v/>
      </c>
      <c r="AU191" s="468">
        <f>(AU190/$D$190)*$D$191</f>
        <v/>
      </c>
      <c r="AV191" s="468">
        <f>(AV190/$D$190)*$D$191</f>
        <v/>
      </c>
      <c r="AW191" s="468">
        <f>(AW190/$D$190)*$D$191</f>
        <v/>
      </c>
      <c r="AX191" s="468">
        <f>(AX190/$D$190)*$D$191</f>
        <v/>
      </c>
      <c r="AY191" s="468">
        <f>(AY190/$D$190)*$D$191</f>
        <v/>
      </c>
      <c r="AZ191" s="468">
        <f>(AZ190/$D$190)*$D$191</f>
        <v/>
      </c>
      <c r="BA191" s="468">
        <f>(BA190/$D$190)*$D$191</f>
        <v/>
      </c>
      <c r="BB191" s="468">
        <f>(BB190/$D$190)*$D$191</f>
        <v/>
      </c>
      <c r="BC191" s="468">
        <f>(BC190/$D$190)*$D$191</f>
        <v/>
      </c>
      <c r="BD191" s="468">
        <f>(BD190/$D$190)*$D$191</f>
        <v/>
      </c>
      <c r="BE191" s="468">
        <f>(BE190/$D$190)*$D$191</f>
        <v/>
      </c>
      <c r="BF191" s="468">
        <f>(BF190/$D$190)*$D$191</f>
        <v/>
      </c>
      <c r="BG191" s="468">
        <f>(BG190/$D$190)*$D$191</f>
        <v/>
      </c>
      <c r="BH191" s="468">
        <f>(BH190/$D$190)*$D$191</f>
        <v/>
      </c>
      <c r="BI191" s="468">
        <f>(BI190/$D$190)*$D$191</f>
        <v/>
      </c>
      <c r="BJ191" s="468">
        <f>(BJ190/$D$190)*$D$191</f>
        <v/>
      </c>
      <c r="BK191" s="468">
        <f>(BK190/$D$190)*$D$191</f>
        <v/>
      </c>
      <c r="BL191" s="468">
        <f>(BL190/$D$190)*$D$191</f>
        <v/>
      </c>
      <c r="BM191" s="468">
        <f>(BM190/$D$190)*$D$191</f>
        <v/>
      </c>
      <c r="BN191" s="468">
        <f>(BN190/$D$190)*$D$191</f>
        <v/>
      </c>
      <c r="BO191" s="468">
        <f>(BO190/$D$190)*$D$191</f>
        <v/>
      </c>
      <c r="BP191" s="468">
        <f>(BP190/$D$190)*$D$191</f>
        <v/>
      </c>
      <c r="BQ191" s="468">
        <f>(BQ190/$D$190)*$D$191</f>
        <v/>
      </c>
      <c r="BR191" s="468">
        <f>(BR190/$D$190)*$D$191</f>
        <v/>
      </c>
      <c r="BS191" s="468">
        <f>(BS190/$D$190)*$D$191</f>
        <v/>
      </c>
      <c r="BT191" s="468">
        <f>(BT190/$D$190)*$D$191</f>
        <v/>
      </c>
      <c r="BU191" s="468">
        <f>(BU190/$D$190)*$D$191</f>
        <v/>
      </c>
      <c r="BV191" s="468">
        <f>(BV190/$D$190)*$D$191</f>
        <v/>
      </c>
      <c r="BW191" s="468">
        <f>(BW190/$D$190)*$D$191</f>
        <v/>
      </c>
      <c r="BX191" s="468">
        <f>(BX190/$D$190)*$D$191</f>
        <v/>
      </c>
      <c r="BY191" s="468">
        <f>(BY190/$D$190)*$D$191</f>
        <v/>
      </c>
      <c r="BZ191" s="468">
        <f>(BZ190/$D$190)*$D$191</f>
        <v/>
      </c>
      <c r="CA191" s="468">
        <f>(CA190/$D$190)*$D$191</f>
        <v/>
      </c>
      <c r="CB191" s="468">
        <f>(CB190/$D$190)*$D$191</f>
        <v/>
      </c>
      <c r="CC191" s="468">
        <f>(CC190/$D$190)*$D$191</f>
        <v/>
      </c>
      <c r="CD191" s="468">
        <f>(CD190/$D$190)*$D$191</f>
        <v/>
      </c>
      <c r="CE191" s="468">
        <f>(CE190/$D$190)*$D$191</f>
        <v/>
      </c>
      <c r="CF191" s="468">
        <f>(CF190/$D$190)*$D$191</f>
        <v/>
      </c>
      <c r="CG191" s="468">
        <f>(CG190/$D$190)*$D$191</f>
        <v/>
      </c>
      <c r="CH191" s="468">
        <f>(CH190/$D$190)*$D$191</f>
        <v/>
      </c>
      <c r="CI191" s="468">
        <f>(CI190/$D$190)*$D$191</f>
        <v/>
      </c>
      <c r="CJ191" s="468">
        <f>(CJ190/$D$190)*$D$191</f>
        <v/>
      </c>
      <c r="CK191" s="468">
        <f>(CK190/$D$190)*$D$191</f>
        <v/>
      </c>
      <c r="CL191" s="468">
        <f>(CL190/$D$190)*$D$191</f>
        <v/>
      </c>
      <c r="CM191" s="468">
        <f>(CM190/$D$190)*$D$191</f>
        <v/>
      </c>
      <c r="CN191" s="468">
        <f>(CN190/$D$190)*$D$191</f>
        <v/>
      </c>
      <c r="CO191" s="468">
        <f>(CO190/$D$190)*$D$191</f>
        <v/>
      </c>
      <c r="CP191" s="468">
        <f>(CP190/$D$190)*$D$191</f>
        <v/>
      </c>
      <c r="CQ191" s="468">
        <f>(CQ190/$D$190)*$D$191</f>
        <v/>
      </c>
      <c r="CR191" s="468">
        <f>(CR190/$D$190)*$D$191</f>
        <v/>
      </c>
      <c r="CS191" s="468">
        <f>(CS190/$D$190)*$D$191</f>
        <v/>
      </c>
      <c r="CT191" s="468">
        <f>(CT190/$D$190)*$D$191</f>
        <v/>
      </c>
      <c r="CU191" s="468">
        <f>(CU190/$D$190)*$D$191</f>
        <v/>
      </c>
      <c r="CV191" s="468">
        <f>(CV190/$D$190)*$D$191</f>
        <v/>
      </c>
      <c r="CW191" s="468">
        <f>(CW190/$D$190)*$D$191</f>
        <v/>
      </c>
      <c r="CX191" s="468">
        <f>(CX190/$D$190)*$D$191</f>
        <v/>
      </c>
      <c r="CY191" s="468">
        <f>(CY190/$D$190)*$D$191</f>
        <v/>
      </c>
      <c r="CZ191" s="468">
        <f>(CZ190/$D$190)*$D$191</f>
        <v/>
      </c>
      <c r="DA191" s="468">
        <f>(DA190/$D$190)*$D$191</f>
        <v/>
      </c>
      <c r="DB191" s="468">
        <f>(DB190/$D$190)*$D$191</f>
        <v/>
      </c>
      <c r="DC191" s="468">
        <f>(DC190/$D$190)*$D$191</f>
        <v/>
      </c>
      <c r="DD191" s="468">
        <f>(DD190/$D$190)*$D$191</f>
        <v/>
      </c>
      <c r="DE191" s="468">
        <f>(DE190/$D$190)*$D$191</f>
        <v/>
      </c>
      <c r="DF191" s="468">
        <f>(DF190/$D$190)*$D$191</f>
        <v/>
      </c>
      <c r="DG191" s="468">
        <f>(DG190/$D$190)*$D$191</f>
        <v/>
      </c>
      <c r="DH191" s="468">
        <f>(DH190/$D$190)*$D$191</f>
        <v/>
      </c>
      <c r="DI191" s="468">
        <f>(DI190/$D$190)*$D$191</f>
        <v/>
      </c>
      <c r="DJ191" s="468">
        <f>(DJ190/$D$190)*$D$191</f>
        <v/>
      </c>
      <c r="DK191" s="468">
        <f>(DK190/$D$190)*$D$191</f>
        <v/>
      </c>
      <c r="DL191" s="468">
        <f>(DL190/$D$190)*$D$191</f>
        <v/>
      </c>
      <c r="DM191" s="468">
        <f>(DM190/$D$190)*$D$191</f>
        <v/>
      </c>
      <c r="DN191" s="468">
        <f>(DN190/$D$190)*$D$191</f>
        <v/>
      </c>
      <c r="DO191" s="468">
        <f>(DO190/$D$190)*$D$191</f>
        <v/>
      </c>
      <c r="DP191" s="468">
        <f>(DP190/$D$190)*$D$191</f>
        <v/>
      </c>
      <c r="DQ191" s="468">
        <f>(DQ190/$D$190)*$D$191</f>
        <v/>
      </c>
      <c r="DR191" s="468">
        <f>(DR190/$D$190)*$D$191</f>
        <v/>
      </c>
      <c r="DS191" s="468">
        <f>(DS190/$D$190)*$D$191</f>
        <v/>
      </c>
      <c r="DT191" s="468">
        <f>(DT190/$D$190)*$D$191</f>
        <v/>
      </c>
      <c r="DU191" s="468">
        <f>(DU190/$D$190)*$D$191</f>
        <v/>
      </c>
      <c r="DV191" s="468">
        <f>(DV190/$D$190)*$D$191</f>
        <v/>
      </c>
      <c r="DW191" s="322" t="inlineStr">
        <is>
          <t>x</t>
        </is>
      </c>
    </row>
    <row r="192" hidden="1" outlineLevel="1">
      <c r="C192" s="374">
        <f>C159</f>
        <v/>
      </c>
      <c r="D192" s="486">
        <f>G40</f>
        <v/>
      </c>
      <c r="E192" s="468">
        <f>SUM(F192:DV192)</f>
        <v/>
      </c>
      <c r="F192" s="468" t="n">
        <v>0</v>
      </c>
      <c r="G192" s="468">
        <f>(G190/$D$190)*$D$192</f>
        <v/>
      </c>
      <c r="H192" s="468">
        <f>(H190/$D$190)*$D$192</f>
        <v/>
      </c>
      <c r="I192" s="468">
        <f>(I190/$D$190)*$D$192</f>
        <v/>
      </c>
      <c r="J192" s="468">
        <f>(J190/$D$190)*$D$192</f>
        <v/>
      </c>
      <c r="K192" s="468">
        <f>(K190/$D$190)*$D$192</f>
        <v/>
      </c>
      <c r="L192" s="468">
        <f>(L190/$D$190)*$D$192</f>
        <v/>
      </c>
      <c r="M192" s="468">
        <f>(M190/$D$190)*$D$192</f>
        <v/>
      </c>
      <c r="N192" s="468">
        <f>(N190/$D$190)*$D$192</f>
        <v/>
      </c>
      <c r="O192" s="468">
        <f>(O190/$D$190)*$D$192</f>
        <v/>
      </c>
      <c r="P192" s="468">
        <f>(P190/$D$190)*$D$192</f>
        <v/>
      </c>
      <c r="Q192" s="468">
        <f>(Q190/$D$190)*$D$192</f>
        <v/>
      </c>
      <c r="R192" s="468">
        <f>(R190/$D$190)*$D$192</f>
        <v/>
      </c>
      <c r="S192" s="468">
        <f>(S190/$D$190)*$D$192</f>
        <v/>
      </c>
      <c r="T192" s="468">
        <f>(T190/$D$190)*$D$192</f>
        <v/>
      </c>
      <c r="U192" s="468">
        <f>(U190/$D$190)*$D$192</f>
        <v/>
      </c>
      <c r="V192" s="468">
        <f>(V190/$D$190)*$D$192</f>
        <v/>
      </c>
      <c r="W192" s="468">
        <f>(W190/$D$190)*$D$192</f>
        <v/>
      </c>
      <c r="X192" s="468">
        <f>(X190/$D$190)*$D$192</f>
        <v/>
      </c>
      <c r="Y192" s="468">
        <f>(Y190/$D$190)*$D$192</f>
        <v/>
      </c>
      <c r="Z192" s="468">
        <f>(Z190/$D$190)*$D$192</f>
        <v/>
      </c>
      <c r="AA192" s="468">
        <f>(AA190/$D$190)*$D$192</f>
        <v/>
      </c>
      <c r="AB192" s="468">
        <f>(AB190/$D$190)*$D$192</f>
        <v/>
      </c>
      <c r="AC192" s="468">
        <f>(AC190/$D$190)*$D$192</f>
        <v/>
      </c>
      <c r="AD192" s="468">
        <f>(AD190/$D$190)*$D$192</f>
        <v/>
      </c>
      <c r="AE192" s="468">
        <f>(AE190/$D$190)*$D$192</f>
        <v/>
      </c>
      <c r="AF192" s="468">
        <f>(AF190/$D$190)*$D$192</f>
        <v/>
      </c>
      <c r="AG192" s="468">
        <f>(AG190/$D$190)*$D$192</f>
        <v/>
      </c>
      <c r="AH192" s="468">
        <f>(AH190/$D$190)*$D$192</f>
        <v/>
      </c>
      <c r="AI192" s="468">
        <f>(AI190/$D$190)*$D$192</f>
        <v/>
      </c>
      <c r="AJ192" s="468">
        <f>(AJ190/$D$190)*$D$192</f>
        <v/>
      </c>
      <c r="AK192" s="468">
        <f>(AK190/$D$190)*$D$192</f>
        <v/>
      </c>
      <c r="AL192" s="468">
        <f>(AL190/$D$190)*$D$192</f>
        <v/>
      </c>
      <c r="AM192" s="468">
        <f>(AM190/$D$190)*$D$192</f>
        <v/>
      </c>
      <c r="AN192" s="468">
        <f>(AN190/$D$190)*$D$192</f>
        <v/>
      </c>
      <c r="AO192" s="468">
        <f>(AO190/$D$190)*$D$192</f>
        <v/>
      </c>
      <c r="AP192" s="468">
        <f>(AP190/$D$190)*$D$192</f>
        <v/>
      </c>
      <c r="AQ192" s="468">
        <f>(AQ190/$D$190)*$D$192</f>
        <v/>
      </c>
      <c r="AR192" s="468">
        <f>(AR190/$D$190)*$D$192</f>
        <v/>
      </c>
      <c r="AS192" s="468">
        <f>(AS190/$D$190)*$D$192</f>
        <v/>
      </c>
      <c r="AT192" s="468">
        <f>(AT190/$D$190)*$D$192</f>
        <v/>
      </c>
      <c r="AU192" s="468">
        <f>(AU190/$D$190)*$D$192</f>
        <v/>
      </c>
      <c r="AV192" s="468">
        <f>(AV190/$D$190)*$D$192</f>
        <v/>
      </c>
      <c r="AW192" s="468">
        <f>(AW190/$D$190)*$D$192</f>
        <v/>
      </c>
      <c r="AX192" s="468">
        <f>(AX190/$D$190)*$D$192</f>
        <v/>
      </c>
      <c r="AY192" s="468">
        <f>(AY190/$D$190)*$D$192</f>
        <v/>
      </c>
      <c r="AZ192" s="468">
        <f>(AZ190/$D$190)*$D$192</f>
        <v/>
      </c>
      <c r="BA192" s="468">
        <f>(BA190/$D$190)*$D$192</f>
        <v/>
      </c>
      <c r="BB192" s="468">
        <f>(BB190/$D$190)*$D$192</f>
        <v/>
      </c>
      <c r="BC192" s="468">
        <f>(BC190/$D$190)*$D$192</f>
        <v/>
      </c>
      <c r="BD192" s="468">
        <f>(BD190/$D$190)*$D$192</f>
        <v/>
      </c>
      <c r="BE192" s="468">
        <f>(BE190/$D$190)*$D$192</f>
        <v/>
      </c>
      <c r="BF192" s="468">
        <f>(BF190/$D$190)*$D$192</f>
        <v/>
      </c>
      <c r="BG192" s="468">
        <f>(BG190/$D$190)*$D$192</f>
        <v/>
      </c>
      <c r="BH192" s="468">
        <f>(BH190/$D$190)*$D$192</f>
        <v/>
      </c>
      <c r="BI192" s="468">
        <f>(BI190/$D$190)*$D$192</f>
        <v/>
      </c>
      <c r="BJ192" s="468">
        <f>(BJ190/$D$190)*$D$192</f>
        <v/>
      </c>
      <c r="BK192" s="468">
        <f>(BK190/$D$190)*$D$192</f>
        <v/>
      </c>
      <c r="BL192" s="468">
        <f>(BL190/$D$190)*$D$192</f>
        <v/>
      </c>
      <c r="BM192" s="468">
        <f>(BM190/$D$190)*$D$192</f>
        <v/>
      </c>
      <c r="BN192" s="468">
        <f>(BN190/$D$190)*$D$192</f>
        <v/>
      </c>
      <c r="BO192" s="468">
        <f>(BO190/$D$190)*$D$192</f>
        <v/>
      </c>
      <c r="BP192" s="468">
        <f>(BP190/$D$190)*$D$192</f>
        <v/>
      </c>
      <c r="BQ192" s="468">
        <f>(BQ190/$D$190)*$D$192</f>
        <v/>
      </c>
      <c r="BR192" s="468">
        <f>(BR190/$D$190)*$D$192</f>
        <v/>
      </c>
      <c r="BS192" s="468">
        <f>(BS190/$D$190)*$D$192</f>
        <v/>
      </c>
      <c r="BT192" s="468">
        <f>(BT190/$D$190)*$D$192</f>
        <v/>
      </c>
      <c r="BU192" s="468">
        <f>(BU190/$D$190)*$D$192</f>
        <v/>
      </c>
      <c r="BV192" s="468">
        <f>(BV190/$D$190)*$D$192</f>
        <v/>
      </c>
      <c r="BW192" s="468">
        <f>(BW190/$D$190)*$D$192</f>
        <v/>
      </c>
      <c r="BX192" s="468">
        <f>(BX190/$D$190)*$D$192</f>
        <v/>
      </c>
      <c r="BY192" s="468">
        <f>(BY190/$D$190)*$D$192</f>
        <v/>
      </c>
      <c r="BZ192" s="468">
        <f>(BZ190/$D$190)*$D$192</f>
        <v/>
      </c>
      <c r="CA192" s="468">
        <f>(CA190/$D$190)*$D$192</f>
        <v/>
      </c>
      <c r="CB192" s="468">
        <f>(CB190/$D$190)*$D$192</f>
        <v/>
      </c>
      <c r="CC192" s="468">
        <f>(CC190/$D$190)*$D$192</f>
        <v/>
      </c>
      <c r="CD192" s="468">
        <f>(CD190/$D$190)*$D$192</f>
        <v/>
      </c>
      <c r="CE192" s="468">
        <f>(CE190/$D$190)*$D$192</f>
        <v/>
      </c>
      <c r="CF192" s="468">
        <f>(CF190/$D$190)*$D$192</f>
        <v/>
      </c>
      <c r="CG192" s="468">
        <f>(CG190/$D$190)*$D$192</f>
        <v/>
      </c>
      <c r="CH192" s="468">
        <f>(CH190/$D$190)*$D$192</f>
        <v/>
      </c>
      <c r="CI192" s="468">
        <f>(CI190/$D$190)*$D$192</f>
        <v/>
      </c>
      <c r="CJ192" s="468">
        <f>(CJ190/$D$190)*$D$192</f>
        <v/>
      </c>
      <c r="CK192" s="468">
        <f>(CK190/$D$190)*$D$192</f>
        <v/>
      </c>
      <c r="CL192" s="468">
        <f>(CL190/$D$190)*$D$192</f>
        <v/>
      </c>
      <c r="CM192" s="468">
        <f>(CM190/$D$190)*$D$192</f>
        <v/>
      </c>
      <c r="CN192" s="468">
        <f>(CN190/$D$190)*$D$192</f>
        <v/>
      </c>
      <c r="CO192" s="468">
        <f>(CO190/$D$190)*$D$192</f>
        <v/>
      </c>
      <c r="CP192" s="468">
        <f>(CP190/$D$190)*$D$192</f>
        <v/>
      </c>
      <c r="CQ192" s="468">
        <f>(CQ190/$D$190)*$D$192</f>
        <v/>
      </c>
      <c r="CR192" s="468">
        <f>(CR190/$D$190)*$D$192</f>
        <v/>
      </c>
      <c r="CS192" s="468">
        <f>(CS190/$D$190)*$D$192</f>
        <v/>
      </c>
      <c r="CT192" s="468">
        <f>(CT190/$D$190)*$D$192</f>
        <v/>
      </c>
      <c r="CU192" s="468">
        <f>(CU190/$D$190)*$D$192</f>
        <v/>
      </c>
      <c r="CV192" s="468">
        <f>(CV190/$D$190)*$D$192</f>
        <v/>
      </c>
      <c r="CW192" s="468">
        <f>(CW190/$D$190)*$D$192</f>
        <v/>
      </c>
      <c r="CX192" s="468">
        <f>(CX190/$D$190)*$D$192</f>
        <v/>
      </c>
      <c r="CY192" s="468">
        <f>(CY190/$D$190)*$D$192</f>
        <v/>
      </c>
      <c r="CZ192" s="468">
        <f>(CZ190/$D$190)*$D$192</f>
        <v/>
      </c>
      <c r="DA192" s="468">
        <f>(DA190/$D$190)*$D$192</f>
        <v/>
      </c>
      <c r="DB192" s="468">
        <f>(DB190/$D$190)*$D$192</f>
        <v/>
      </c>
      <c r="DC192" s="468">
        <f>(DC190/$D$190)*$D$192</f>
        <v/>
      </c>
      <c r="DD192" s="468">
        <f>(DD190/$D$190)*$D$192</f>
        <v/>
      </c>
      <c r="DE192" s="468">
        <f>(DE190/$D$190)*$D$192</f>
        <v/>
      </c>
      <c r="DF192" s="468">
        <f>(DF190/$D$190)*$D$192</f>
        <v/>
      </c>
      <c r="DG192" s="468">
        <f>(DG190/$D$190)*$D$192</f>
        <v/>
      </c>
      <c r="DH192" s="468">
        <f>(DH190/$D$190)*$D$192</f>
        <v/>
      </c>
      <c r="DI192" s="468">
        <f>(DI190/$D$190)*$D$192</f>
        <v/>
      </c>
      <c r="DJ192" s="468">
        <f>(DJ190/$D$190)*$D$192</f>
        <v/>
      </c>
      <c r="DK192" s="468">
        <f>(DK190/$D$190)*$D$192</f>
        <v/>
      </c>
      <c r="DL192" s="468">
        <f>(DL190/$D$190)*$D$192</f>
        <v/>
      </c>
      <c r="DM192" s="468">
        <f>(DM190/$D$190)*$D$192</f>
        <v/>
      </c>
      <c r="DN192" s="468">
        <f>(DN190/$D$190)*$D$192</f>
        <v/>
      </c>
      <c r="DO192" s="468">
        <f>(DO190/$D$190)*$D$192</f>
        <v/>
      </c>
      <c r="DP192" s="468">
        <f>(DP190/$D$190)*$D$192</f>
        <v/>
      </c>
      <c r="DQ192" s="468">
        <f>(DQ190/$D$190)*$D$192</f>
        <v/>
      </c>
      <c r="DR192" s="468">
        <f>(DR190/$D$190)*$D$192</f>
        <v/>
      </c>
      <c r="DS192" s="468">
        <f>(DS190/$D$190)*$D$192</f>
        <v/>
      </c>
      <c r="DT192" s="468">
        <f>(DT190/$D$190)*$D$192</f>
        <v/>
      </c>
      <c r="DU192" s="468">
        <f>(DU190/$D$190)*$D$192</f>
        <v/>
      </c>
      <c r="DV192" s="468">
        <f>(DV190/$D$190)*$D$192</f>
        <v/>
      </c>
      <c r="DW192" s="322" t="inlineStr">
        <is>
          <t>x</t>
        </is>
      </c>
    </row>
    <row r="193" hidden="1" outlineLevel="1" ht="17.25" customHeight="1" thickBot="1">
      <c r="C193" s="365" t="inlineStr">
        <is>
          <t>Total Splits</t>
        </is>
      </c>
      <c r="D193" s="486" t="n"/>
      <c r="E193" s="658">
        <f>SUM(E190:E192)</f>
        <v/>
      </c>
      <c r="F193" s="658" t="n"/>
      <c r="G193" s="658">
        <f>SUM(G190:G192)</f>
        <v/>
      </c>
      <c r="H193" s="658">
        <f>SUM(H190:H192)</f>
        <v/>
      </c>
      <c r="I193" s="658">
        <f>SUM(I190:I192)</f>
        <v/>
      </c>
      <c r="J193" s="658">
        <f>SUM(J190:J192)</f>
        <v/>
      </c>
      <c r="K193" s="658">
        <f>SUM(K190:K192)</f>
        <v/>
      </c>
      <c r="L193" s="658">
        <f>SUM(L190:L192)</f>
        <v/>
      </c>
      <c r="M193" s="658">
        <f>SUM(M190:M192)</f>
        <v/>
      </c>
      <c r="N193" s="658">
        <f>SUM(N190:N192)</f>
        <v/>
      </c>
      <c r="O193" s="658">
        <f>SUM(O190:O192)</f>
        <v/>
      </c>
      <c r="P193" s="658">
        <f>SUM(P190:P192)</f>
        <v/>
      </c>
      <c r="Q193" s="658">
        <f>SUM(Q190:Q192)</f>
        <v/>
      </c>
      <c r="R193" s="658">
        <f>SUM(R190:R192)</f>
        <v/>
      </c>
      <c r="S193" s="658">
        <f>SUM(S190:S192)</f>
        <v/>
      </c>
      <c r="T193" s="658">
        <f>SUM(T190:T192)</f>
        <v/>
      </c>
      <c r="U193" s="658">
        <f>SUM(U190:U192)</f>
        <v/>
      </c>
      <c r="V193" s="658">
        <f>SUM(V190:V192)</f>
        <v/>
      </c>
      <c r="W193" s="658">
        <f>SUM(W190:W192)</f>
        <v/>
      </c>
      <c r="X193" s="658">
        <f>SUM(X190:X192)</f>
        <v/>
      </c>
      <c r="Y193" s="658">
        <f>SUM(Y190:Y192)</f>
        <v/>
      </c>
      <c r="Z193" s="658">
        <f>SUM(Z190:Z192)</f>
        <v/>
      </c>
      <c r="AA193" s="658">
        <f>SUM(AA190:AA192)</f>
        <v/>
      </c>
      <c r="AB193" s="658">
        <f>SUM(AB190:AB192)</f>
        <v/>
      </c>
      <c r="AC193" s="658">
        <f>SUM(AC190:AC192)</f>
        <v/>
      </c>
      <c r="AD193" s="658">
        <f>SUM(AD190:AD192)</f>
        <v/>
      </c>
      <c r="AE193" s="658">
        <f>SUM(AE190:AE192)</f>
        <v/>
      </c>
      <c r="AF193" s="658">
        <f>SUM(AF190:AF192)</f>
        <v/>
      </c>
      <c r="AG193" s="658">
        <f>SUM(AG190:AG192)</f>
        <v/>
      </c>
      <c r="AH193" s="658">
        <f>SUM(AH190:AH192)</f>
        <v/>
      </c>
      <c r="AI193" s="658">
        <f>SUM(AI190:AI192)</f>
        <v/>
      </c>
      <c r="AJ193" s="658">
        <f>SUM(AJ190:AJ192)</f>
        <v/>
      </c>
      <c r="AK193" s="658">
        <f>SUM(AK190:AK192)</f>
        <v/>
      </c>
      <c r="AL193" s="658">
        <f>SUM(AL190:AL192)</f>
        <v/>
      </c>
      <c r="AM193" s="658">
        <f>SUM(AM190:AM192)</f>
        <v/>
      </c>
      <c r="AN193" s="658">
        <f>SUM(AN190:AN192)</f>
        <v/>
      </c>
      <c r="AO193" s="658">
        <f>SUM(AO190:AO192)</f>
        <v/>
      </c>
      <c r="AP193" s="658">
        <f>SUM(AP190:AP192)</f>
        <v/>
      </c>
      <c r="AQ193" s="658">
        <f>SUM(AQ190:AQ192)</f>
        <v/>
      </c>
      <c r="AR193" s="658">
        <f>SUM(AR190:AR192)</f>
        <v/>
      </c>
      <c r="AS193" s="658">
        <f>SUM(AS190:AS192)</f>
        <v/>
      </c>
      <c r="AT193" s="658">
        <f>SUM(AT190:AT192)</f>
        <v/>
      </c>
      <c r="AU193" s="658">
        <f>SUM(AU190:AU192)</f>
        <v/>
      </c>
      <c r="AV193" s="658">
        <f>SUM(AV190:AV192)</f>
        <v/>
      </c>
      <c r="AW193" s="658">
        <f>SUM(AW190:AW192)</f>
        <v/>
      </c>
      <c r="AX193" s="658">
        <f>SUM(AX190:AX192)</f>
        <v/>
      </c>
      <c r="AY193" s="658">
        <f>SUM(AY190:AY192)</f>
        <v/>
      </c>
      <c r="AZ193" s="658">
        <f>SUM(AZ190:AZ192)</f>
        <v/>
      </c>
      <c r="BA193" s="658">
        <f>SUM(BA190:BA192)</f>
        <v/>
      </c>
      <c r="BB193" s="658">
        <f>SUM(BB190:BB192)</f>
        <v/>
      </c>
      <c r="BC193" s="658">
        <f>SUM(BC190:BC192)</f>
        <v/>
      </c>
      <c r="BD193" s="658">
        <f>SUM(BD190:BD192)</f>
        <v/>
      </c>
      <c r="BE193" s="658">
        <f>SUM(BE190:BE192)</f>
        <v/>
      </c>
      <c r="BF193" s="658">
        <f>SUM(BF190:BF192)</f>
        <v/>
      </c>
      <c r="BG193" s="658">
        <f>SUM(BG190:BG192)</f>
        <v/>
      </c>
      <c r="BH193" s="658">
        <f>SUM(BH190:BH192)</f>
        <v/>
      </c>
      <c r="BI193" s="658">
        <f>SUM(BI190:BI192)</f>
        <v/>
      </c>
      <c r="BJ193" s="658">
        <f>SUM(BJ190:BJ192)</f>
        <v/>
      </c>
      <c r="BK193" s="658">
        <f>SUM(BK190:BK192)</f>
        <v/>
      </c>
      <c r="BL193" s="658">
        <f>SUM(BL190:BL192)</f>
        <v/>
      </c>
      <c r="BM193" s="658">
        <f>SUM(BM190:BM192)</f>
        <v/>
      </c>
      <c r="BN193" s="658">
        <f>SUM(BN190:BN192)</f>
        <v/>
      </c>
      <c r="BO193" s="658">
        <f>SUM(BO190:BO192)</f>
        <v/>
      </c>
      <c r="BP193" s="658">
        <f>SUM(BP190:BP192)</f>
        <v/>
      </c>
      <c r="BQ193" s="658">
        <f>SUM(BQ190:BQ192)</f>
        <v/>
      </c>
      <c r="BR193" s="658">
        <f>SUM(BR190:BR192)</f>
        <v/>
      </c>
      <c r="BS193" s="658">
        <f>SUM(BS190:BS192)</f>
        <v/>
      </c>
      <c r="BT193" s="658">
        <f>SUM(BT190:BT192)</f>
        <v/>
      </c>
      <c r="BU193" s="658">
        <f>SUM(BU190:BU192)</f>
        <v/>
      </c>
      <c r="BV193" s="658">
        <f>SUM(BV190:BV192)</f>
        <v/>
      </c>
      <c r="BW193" s="658">
        <f>SUM(BW190:BW192)</f>
        <v/>
      </c>
      <c r="BX193" s="658">
        <f>SUM(BX190:BX192)</f>
        <v/>
      </c>
      <c r="BY193" s="658">
        <f>SUM(BY190:BY192)</f>
        <v/>
      </c>
      <c r="BZ193" s="658">
        <f>SUM(BZ190:BZ192)</f>
        <v/>
      </c>
      <c r="CA193" s="658">
        <f>SUM(CA190:CA192)</f>
        <v/>
      </c>
      <c r="CB193" s="658">
        <f>SUM(CB190:CB192)</f>
        <v/>
      </c>
      <c r="CC193" s="658">
        <f>SUM(CC190:CC192)</f>
        <v/>
      </c>
      <c r="CD193" s="658">
        <f>SUM(CD190:CD192)</f>
        <v/>
      </c>
      <c r="CE193" s="658">
        <f>SUM(CE190:CE192)</f>
        <v/>
      </c>
      <c r="CF193" s="658">
        <f>SUM(CF190:CF192)</f>
        <v/>
      </c>
      <c r="CG193" s="658">
        <f>SUM(CG190:CG192)</f>
        <v/>
      </c>
      <c r="CH193" s="658">
        <f>SUM(CH190:CH192)</f>
        <v/>
      </c>
      <c r="CI193" s="658">
        <f>SUM(CI190:CI192)</f>
        <v/>
      </c>
      <c r="CJ193" s="658">
        <f>SUM(CJ190:CJ192)</f>
        <v/>
      </c>
      <c r="CK193" s="658">
        <f>SUM(CK190:CK192)</f>
        <v/>
      </c>
      <c r="CL193" s="658">
        <f>SUM(CL190:CL192)</f>
        <v/>
      </c>
      <c r="CM193" s="658">
        <f>SUM(CM190:CM192)</f>
        <v/>
      </c>
      <c r="CN193" s="658">
        <f>SUM(CN190:CN192)</f>
        <v/>
      </c>
      <c r="CO193" s="658">
        <f>SUM(CO190:CO192)</f>
        <v/>
      </c>
      <c r="CP193" s="658">
        <f>SUM(CP190:CP192)</f>
        <v/>
      </c>
      <c r="CQ193" s="658">
        <f>SUM(CQ190:CQ192)</f>
        <v/>
      </c>
      <c r="CR193" s="658">
        <f>SUM(CR190:CR192)</f>
        <v/>
      </c>
      <c r="CS193" s="658">
        <f>SUM(CS190:CS192)</f>
        <v/>
      </c>
      <c r="CT193" s="658">
        <f>SUM(CT190:CT192)</f>
        <v/>
      </c>
      <c r="CU193" s="658">
        <f>SUM(CU190:CU192)</f>
        <v/>
      </c>
      <c r="CV193" s="658">
        <f>SUM(CV190:CV192)</f>
        <v/>
      </c>
      <c r="CW193" s="658">
        <f>SUM(CW190:CW192)</f>
        <v/>
      </c>
      <c r="CX193" s="658">
        <f>SUM(CX190:CX192)</f>
        <v/>
      </c>
      <c r="CY193" s="658">
        <f>SUM(CY190:CY192)</f>
        <v/>
      </c>
      <c r="CZ193" s="658">
        <f>SUM(CZ190:CZ192)</f>
        <v/>
      </c>
      <c r="DA193" s="658">
        <f>SUM(DA190:DA192)</f>
        <v/>
      </c>
      <c r="DB193" s="658">
        <f>SUM(DB190:DB192)</f>
        <v/>
      </c>
      <c r="DC193" s="658">
        <f>SUM(DC190:DC192)</f>
        <v/>
      </c>
      <c r="DD193" s="658">
        <f>SUM(DD190:DD192)</f>
        <v/>
      </c>
      <c r="DE193" s="658">
        <f>SUM(DE190:DE192)</f>
        <v/>
      </c>
      <c r="DF193" s="658">
        <f>SUM(DF190:DF192)</f>
        <v/>
      </c>
      <c r="DG193" s="658">
        <f>SUM(DG190:DG192)</f>
        <v/>
      </c>
      <c r="DH193" s="658">
        <f>SUM(DH190:DH192)</f>
        <v/>
      </c>
      <c r="DI193" s="658">
        <f>SUM(DI190:DI192)</f>
        <v/>
      </c>
      <c r="DJ193" s="658">
        <f>SUM(DJ190:DJ192)</f>
        <v/>
      </c>
      <c r="DK193" s="658">
        <f>SUM(DK190:DK192)</f>
        <v/>
      </c>
      <c r="DL193" s="658">
        <f>SUM(DL190:DL192)</f>
        <v/>
      </c>
      <c r="DM193" s="658">
        <f>SUM(DM190:DM192)</f>
        <v/>
      </c>
      <c r="DN193" s="658">
        <f>SUM(DN190:DN192)</f>
        <v/>
      </c>
      <c r="DO193" s="658">
        <f>SUM(DO190:DO192)</f>
        <v/>
      </c>
      <c r="DP193" s="658">
        <f>SUM(DP190:DP192)</f>
        <v/>
      </c>
      <c r="DQ193" s="658">
        <f>SUM(DQ190:DQ192)</f>
        <v/>
      </c>
      <c r="DR193" s="658">
        <f>SUM(DR190:DR192)</f>
        <v/>
      </c>
      <c r="DS193" s="658">
        <f>SUM(DS190:DS192)</f>
        <v/>
      </c>
      <c r="DT193" s="658">
        <f>SUM(DT190:DT192)</f>
        <v/>
      </c>
      <c r="DU193" s="658">
        <f>SUM(DU190:DU192)</f>
        <v/>
      </c>
      <c r="DV193" s="658">
        <f>SUM(DV190:DV192)</f>
        <v/>
      </c>
      <c r="DW193" s="322" t="inlineStr">
        <is>
          <t>x</t>
        </is>
      </c>
    </row>
    <row r="194" hidden="1" outlineLevel="1" ht="17.25" customHeight="1" thickTop="1">
      <c r="C194" s="360" t="n"/>
      <c r="D194" s="360" t="n"/>
      <c r="E194" s="360" t="n"/>
      <c r="F194" s="360" t="n"/>
      <c r="G194" s="360" t="n"/>
      <c r="H194" s="360" t="n"/>
      <c r="I194" s="360" t="n"/>
      <c r="J194" s="360" t="n"/>
      <c r="K194" s="360" t="n"/>
      <c r="L194" s="360" t="n"/>
      <c r="M194" s="360" t="n"/>
      <c r="N194" s="360" t="n"/>
      <c r="O194" s="360" t="n"/>
      <c r="P194" s="360" t="n"/>
      <c r="Q194" s="360" t="n"/>
      <c r="R194" s="360" t="n"/>
      <c r="S194" s="360" t="n"/>
      <c r="T194" s="360" t="n"/>
      <c r="U194" s="360" t="n"/>
      <c r="V194" s="360" t="n"/>
      <c r="W194" s="360" t="n"/>
      <c r="X194" s="360" t="n"/>
      <c r="Y194" s="360" t="n"/>
      <c r="Z194" s="360" t="n"/>
      <c r="AA194" s="360" t="n"/>
      <c r="AB194" s="360" t="n"/>
      <c r="AC194" s="360" t="n"/>
      <c r="AD194" s="360" t="n"/>
      <c r="AE194" s="360" t="n"/>
      <c r="AF194" s="360" t="n"/>
      <c r="AG194" s="360" t="n"/>
      <c r="AH194" s="360" t="n"/>
      <c r="AI194" s="360" t="n"/>
      <c r="AJ194" s="360" t="n"/>
      <c r="AK194" s="360" t="n"/>
      <c r="AL194" s="360" t="n"/>
      <c r="AM194" s="360" t="n"/>
      <c r="AN194" s="360" t="n"/>
      <c r="AO194" s="360" t="n"/>
      <c r="AP194" s="360" t="n"/>
      <c r="AQ194" s="360" t="n"/>
      <c r="AR194" s="360" t="n"/>
      <c r="AS194" s="360" t="n"/>
      <c r="AT194" s="360" t="n"/>
      <c r="AU194" s="360" t="n"/>
      <c r="AV194" s="360" t="n"/>
      <c r="AW194" s="360" t="n"/>
      <c r="AX194" s="360" t="n"/>
      <c r="AY194" s="360" t="n"/>
      <c r="AZ194" s="360" t="n"/>
      <c r="BA194" s="360" t="n"/>
      <c r="BB194" s="360" t="n"/>
      <c r="BC194" s="360" t="n"/>
      <c r="BD194" s="360" t="n"/>
      <c r="BE194" s="360" t="n"/>
      <c r="BF194" s="360" t="n"/>
      <c r="BG194" s="360" t="n"/>
      <c r="BH194" s="360" t="n"/>
      <c r="BI194" s="360" t="n"/>
      <c r="BJ194" s="360" t="n"/>
      <c r="BK194" s="360" t="n"/>
      <c r="BL194" s="360" t="n"/>
      <c r="BM194" s="360" t="n"/>
      <c r="BN194" s="360" t="n"/>
      <c r="BO194" s="360" t="n"/>
      <c r="BP194" s="360" t="n"/>
      <c r="BQ194" s="360" t="n"/>
      <c r="BR194" s="360" t="n"/>
      <c r="BS194" s="360" t="n"/>
      <c r="BT194" s="360" t="n"/>
      <c r="BU194" s="360" t="n"/>
      <c r="BV194" s="360" t="n"/>
      <c r="BW194" s="360" t="n"/>
      <c r="BX194" s="360" t="n"/>
      <c r="BY194" s="360" t="n"/>
      <c r="BZ194" s="360" t="n"/>
      <c r="CA194" s="360" t="n"/>
      <c r="CB194" s="360" t="n"/>
      <c r="CC194" s="360" t="n"/>
      <c r="CD194" s="360" t="n"/>
      <c r="CE194" s="360" t="n"/>
      <c r="CF194" s="360" t="n"/>
      <c r="CG194" s="360" t="n"/>
      <c r="CH194" s="360" t="n"/>
      <c r="CI194" s="360" t="n"/>
      <c r="CJ194" s="360" t="n"/>
      <c r="CK194" s="360" t="n"/>
      <c r="CL194" s="360" t="n"/>
      <c r="CM194" s="360" t="n"/>
      <c r="CN194" s="360" t="n"/>
      <c r="CO194" s="360" t="n"/>
      <c r="CP194" s="360" t="n"/>
      <c r="CQ194" s="360" t="n"/>
      <c r="CR194" s="360" t="n"/>
      <c r="CS194" s="360" t="n"/>
      <c r="CT194" s="360" t="n"/>
      <c r="CU194" s="360" t="n"/>
      <c r="CV194" s="360" t="n"/>
      <c r="CW194" s="360" t="n"/>
      <c r="CX194" s="360" t="n"/>
      <c r="CY194" s="360" t="n"/>
      <c r="CZ194" s="360" t="n"/>
      <c r="DA194" s="360" t="n"/>
      <c r="DB194" s="360" t="n"/>
      <c r="DC194" s="360" t="n"/>
      <c r="DD194" s="360" t="n"/>
      <c r="DE194" s="360" t="n"/>
      <c r="DF194" s="360" t="n"/>
      <c r="DG194" s="360" t="n"/>
      <c r="DH194" s="360" t="n"/>
      <c r="DI194" s="360" t="n"/>
      <c r="DJ194" s="360" t="n"/>
      <c r="DK194" s="360" t="n"/>
      <c r="DL194" s="360" t="n"/>
      <c r="DM194" s="360" t="n"/>
      <c r="DN194" s="360" t="n"/>
      <c r="DO194" s="360" t="n"/>
      <c r="DP194" s="360" t="n"/>
      <c r="DQ194" s="360" t="n"/>
      <c r="DR194" s="360" t="n"/>
      <c r="DS194" s="360" t="n"/>
      <c r="DT194" s="360" t="n"/>
      <c r="DU194" s="360" t="n"/>
      <c r="DV194" s="360" t="n"/>
      <c r="DW194" s="322" t="inlineStr">
        <is>
          <t>x</t>
        </is>
      </c>
    </row>
    <row r="195" hidden="1" outlineLevel="1" ht="17.25" customHeight="1" thickBot="1">
      <c r="C195" s="365" t="inlineStr">
        <is>
          <t>Remaining Cash to Distribute</t>
        </is>
      </c>
      <c r="D195" s="487" t="n"/>
      <c r="E195" s="685">
        <f>SUM(F195:DV195)</f>
        <v/>
      </c>
      <c r="F195" s="685" t="n"/>
      <c r="G195" s="685">
        <f>IF(G193&lt;0,0,G162-G193)</f>
        <v/>
      </c>
      <c r="H195" s="685">
        <f>IF(H193&lt;0,0,H162-H193)</f>
        <v/>
      </c>
      <c r="I195" s="685">
        <f>IF(I193&lt;0,0,I162-I193)</f>
        <v/>
      </c>
      <c r="J195" s="685">
        <f>IF(J193&lt;0,0,J162-J193)</f>
        <v/>
      </c>
      <c r="K195" s="685">
        <f>IF(K193&lt;0,0,K162-K193)</f>
        <v/>
      </c>
      <c r="L195" s="685">
        <f>IF(L193&lt;0,0,L162-L193)</f>
        <v/>
      </c>
      <c r="M195" s="685">
        <f>IF(M193&lt;0,0,M162-M193)</f>
        <v/>
      </c>
      <c r="N195" s="685">
        <f>IF(N193&lt;0,0,N162-N193)</f>
        <v/>
      </c>
      <c r="O195" s="685">
        <f>IF(O193&lt;0,0,O162-O193)</f>
        <v/>
      </c>
      <c r="P195" s="685">
        <f>IF(P193&lt;0,0,P162-P193)</f>
        <v/>
      </c>
      <c r="Q195" s="685">
        <f>IF(Q193&lt;0,0,Q162-Q193)</f>
        <v/>
      </c>
      <c r="R195" s="685">
        <f>IF(R193&lt;0,0,R162-R193)</f>
        <v/>
      </c>
      <c r="S195" s="685">
        <f>IF(S193&lt;0,0,S162-S193)</f>
        <v/>
      </c>
      <c r="T195" s="685">
        <f>IF(T193&lt;0,0,T162-T193)</f>
        <v/>
      </c>
      <c r="U195" s="685">
        <f>IF(U193&lt;0,0,U162-U193)</f>
        <v/>
      </c>
      <c r="V195" s="685">
        <f>IF(V193&lt;0,0,V162-V193)</f>
        <v/>
      </c>
      <c r="W195" s="685">
        <f>IF(W193&lt;0,0,W162-W193)</f>
        <v/>
      </c>
      <c r="X195" s="685">
        <f>IF(X193&lt;0,0,X162-X193)</f>
        <v/>
      </c>
      <c r="Y195" s="685">
        <f>IF(Y193&lt;0,0,Y162-Y193)</f>
        <v/>
      </c>
      <c r="Z195" s="685">
        <f>IF(Z193&lt;0,0,Z162-Z193)</f>
        <v/>
      </c>
      <c r="AA195" s="685">
        <f>IF(AA193&lt;0,0,AA162-AA193)</f>
        <v/>
      </c>
      <c r="AB195" s="685">
        <f>IF(AB193&lt;0,0,AB162-AB193)</f>
        <v/>
      </c>
      <c r="AC195" s="685">
        <f>IF(AC193&lt;0,0,AC162-AC193)</f>
        <v/>
      </c>
      <c r="AD195" s="685">
        <f>IF(AD193&lt;0,0,AD162-AD193)</f>
        <v/>
      </c>
      <c r="AE195" s="685">
        <f>IF(AE193&lt;0,0,AE162-AE193)</f>
        <v/>
      </c>
      <c r="AF195" s="685">
        <f>IF(AF193&lt;0,0,AF162-AF193)</f>
        <v/>
      </c>
      <c r="AG195" s="685">
        <f>IF(AG193&lt;0,0,AG162-AG193)</f>
        <v/>
      </c>
      <c r="AH195" s="685">
        <f>IF(AH193&lt;0,0,AH162-AH193)</f>
        <v/>
      </c>
      <c r="AI195" s="685">
        <f>IF(AI193&lt;0,0,AI162-AI193)</f>
        <v/>
      </c>
      <c r="AJ195" s="685">
        <f>IF(AJ193&lt;0,0,AJ162-AJ193)</f>
        <v/>
      </c>
      <c r="AK195" s="685">
        <f>IF(AK193&lt;0,0,AK162-AK193)</f>
        <v/>
      </c>
      <c r="AL195" s="685">
        <f>IF(AL193&lt;0,0,AL162-AL193)</f>
        <v/>
      </c>
      <c r="AM195" s="685">
        <f>IF(AM193&lt;0,0,AM162-AM193)</f>
        <v/>
      </c>
      <c r="AN195" s="685">
        <f>IF(AN193&lt;0,0,AN162-AN193)</f>
        <v/>
      </c>
      <c r="AO195" s="685">
        <f>IF(AO193&lt;0,0,AO162-AO193)</f>
        <v/>
      </c>
      <c r="AP195" s="685">
        <f>IF(AP193&lt;0,0,AP162-AP193)</f>
        <v/>
      </c>
      <c r="AQ195" s="685">
        <f>IF(AQ193&lt;0,0,AQ162-AQ193)</f>
        <v/>
      </c>
      <c r="AR195" s="685">
        <f>IF(AR193&lt;0,0,AR162-AR193)</f>
        <v/>
      </c>
      <c r="AS195" s="685">
        <f>IF(AS193&lt;0,0,AS162-AS193)</f>
        <v/>
      </c>
      <c r="AT195" s="685">
        <f>IF(AT193&lt;0,0,AT162-AT193)</f>
        <v/>
      </c>
      <c r="AU195" s="685">
        <f>IF(AU193&lt;0,0,AU162-AU193)</f>
        <v/>
      </c>
      <c r="AV195" s="685">
        <f>IF(AV193&lt;0,0,AV162-AV193)</f>
        <v/>
      </c>
      <c r="AW195" s="685">
        <f>IF(AW193&lt;0,0,AW162-AW193)</f>
        <v/>
      </c>
      <c r="AX195" s="685">
        <f>IF(AX193&lt;0,0,AX162-AX193)</f>
        <v/>
      </c>
      <c r="AY195" s="685">
        <f>IF(AY193&lt;0,0,AY162-AY193)</f>
        <v/>
      </c>
      <c r="AZ195" s="685">
        <f>IF(AZ193&lt;0,0,AZ162-AZ193)</f>
        <v/>
      </c>
      <c r="BA195" s="685">
        <f>IF(BA193&lt;0,0,BA162-BA193)</f>
        <v/>
      </c>
      <c r="BB195" s="685">
        <f>IF(BB193&lt;0,0,BB162-BB193)</f>
        <v/>
      </c>
      <c r="BC195" s="685">
        <f>IF(BC193&lt;0,0,BC162-BC193)</f>
        <v/>
      </c>
      <c r="BD195" s="685">
        <f>IF(BD193&lt;0,0,BD162-BD193)</f>
        <v/>
      </c>
      <c r="BE195" s="685">
        <f>IF(BE193&lt;0,0,BE162-BE193)</f>
        <v/>
      </c>
      <c r="BF195" s="685">
        <f>IF(BF193&lt;0,0,BF162-BF193)</f>
        <v/>
      </c>
      <c r="BG195" s="685">
        <f>IF(BG193&lt;0,0,BG162-BG193)</f>
        <v/>
      </c>
      <c r="BH195" s="685">
        <f>IF(BH193&lt;0,0,BH162-BH193)</f>
        <v/>
      </c>
      <c r="BI195" s="685">
        <f>IF(BI193&lt;0,0,BI162-BI193)</f>
        <v/>
      </c>
      <c r="BJ195" s="685">
        <f>IF(BJ193&lt;0,0,BJ162-BJ193)</f>
        <v/>
      </c>
      <c r="BK195" s="685">
        <f>IF(BK193&lt;0,0,BK162-BK193)</f>
        <v/>
      </c>
      <c r="BL195" s="685">
        <f>IF(BL193&lt;0,0,BL162-BL193)</f>
        <v/>
      </c>
      <c r="BM195" s="685">
        <f>IF(BM193&lt;0,0,BM162-BM193)</f>
        <v/>
      </c>
      <c r="BN195" s="685">
        <f>IF(BN193&lt;0,0,BN162-BN193)</f>
        <v/>
      </c>
      <c r="BO195" s="685">
        <f>IF(BO193&lt;0,0,BO162-BO193)</f>
        <v/>
      </c>
      <c r="BP195" s="685">
        <f>IF(BP193&lt;0,0,BP162-BP193)</f>
        <v/>
      </c>
      <c r="BQ195" s="685">
        <f>IF(BQ193&lt;0,0,BQ162-BQ193)</f>
        <v/>
      </c>
      <c r="BR195" s="685">
        <f>IF(BR193&lt;0,0,BR162-BR193)</f>
        <v/>
      </c>
      <c r="BS195" s="685">
        <f>IF(BS193&lt;0,0,BS162-BS193)</f>
        <v/>
      </c>
      <c r="BT195" s="685">
        <f>IF(BT193&lt;0,0,BT162-BT193)</f>
        <v/>
      </c>
      <c r="BU195" s="685">
        <f>IF(BU193&lt;0,0,BU162-BU193)</f>
        <v/>
      </c>
      <c r="BV195" s="685">
        <f>IF(BV193&lt;0,0,BV162-BV193)</f>
        <v/>
      </c>
      <c r="BW195" s="685">
        <f>IF(BW193&lt;0,0,BW162-BW193)</f>
        <v/>
      </c>
      <c r="BX195" s="685">
        <f>IF(BX193&lt;0,0,BX162-BX193)</f>
        <v/>
      </c>
      <c r="BY195" s="685">
        <f>IF(BY193&lt;0,0,BY162-BY193)</f>
        <v/>
      </c>
      <c r="BZ195" s="685">
        <f>IF(BZ193&lt;0,0,BZ162-BZ193)</f>
        <v/>
      </c>
      <c r="CA195" s="685">
        <f>IF(CA193&lt;0,0,CA162-CA193)</f>
        <v/>
      </c>
      <c r="CB195" s="685">
        <f>IF(CB193&lt;0,0,CB162-CB193)</f>
        <v/>
      </c>
      <c r="CC195" s="685">
        <f>IF(CC193&lt;0,0,CC162-CC193)</f>
        <v/>
      </c>
      <c r="CD195" s="685">
        <f>IF(CD193&lt;0,0,CD162-CD193)</f>
        <v/>
      </c>
      <c r="CE195" s="685">
        <f>IF(CE193&lt;0,0,CE162-CE193)</f>
        <v/>
      </c>
      <c r="CF195" s="685">
        <f>IF(CF193&lt;0,0,CF162-CF193)</f>
        <v/>
      </c>
      <c r="CG195" s="685">
        <f>IF(CG193&lt;0,0,CG162-CG193)</f>
        <v/>
      </c>
      <c r="CH195" s="685">
        <f>IF(CH193&lt;0,0,CH162-CH193)</f>
        <v/>
      </c>
      <c r="CI195" s="685">
        <f>IF(CI193&lt;0,0,CI162-CI193)</f>
        <v/>
      </c>
      <c r="CJ195" s="685">
        <f>IF(CJ193&lt;0,0,CJ162-CJ193)</f>
        <v/>
      </c>
      <c r="CK195" s="685">
        <f>IF(CK193&lt;0,0,CK162-CK193)</f>
        <v/>
      </c>
      <c r="CL195" s="685">
        <f>IF(CL193&lt;0,0,CL162-CL193)</f>
        <v/>
      </c>
      <c r="CM195" s="685">
        <f>IF(CM193&lt;0,0,CM162-CM193)</f>
        <v/>
      </c>
      <c r="CN195" s="685">
        <f>IF(CN193&lt;0,0,CN162-CN193)</f>
        <v/>
      </c>
      <c r="CO195" s="685">
        <f>IF(CO193&lt;0,0,CO162-CO193)</f>
        <v/>
      </c>
      <c r="CP195" s="685">
        <f>IF(CP193&lt;0,0,CP162-CP193)</f>
        <v/>
      </c>
      <c r="CQ195" s="685">
        <f>IF(CQ193&lt;0,0,CQ162-CQ193)</f>
        <v/>
      </c>
      <c r="CR195" s="685">
        <f>IF(CR193&lt;0,0,CR162-CR193)</f>
        <v/>
      </c>
      <c r="CS195" s="685">
        <f>IF(CS193&lt;0,0,CS162-CS193)</f>
        <v/>
      </c>
      <c r="CT195" s="685">
        <f>IF(CT193&lt;0,0,CT162-CT193)</f>
        <v/>
      </c>
      <c r="CU195" s="685">
        <f>IF(CU193&lt;0,0,CU162-CU193)</f>
        <v/>
      </c>
      <c r="CV195" s="685">
        <f>IF(CV193&lt;0,0,CV162-CV193)</f>
        <v/>
      </c>
      <c r="CW195" s="685">
        <f>IF(CW193&lt;0,0,CW162-CW193)</f>
        <v/>
      </c>
      <c r="CX195" s="685">
        <f>IF(CX193&lt;0,0,CX162-CX193)</f>
        <v/>
      </c>
      <c r="CY195" s="685">
        <f>IF(CY193&lt;0,0,CY162-CY193)</f>
        <v/>
      </c>
      <c r="CZ195" s="685">
        <f>IF(CZ193&lt;0,0,CZ162-CZ193)</f>
        <v/>
      </c>
      <c r="DA195" s="685">
        <f>IF(DA193&lt;0,0,DA162-DA193)</f>
        <v/>
      </c>
      <c r="DB195" s="685">
        <f>IF(DB193&lt;0,0,DB162-DB193)</f>
        <v/>
      </c>
      <c r="DC195" s="685">
        <f>IF(DC193&lt;0,0,DC162-DC193)</f>
        <v/>
      </c>
      <c r="DD195" s="685">
        <f>IF(DD193&lt;0,0,DD162-DD193)</f>
        <v/>
      </c>
      <c r="DE195" s="685">
        <f>IF(DE193&lt;0,0,DE162-DE193)</f>
        <v/>
      </c>
      <c r="DF195" s="685">
        <f>IF(DF193&lt;0,0,DF162-DF193)</f>
        <v/>
      </c>
      <c r="DG195" s="685">
        <f>IF(DG193&lt;0,0,DG162-DG193)</f>
        <v/>
      </c>
      <c r="DH195" s="685">
        <f>IF(DH193&lt;0,0,DH162-DH193)</f>
        <v/>
      </c>
      <c r="DI195" s="685">
        <f>IF(DI193&lt;0,0,DI162-DI193)</f>
        <v/>
      </c>
      <c r="DJ195" s="685">
        <f>IF(DJ193&lt;0,0,DJ162-DJ193)</f>
        <v/>
      </c>
      <c r="DK195" s="685">
        <f>IF(DK193&lt;0,0,DK162-DK193)</f>
        <v/>
      </c>
      <c r="DL195" s="685">
        <f>IF(DL193&lt;0,0,DL162-DL193)</f>
        <v/>
      </c>
      <c r="DM195" s="685">
        <f>IF(DM193&lt;0,0,DM162-DM193)</f>
        <v/>
      </c>
      <c r="DN195" s="685">
        <f>IF(DN193&lt;0,0,DN162-DN193)</f>
        <v/>
      </c>
      <c r="DO195" s="685">
        <f>IF(DO193&lt;0,0,DO162-DO193)</f>
        <v/>
      </c>
      <c r="DP195" s="685">
        <f>IF(DP193&lt;0,0,DP162-DP193)</f>
        <v/>
      </c>
      <c r="DQ195" s="685">
        <f>IF(DQ193&lt;0,0,DQ162-DQ193)</f>
        <v/>
      </c>
      <c r="DR195" s="685">
        <f>IF(DR193&lt;0,0,DR162-DR193)</f>
        <v/>
      </c>
      <c r="DS195" s="685">
        <f>IF(DS193&lt;0,0,DS162-DS193)</f>
        <v/>
      </c>
      <c r="DT195" s="685">
        <f>IF(DT193&lt;0,0,DT162-DT193)</f>
        <v/>
      </c>
      <c r="DU195" s="685">
        <f>IF(DU193&lt;0,0,DU162-DU193)</f>
        <v/>
      </c>
      <c r="DV195" s="685">
        <f>IF(DV193&lt;0,0,DV162-DV193)</f>
        <v/>
      </c>
      <c r="DW195" s="322" t="inlineStr">
        <is>
          <t>x</t>
        </is>
      </c>
    </row>
    <row r="196" hidden="1" outlineLevel="1" ht="17.25" customHeight="1" thickTop="1">
      <c r="C196" s="360" t="n"/>
      <c r="D196" s="360" t="n"/>
      <c r="E196" s="360" t="n"/>
      <c r="F196" s="360" t="n"/>
      <c r="G196" s="360" t="n"/>
      <c r="H196" s="360" t="n"/>
      <c r="I196" s="360" t="n"/>
      <c r="J196" s="360" t="n"/>
      <c r="K196" s="360" t="n"/>
      <c r="L196" s="360" t="n"/>
      <c r="M196" s="360" t="n"/>
      <c r="N196" s="360" t="n"/>
      <c r="O196" s="360" t="n"/>
      <c r="P196" s="360" t="n"/>
      <c r="Q196" s="360" t="n"/>
      <c r="R196" s="360" t="n"/>
      <c r="S196" s="360" t="n"/>
      <c r="T196" s="360" t="n"/>
      <c r="U196" s="360" t="n"/>
      <c r="V196" s="360" t="n"/>
      <c r="W196" s="360" t="n"/>
      <c r="X196" s="360" t="n"/>
      <c r="Y196" s="360" t="n"/>
      <c r="Z196" s="360" t="n"/>
      <c r="AA196" s="360" t="n"/>
      <c r="AB196" s="360" t="n"/>
      <c r="AC196" s="360" t="n"/>
      <c r="AD196" s="360" t="n"/>
      <c r="AE196" s="360" t="n"/>
      <c r="AF196" s="360" t="n"/>
      <c r="AG196" s="360" t="n"/>
      <c r="AH196" s="360" t="n"/>
      <c r="AI196" s="360" t="n"/>
      <c r="AJ196" s="360" t="n"/>
      <c r="AK196" s="360" t="n"/>
      <c r="AL196" s="360" t="n"/>
      <c r="AM196" s="360" t="n"/>
      <c r="AN196" s="360" t="n"/>
      <c r="AO196" s="360" t="n"/>
      <c r="AP196" s="360" t="n"/>
      <c r="AQ196" s="360" t="n"/>
      <c r="AR196" s="360" t="n"/>
      <c r="AS196" s="360" t="n"/>
      <c r="AT196" s="360" t="n"/>
      <c r="AU196" s="360" t="n"/>
      <c r="AV196" s="360" t="n"/>
      <c r="AW196" s="360" t="n"/>
      <c r="AX196" s="360" t="n"/>
      <c r="AY196" s="360" t="n"/>
      <c r="AZ196" s="360" t="n"/>
      <c r="BA196" s="360" t="n"/>
      <c r="BB196" s="360" t="n"/>
      <c r="BC196" s="360" t="n"/>
      <c r="BD196" s="360" t="n"/>
      <c r="BE196" s="360" t="n"/>
      <c r="BF196" s="360" t="n"/>
      <c r="BG196" s="360" t="n"/>
      <c r="BH196" s="360" t="n"/>
      <c r="BI196" s="360" t="n"/>
      <c r="BJ196" s="360" t="n"/>
      <c r="BK196" s="360" t="n"/>
      <c r="BL196" s="360" t="n"/>
      <c r="BM196" s="360" t="n"/>
      <c r="BN196" s="360" t="n"/>
      <c r="BO196" s="360" t="n"/>
      <c r="BP196" s="360" t="n"/>
      <c r="BQ196" s="360" t="n"/>
      <c r="BR196" s="360" t="n"/>
      <c r="BS196" s="360" t="n"/>
      <c r="BT196" s="360" t="n"/>
      <c r="BU196" s="360" t="n"/>
      <c r="BV196" s="360" t="n"/>
      <c r="BW196" s="360" t="n"/>
      <c r="BX196" s="360" t="n"/>
      <c r="BY196" s="360" t="n"/>
      <c r="BZ196" s="360" t="n"/>
      <c r="CA196" s="360" t="n"/>
      <c r="CB196" s="360" t="n"/>
      <c r="CC196" s="360" t="n"/>
      <c r="CD196" s="360" t="n"/>
      <c r="CE196" s="360" t="n"/>
      <c r="CF196" s="360" t="n"/>
      <c r="CG196" s="360" t="n"/>
      <c r="CH196" s="360" t="n"/>
      <c r="CI196" s="360" t="n"/>
      <c r="CJ196" s="360" t="n"/>
      <c r="CK196" s="360" t="n"/>
      <c r="CL196" s="360" t="n"/>
      <c r="CM196" s="360" t="n"/>
      <c r="CN196" s="360" t="n"/>
      <c r="CO196" s="360" t="n"/>
      <c r="CP196" s="360" t="n"/>
      <c r="CQ196" s="360" t="n"/>
      <c r="CR196" s="360" t="n"/>
      <c r="CS196" s="360" t="n"/>
      <c r="CT196" s="360" t="n"/>
      <c r="CU196" s="360" t="n"/>
      <c r="CV196" s="360" t="n"/>
      <c r="CW196" s="360" t="n"/>
      <c r="CX196" s="360" t="n"/>
      <c r="CY196" s="360" t="n"/>
      <c r="CZ196" s="360" t="n"/>
      <c r="DA196" s="360" t="n"/>
      <c r="DB196" s="360" t="n"/>
      <c r="DC196" s="360" t="n"/>
      <c r="DD196" s="360" t="n"/>
      <c r="DE196" s="360" t="n"/>
      <c r="DF196" s="360" t="n"/>
      <c r="DG196" s="360" t="n"/>
      <c r="DH196" s="360" t="n"/>
      <c r="DI196" s="360" t="n"/>
      <c r="DJ196" s="360" t="n"/>
      <c r="DK196" s="360" t="n"/>
      <c r="DL196" s="360" t="n"/>
      <c r="DM196" s="360" t="n"/>
      <c r="DN196" s="360" t="n"/>
      <c r="DO196" s="360" t="n"/>
      <c r="DP196" s="360" t="n"/>
      <c r="DQ196" s="360" t="n"/>
      <c r="DR196" s="360" t="n"/>
      <c r="DS196" s="360" t="n"/>
      <c r="DT196" s="360" t="n"/>
      <c r="DU196" s="360" t="n"/>
      <c r="DV196" s="360" t="n"/>
      <c r="DW196" s="322" t="inlineStr">
        <is>
          <t>x</t>
        </is>
      </c>
    </row>
    <row r="197" hidden="1" outlineLevel="1">
      <c r="C197" s="382" t="inlineStr">
        <is>
          <t>Tier IV</t>
        </is>
      </c>
      <c r="D197" s="382" t="n"/>
      <c r="E197" s="395" t="n"/>
      <c r="F197" s="458" t="n"/>
      <c r="G197" s="458" t="n"/>
      <c r="H197" s="458" t="n"/>
      <c r="I197" s="458" t="n"/>
      <c r="J197" s="458" t="n"/>
      <c r="K197" s="458" t="n"/>
      <c r="L197" s="458" t="n"/>
      <c r="M197" s="458" t="n"/>
      <c r="N197" s="458" t="n"/>
      <c r="O197" s="458" t="n"/>
      <c r="P197" s="458" t="n"/>
      <c r="Q197" s="458" t="n"/>
      <c r="R197" s="458" t="n"/>
      <c r="S197" s="458" t="n"/>
      <c r="T197" s="458" t="n"/>
      <c r="U197" s="458" t="n"/>
      <c r="V197" s="458" t="n"/>
      <c r="W197" s="458" t="n"/>
      <c r="X197" s="458" t="n"/>
      <c r="Y197" s="458" t="n"/>
      <c r="Z197" s="458" t="n"/>
      <c r="AA197" s="458" t="n"/>
      <c r="AB197" s="458" t="n"/>
      <c r="AC197" s="458" t="n"/>
      <c r="AD197" s="458" t="n"/>
      <c r="AE197" s="458" t="n"/>
      <c r="AF197" s="458" t="n"/>
      <c r="AG197" s="458" t="n"/>
      <c r="AH197" s="458" t="n"/>
      <c r="AI197" s="458" t="n"/>
      <c r="AJ197" s="458" t="n"/>
      <c r="AK197" s="458" t="n"/>
      <c r="AL197" s="458" t="n"/>
      <c r="AM197" s="458" t="n"/>
      <c r="AN197" s="458" t="n"/>
      <c r="AO197" s="458" t="n"/>
      <c r="AP197" s="458" t="n"/>
      <c r="AQ197" s="458" t="n"/>
      <c r="AR197" s="458" t="n"/>
      <c r="AS197" s="458" t="n"/>
      <c r="AT197" s="458" t="n"/>
      <c r="AU197" s="458" t="n"/>
      <c r="AV197" s="458" t="n"/>
      <c r="AW197" s="458" t="n"/>
      <c r="AX197" s="458" t="n"/>
      <c r="AY197" s="458" t="n"/>
      <c r="AZ197" s="458" t="n"/>
      <c r="BA197" s="458" t="n"/>
      <c r="BB197" s="458" t="n"/>
      <c r="BC197" s="458" t="n"/>
      <c r="BD197" s="458" t="n"/>
      <c r="BE197" s="458" t="n"/>
      <c r="BF197" s="458" t="n"/>
      <c r="BG197" s="458" t="n"/>
      <c r="BH197" s="458" t="n"/>
      <c r="BI197" s="458" t="n"/>
      <c r="BJ197" s="458" t="n"/>
      <c r="BK197" s="458" t="n"/>
      <c r="BL197" s="458" t="n"/>
      <c r="BM197" s="458" t="n"/>
      <c r="BN197" s="458" t="n"/>
      <c r="BO197" s="458" t="n"/>
      <c r="BP197" s="458" t="n"/>
      <c r="BQ197" s="458" t="n"/>
      <c r="BR197" s="458" t="n"/>
      <c r="BS197" s="458" t="n"/>
      <c r="BT197" s="458" t="n"/>
      <c r="BU197" s="458" t="n"/>
      <c r="BV197" s="458" t="n"/>
      <c r="BW197" s="458" t="n"/>
      <c r="BX197" s="458" t="n"/>
      <c r="BY197" s="458" t="n"/>
      <c r="BZ197" s="458" t="n"/>
      <c r="CA197" s="458" t="n"/>
      <c r="CB197" s="458" t="n"/>
      <c r="CC197" s="458" t="n"/>
      <c r="CD197" s="458" t="n"/>
      <c r="CE197" s="458" t="n"/>
      <c r="CF197" s="458" t="n"/>
      <c r="CG197" s="458" t="n"/>
      <c r="CH197" s="458" t="n"/>
      <c r="CI197" s="458" t="n"/>
      <c r="CJ197" s="458" t="n"/>
      <c r="CK197" s="458" t="n"/>
      <c r="CL197" s="458" t="n"/>
      <c r="CM197" s="458" t="n"/>
      <c r="CN197" s="458" t="n"/>
      <c r="CO197" s="458" t="n"/>
      <c r="CP197" s="458" t="n"/>
      <c r="CQ197" s="458" t="n"/>
      <c r="CR197" s="458" t="n"/>
      <c r="CS197" s="458" t="n"/>
      <c r="CT197" s="458" t="n"/>
      <c r="CU197" s="458" t="n"/>
      <c r="CV197" s="458" t="n"/>
      <c r="CW197" s="458" t="n"/>
      <c r="CX197" s="458" t="n"/>
      <c r="CY197" s="458" t="n"/>
      <c r="CZ197" s="458" t="n"/>
      <c r="DA197" s="458" t="n"/>
      <c r="DB197" s="458" t="n"/>
      <c r="DC197" s="458" t="n"/>
      <c r="DD197" s="458" t="n"/>
      <c r="DE197" s="458" t="n"/>
      <c r="DF197" s="458" t="n"/>
      <c r="DG197" s="458" t="n"/>
      <c r="DH197" s="458" t="n"/>
      <c r="DI197" s="458" t="n"/>
      <c r="DJ197" s="458" t="n"/>
      <c r="DK197" s="458" t="n"/>
      <c r="DL197" s="458" t="n"/>
      <c r="DM197" s="458" t="n"/>
      <c r="DN197" s="458" t="n"/>
      <c r="DO197" s="458" t="n"/>
      <c r="DP197" s="458" t="n"/>
      <c r="DQ197" s="458" t="n"/>
      <c r="DR197" s="458" t="n"/>
      <c r="DS197" s="458" t="n"/>
      <c r="DT197" s="458" t="n"/>
      <c r="DU197" s="458" t="n"/>
      <c r="DV197" s="458" t="n"/>
      <c r="DW197" s="322" t="inlineStr">
        <is>
          <t>x</t>
        </is>
      </c>
    </row>
    <row r="198" hidden="1" outlineLevel="1">
      <c r="C198" s="374" t="inlineStr">
        <is>
          <t>Beginning Balance</t>
        </is>
      </c>
      <c r="D198" s="360" t="n"/>
      <c r="E198" s="463" t="n"/>
      <c r="F198" s="679" t="n"/>
      <c r="G198" s="655">
        <f>F205</f>
        <v/>
      </c>
      <c r="H198" s="655">
        <f>G205</f>
        <v/>
      </c>
      <c r="I198" s="655">
        <f>H205</f>
        <v/>
      </c>
      <c r="J198" s="655">
        <f>I205</f>
        <v/>
      </c>
      <c r="K198" s="655">
        <f>J205</f>
        <v/>
      </c>
      <c r="L198" s="655">
        <f>K205</f>
        <v/>
      </c>
      <c r="M198" s="655">
        <f>L205</f>
        <v/>
      </c>
      <c r="N198" s="655">
        <f>M205</f>
        <v/>
      </c>
      <c r="O198" s="655">
        <f>N205</f>
        <v/>
      </c>
      <c r="P198" s="655">
        <f>O205</f>
        <v/>
      </c>
      <c r="Q198" s="655">
        <f>P205</f>
        <v/>
      </c>
      <c r="R198" s="655">
        <f>Q205</f>
        <v/>
      </c>
      <c r="S198" s="655">
        <f>R205</f>
        <v/>
      </c>
      <c r="T198" s="655">
        <f>S205</f>
        <v/>
      </c>
      <c r="U198" s="655">
        <f>T205</f>
        <v/>
      </c>
      <c r="V198" s="655">
        <f>U205</f>
        <v/>
      </c>
      <c r="W198" s="655">
        <f>V205</f>
        <v/>
      </c>
      <c r="X198" s="655">
        <f>W205</f>
        <v/>
      </c>
      <c r="Y198" s="655">
        <f>X205</f>
        <v/>
      </c>
      <c r="Z198" s="655">
        <f>Y205</f>
        <v/>
      </c>
      <c r="AA198" s="655">
        <f>Z205</f>
        <v/>
      </c>
      <c r="AB198" s="655">
        <f>AA205</f>
        <v/>
      </c>
      <c r="AC198" s="655">
        <f>AB205</f>
        <v/>
      </c>
      <c r="AD198" s="655">
        <f>AC205</f>
        <v/>
      </c>
      <c r="AE198" s="655">
        <f>AD205</f>
        <v/>
      </c>
      <c r="AF198" s="655">
        <f>AE205</f>
        <v/>
      </c>
      <c r="AG198" s="655">
        <f>AF205</f>
        <v/>
      </c>
      <c r="AH198" s="655">
        <f>AG205</f>
        <v/>
      </c>
      <c r="AI198" s="655">
        <f>AH205</f>
        <v/>
      </c>
      <c r="AJ198" s="655">
        <f>AI205</f>
        <v/>
      </c>
      <c r="AK198" s="655">
        <f>AJ205</f>
        <v/>
      </c>
      <c r="AL198" s="655">
        <f>AK205</f>
        <v/>
      </c>
      <c r="AM198" s="655">
        <f>AL205</f>
        <v/>
      </c>
      <c r="AN198" s="655">
        <f>AM205</f>
        <v/>
      </c>
      <c r="AO198" s="655">
        <f>AN205</f>
        <v/>
      </c>
      <c r="AP198" s="655">
        <f>AO205</f>
        <v/>
      </c>
      <c r="AQ198" s="655">
        <f>AP205</f>
        <v/>
      </c>
      <c r="AR198" s="655">
        <f>AQ205</f>
        <v/>
      </c>
      <c r="AS198" s="655">
        <f>AR205</f>
        <v/>
      </c>
      <c r="AT198" s="655">
        <f>AS205</f>
        <v/>
      </c>
      <c r="AU198" s="655">
        <f>AT205</f>
        <v/>
      </c>
      <c r="AV198" s="655">
        <f>AU205</f>
        <v/>
      </c>
      <c r="AW198" s="655">
        <f>AV205</f>
        <v/>
      </c>
      <c r="AX198" s="655">
        <f>AW205</f>
        <v/>
      </c>
      <c r="AY198" s="655">
        <f>AX205</f>
        <v/>
      </c>
      <c r="AZ198" s="655">
        <f>AY205</f>
        <v/>
      </c>
      <c r="BA198" s="655">
        <f>AZ205</f>
        <v/>
      </c>
      <c r="BB198" s="655">
        <f>BA205</f>
        <v/>
      </c>
      <c r="BC198" s="655">
        <f>BB205</f>
        <v/>
      </c>
      <c r="BD198" s="655">
        <f>BC205</f>
        <v/>
      </c>
      <c r="BE198" s="655">
        <f>BD205</f>
        <v/>
      </c>
      <c r="BF198" s="655">
        <f>BE205</f>
        <v/>
      </c>
      <c r="BG198" s="655">
        <f>BF205</f>
        <v/>
      </c>
      <c r="BH198" s="655">
        <f>BG205</f>
        <v/>
      </c>
      <c r="BI198" s="655">
        <f>BH205</f>
        <v/>
      </c>
      <c r="BJ198" s="655">
        <f>BI205</f>
        <v/>
      </c>
      <c r="BK198" s="655">
        <f>BJ205</f>
        <v/>
      </c>
      <c r="BL198" s="655">
        <f>BK205</f>
        <v/>
      </c>
      <c r="BM198" s="655">
        <f>BL205</f>
        <v/>
      </c>
      <c r="BN198" s="655">
        <f>BM205</f>
        <v/>
      </c>
      <c r="BO198" s="655">
        <f>BN205</f>
        <v/>
      </c>
      <c r="BP198" s="655">
        <f>BO205</f>
        <v/>
      </c>
      <c r="BQ198" s="655">
        <f>BP205</f>
        <v/>
      </c>
      <c r="BR198" s="655">
        <f>BQ205</f>
        <v/>
      </c>
      <c r="BS198" s="655">
        <f>BR205</f>
        <v/>
      </c>
      <c r="BT198" s="655">
        <f>BS205</f>
        <v/>
      </c>
      <c r="BU198" s="655">
        <f>BT205</f>
        <v/>
      </c>
      <c r="BV198" s="655">
        <f>BU205</f>
        <v/>
      </c>
      <c r="BW198" s="655">
        <f>BV205</f>
        <v/>
      </c>
      <c r="BX198" s="655">
        <f>BW205</f>
        <v/>
      </c>
      <c r="BY198" s="655">
        <f>BX205</f>
        <v/>
      </c>
      <c r="BZ198" s="655">
        <f>BY205</f>
        <v/>
      </c>
      <c r="CA198" s="655">
        <f>BZ205</f>
        <v/>
      </c>
      <c r="CB198" s="655">
        <f>CA205</f>
        <v/>
      </c>
      <c r="CC198" s="655">
        <f>CB205</f>
        <v/>
      </c>
      <c r="CD198" s="655">
        <f>CC205</f>
        <v/>
      </c>
      <c r="CE198" s="655">
        <f>CD205</f>
        <v/>
      </c>
      <c r="CF198" s="655">
        <f>CE205</f>
        <v/>
      </c>
      <c r="CG198" s="655">
        <f>CF205</f>
        <v/>
      </c>
      <c r="CH198" s="655">
        <f>CG205</f>
        <v/>
      </c>
      <c r="CI198" s="655">
        <f>CH205</f>
        <v/>
      </c>
      <c r="CJ198" s="655">
        <f>CI205</f>
        <v/>
      </c>
      <c r="CK198" s="655">
        <f>CJ205</f>
        <v/>
      </c>
      <c r="CL198" s="655">
        <f>CK205</f>
        <v/>
      </c>
      <c r="CM198" s="655">
        <f>CL205</f>
        <v/>
      </c>
      <c r="CN198" s="655">
        <f>CM205</f>
        <v/>
      </c>
      <c r="CO198" s="655">
        <f>CN205</f>
        <v/>
      </c>
      <c r="CP198" s="655">
        <f>CO205</f>
        <v/>
      </c>
      <c r="CQ198" s="655">
        <f>CP205</f>
        <v/>
      </c>
      <c r="CR198" s="655">
        <f>CQ205</f>
        <v/>
      </c>
      <c r="CS198" s="655">
        <f>CR205</f>
        <v/>
      </c>
      <c r="CT198" s="655">
        <f>CS205</f>
        <v/>
      </c>
      <c r="CU198" s="655">
        <f>CT205</f>
        <v/>
      </c>
      <c r="CV198" s="655">
        <f>CU205</f>
        <v/>
      </c>
      <c r="CW198" s="655">
        <f>CV205</f>
        <v/>
      </c>
      <c r="CX198" s="655">
        <f>CW205</f>
        <v/>
      </c>
      <c r="CY198" s="655">
        <f>CX205</f>
        <v/>
      </c>
      <c r="CZ198" s="655">
        <f>CY205</f>
        <v/>
      </c>
      <c r="DA198" s="655">
        <f>CZ205</f>
        <v/>
      </c>
      <c r="DB198" s="655">
        <f>DA205</f>
        <v/>
      </c>
      <c r="DC198" s="655">
        <f>DB205</f>
        <v/>
      </c>
      <c r="DD198" s="655">
        <f>DC205</f>
        <v/>
      </c>
      <c r="DE198" s="655">
        <f>DD205</f>
        <v/>
      </c>
      <c r="DF198" s="655">
        <f>DE205</f>
        <v/>
      </c>
      <c r="DG198" s="655">
        <f>DF205</f>
        <v/>
      </c>
      <c r="DH198" s="655">
        <f>DG205</f>
        <v/>
      </c>
      <c r="DI198" s="655">
        <f>DH205</f>
        <v/>
      </c>
      <c r="DJ198" s="655">
        <f>DI205</f>
        <v/>
      </c>
      <c r="DK198" s="655">
        <f>DJ205</f>
        <v/>
      </c>
      <c r="DL198" s="655">
        <f>DK205</f>
        <v/>
      </c>
      <c r="DM198" s="655">
        <f>DL205</f>
        <v/>
      </c>
      <c r="DN198" s="655">
        <f>DM205</f>
        <v/>
      </c>
      <c r="DO198" s="655">
        <f>DN205</f>
        <v/>
      </c>
      <c r="DP198" s="655">
        <f>DO205</f>
        <v/>
      </c>
      <c r="DQ198" s="655">
        <f>DP205</f>
        <v/>
      </c>
      <c r="DR198" s="655">
        <f>DQ205</f>
        <v/>
      </c>
      <c r="DS198" s="655">
        <f>DR205</f>
        <v/>
      </c>
      <c r="DT198" s="655">
        <f>DS205</f>
        <v/>
      </c>
      <c r="DU198" s="655">
        <f>DT205</f>
        <v/>
      </c>
      <c r="DV198" s="655">
        <f>DU205</f>
        <v/>
      </c>
      <c r="DW198" s="322" t="inlineStr">
        <is>
          <t>x</t>
        </is>
      </c>
    </row>
    <row r="199" hidden="1" outlineLevel="1">
      <c r="C199" s="374" t="inlineStr">
        <is>
          <t>Injections</t>
        </is>
      </c>
      <c r="D199" s="360" t="n"/>
      <c r="E199" s="463">
        <f>SUM(F199:BI199)</f>
        <v/>
      </c>
      <c r="F199" s="468">
        <f>-F78</f>
        <v/>
      </c>
      <c r="G199" s="468">
        <f>-G78</f>
        <v/>
      </c>
      <c r="H199" s="468">
        <f>-H78</f>
        <v/>
      </c>
      <c r="I199" s="468">
        <f>-I78</f>
        <v/>
      </c>
      <c r="J199" s="468">
        <f>-J78</f>
        <v/>
      </c>
      <c r="K199" s="468">
        <f>-K78</f>
        <v/>
      </c>
      <c r="L199" s="468">
        <f>-L78</f>
        <v/>
      </c>
      <c r="M199" s="468">
        <f>-M78</f>
        <v/>
      </c>
      <c r="N199" s="468">
        <f>-N78</f>
        <v/>
      </c>
      <c r="O199" s="468">
        <f>-O78</f>
        <v/>
      </c>
      <c r="P199" s="468">
        <f>-P78</f>
        <v/>
      </c>
      <c r="Q199" s="468">
        <f>-Q78</f>
        <v/>
      </c>
      <c r="R199" s="468">
        <f>-R78</f>
        <v/>
      </c>
      <c r="S199" s="468">
        <f>-S78</f>
        <v/>
      </c>
      <c r="T199" s="468">
        <f>-T78</f>
        <v/>
      </c>
      <c r="U199" s="468">
        <f>-U78</f>
        <v/>
      </c>
      <c r="V199" s="468">
        <f>-V78</f>
        <v/>
      </c>
      <c r="W199" s="468">
        <f>-W78</f>
        <v/>
      </c>
      <c r="X199" s="468">
        <f>-X78</f>
        <v/>
      </c>
      <c r="Y199" s="468">
        <f>-Y78</f>
        <v/>
      </c>
      <c r="Z199" s="468">
        <f>-Z78</f>
        <v/>
      </c>
      <c r="AA199" s="468">
        <f>-AA78</f>
        <v/>
      </c>
      <c r="AB199" s="468">
        <f>-AB78</f>
        <v/>
      </c>
      <c r="AC199" s="468">
        <f>-AC78</f>
        <v/>
      </c>
      <c r="AD199" s="468">
        <f>-AD78</f>
        <v/>
      </c>
      <c r="AE199" s="468">
        <f>-AE78</f>
        <v/>
      </c>
      <c r="AF199" s="468">
        <f>-AF78</f>
        <v/>
      </c>
      <c r="AG199" s="468">
        <f>-AG78</f>
        <v/>
      </c>
      <c r="AH199" s="468">
        <f>-AH78</f>
        <v/>
      </c>
      <c r="AI199" s="468">
        <f>-AI78</f>
        <v/>
      </c>
      <c r="AJ199" s="468">
        <f>-AJ78</f>
        <v/>
      </c>
      <c r="AK199" s="468">
        <f>-AK78</f>
        <v/>
      </c>
      <c r="AL199" s="468">
        <f>-AL78</f>
        <v/>
      </c>
      <c r="AM199" s="468">
        <f>-AM78</f>
        <v/>
      </c>
      <c r="AN199" s="468">
        <f>-AN78</f>
        <v/>
      </c>
      <c r="AO199" s="468">
        <f>-AO78</f>
        <v/>
      </c>
      <c r="AP199" s="468">
        <f>-AP78</f>
        <v/>
      </c>
      <c r="AQ199" s="468">
        <f>-AQ78</f>
        <v/>
      </c>
      <c r="AR199" s="468">
        <f>-AR78</f>
        <v/>
      </c>
      <c r="AS199" s="468">
        <f>-AS78</f>
        <v/>
      </c>
      <c r="AT199" s="468">
        <f>-AT78</f>
        <v/>
      </c>
      <c r="AU199" s="468">
        <f>-AU78</f>
        <v/>
      </c>
      <c r="AV199" s="468">
        <f>-AV78</f>
        <v/>
      </c>
      <c r="AW199" s="468">
        <f>-AW78</f>
        <v/>
      </c>
      <c r="AX199" s="468">
        <f>-AX78</f>
        <v/>
      </c>
      <c r="AY199" s="468">
        <f>-AY78</f>
        <v/>
      </c>
      <c r="AZ199" s="468">
        <f>-AZ78</f>
        <v/>
      </c>
      <c r="BA199" s="468">
        <f>-BA78</f>
        <v/>
      </c>
      <c r="BB199" s="468">
        <f>-BB78</f>
        <v/>
      </c>
      <c r="BC199" s="468">
        <f>-BC78</f>
        <v/>
      </c>
      <c r="BD199" s="468">
        <f>-BD78</f>
        <v/>
      </c>
      <c r="BE199" s="468">
        <f>-BE78</f>
        <v/>
      </c>
      <c r="BF199" s="468">
        <f>-BF78</f>
        <v/>
      </c>
      <c r="BG199" s="468">
        <f>-BG78</f>
        <v/>
      </c>
      <c r="BH199" s="468">
        <f>-BH78</f>
        <v/>
      </c>
      <c r="BI199" s="468">
        <f>-BI78</f>
        <v/>
      </c>
      <c r="BJ199" s="468">
        <f>-BJ78</f>
        <v/>
      </c>
      <c r="BK199" s="468">
        <f>-BK78</f>
        <v/>
      </c>
      <c r="BL199" s="468">
        <f>-BL78</f>
        <v/>
      </c>
      <c r="BM199" s="468">
        <f>-BM78</f>
        <v/>
      </c>
      <c r="BN199" s="468">
        <f>-BN78</f>
        <v/>
      </c>
      <c r="BO199" s="468">
        <f>-BO78</f>
        <v/>
      </c>
      <c r="BP199" s="468">
        <f>-BP78</f>
        <v/>
      </c>
      <c r="BQ199" s="468">
        <f>-BQ78</f>
        <v/>
      </c>
      <c r="BR199" s="468">
        <f>-BR78</f>
        <v/>
      </c>
      <c r="BS199" s="468">
        <f>-BS78</f>
        <v/>
      </c>
      <c r="BT199" s="468">
        <f>-BT78</f>
        <v/>
      </c>
      <c r="BU199" s="468">
        <f>-BU78</f>
        <v/>
      </c>
      <c r="BV199" s="468">
        <f>-BV78</f>
        <v/>
      </c>
      <c r="BW199" s="468">
        <f>-BW78</f>
        <v/>
      </c>
      <c r="BX199" s="468">
        <f>-BX78</f>
        <v/>
      </c>
      <c r="BY199" s="468">
        <f>-BY78</f>
        <v/>
      </c>
      <c r="BZ199" s="468">
        <f>-BZ78</f>
        <v/>
      </c>
      <c r="CA199" s="468">
        <f>-CA78</f>
        <v/>
      </c>
      <c r="CB199" s="468">
        <f>-CB78</f>
        <v/>
      </c>
      <c r="CC199" s="468">
        <f>-CC78</f>
        <v/>
      </c>
      <c r="CD199" s="468">
        <f>-CD78</f>
        <v/>
      </c>
      <c r="CE199" s="468">
        <f>-CE78</f>
        <v/>
      </c>
      <c r="CF199" s="468">
        <f>-CF78</f>
        <v/>
      </c>
      <c r="CG199" s="468">
        <f>-CG78</f>
        <v/>
      </c>
      <c r="CH199" s="468">
        <f>-CH78</f>
        <v/>
      </c>
      <c r="CI199" s="468">
        <f>-CI78</f>
        <v/>
      </c>
      <c r="CJ199" s="468">
        <f>-CJ78</f>
        <v/>
      </c>
      <c r="CK199" s="468">
        <f>-CK78</f>
        <v/>
      </c>
      <c r="CL199" s="468">
        <f>-CL78</f>
        <v/>
      </c>
      <c r="CM199" s="468">
        <f>-CM78</f>
        <v/>
      </c>
      <c r="CN199" s="468">
        <f>-CN78</f>
        <v/>
      </c>
      <c r="CO199" s="468">
        <f>-CO78</f>
        <v/>
      </c>
      <c r="CP199" s="468">
        <f>-CP78</f>
        <v/>
      </c>
      <c r="CQ199" s="468">
        <f>-CQ78</f>
        <v/>
      </c>
      <c r="CR199" s="468">
        <f>-CR78</f>
        <v/>
      </c>
      <c r="CS199" s="468">
        <f>-CS78</f>
        <v/>
      </c>
      <c r="CT199" s="468">
        <f>-CT78</f>
        <v/>
      </c>
      <c r="CU199" s="468">
        <f>-CU78</f>
        <v/>
      </c>
      <c r="CV199" s="468">
        <f>-CV78</f>
        <v/>
      </c>
      <c r="CW199" s="468">
        <f>-CW78</f>
        <v/>
      </c>
      <c r="CX199" s="468">
        <f>-CX78</f>
        <v/>
      </c>
      <c r="CY199" s="468">
        <f>-CY78</f>
        <v/>
      </c>
      <c r="CZ199" s="468">
        <f>-CZ78</f>
        <v/>
      </c>
      <c r="DA199" s="468">
        <f>-DA78</f>
        <v/>
      </c>
      <c r="DB199" s="468">
        <f>-DB78</f>
        <v/>
      </c>
      <c r="DC199" s="468">
        <f>-DC78</f>
        <v/>
      </c>
      <c r="DD199" s="468">
        <f>-DD78</f>
        <v/>
      </c>
      <c r="DE199" s="468">
        <f>-DE78</f>
        <v/>
      </c>
      <c r="DF199" s="468">
        <f>-DF78</f>
        <v/>
      </c>
      <c r="DG199" s="468">
        <f>-DG78</f>
        <v/>
      </c>
      <c r="DH199" s="468">
        <f>-DH78</f>
        <v/>
      </c>
      <c r="DI199" s="468">
        <f>-DI78</f>
        <v/>
      </c>
      <c r="DJ199" s="468">
        <f>-DJ78</f>
        <v/>
      </c>
      <c r="DK199" s="468">
        <f>-DK78</f>
        <v/>
      </c>
      <c r="DL199" s="468">
        <f>-DL78</f>
        <v/>
      </c>
      <c r="DM199" s="468">
        <f>-DM78</f>
        <v/>
      </c>
      <c r="DN199" s="468">
        <f>-DN78</f>
        <v/>
      </c>
      <c r="DO199" s="468">
        <f>-DO78</f>
        <v/>
      </c>
      <c r="DP199" s="468">
        <f>-DP78</f>
        <v/>
      </c>
      <c r="DQ199" s="468">
        <f>-DQ78</f>
        <v/>
      </c>
      <c r="DR199" s="468">
        <f>-DR78</f>
        <v/>
      </c>
      <c r="DS199" s="468">
        <f>-DS78</f>
        <v/>
      </c>
      <c r="DT199" s="468">
        <f>-DT78</f>
        <v/>
      </c>
      <c r="DU199" s="468">
        <f>-DU78</f>
        <v/>
      </c>
      <c r="DV199" s="468">
        <f>-DV78</f>
        <v/>
      </c>
      <c r="DW199" s="322" t="inlineStr">
        <is>
          <t>x</t>
        </is>
      </c>
    </row>
    <row r="200" hidden="1" outlineLevel="1">
      <c r="C200" s="374" t="inlineStr">
        <is>
          <t>Investor Accruals</t>
        </is>
      </c>
      <c r="D200" s="360" t="n"/>
      <c r="E200" s="463">
        <f>SUM(F200:BI200)</f>
        <v/>
      </c>
      <c r="F200" s="468" t="n">
        <v>0</v>
      </c>
      <c r="G200" s="468">
        <f>G198*(((1+$D$41)^(1/$K$38)-1)*G85)</f>
        <v/>
      </c>
      <c r="H200" s="468">
        <f>H198*(((1+$D$41)^(1/$K$38)-1)*H85)</f>
        <v/>
      </c>
      <c r="I200" s="468">
        <f>I198*(((1+$D$41)^(1/$K$38)-1)*I85)</f>
        <v/>
      </c>
      <c r="J200" s="468">
        <f>J198*(((1+$D$41)^(1/$K$38)-1)*J85)</f>
        <v/>
      </c>
      <c r="K200" s="468">
        <f>K198*(((1+$D$41)^(1/$K$38)-1)*K85)</f>
        <v/>
      </c>
      <c r="L200" s="468">
        <f>L198*(((1+$D$41)^(1/$K$38)-1)*L85)</f>
        <v/>
      </c>
      <c r="M200" s="468">
        <f>M198*(((1+$D$41)^(1/$K$38)-1)*M85)</f>
        <v/>
      </c>
      <c r="N200" s="468">
        <f>N198*(((1+$D$41)^(1/$K$38)-1)*N85)</f>
        <v/>
      </c>
      <c r="O200" s="468">
        <f>O198*(((1+$D$41)^(1/$K$38)-1)*O85)</f>
        <v/>
      </c>
      <c r="P200" s="468">
        <f>P198*(((1+$D$41)^(1/$K$38)-1)*P85)</f>
        <v/>
      </c>
      <c r="Q200" s="468">
        <f>Q198*(((1+$D$41)^(1/$K$38)-1)*Q85)</f>
        <v/>
      </c>
      <c r="R200" s="468">
        <f>R198*(((1+$D$41)^(1/$K$38)-1)*R85)</f>
        <v/>
      </c>
      <c r="S200" s="468">
        <f>S198*(((1+$D$41)^(1/$K$38)-1)*S85)</f>
        <v/>
      </c>
      <c r="T200" s="468">
        <f>T198*(((1+$D$41)^(1/$K$38)-1)*T85)</f>
        <v/>
      </c>
      <c r="U200" s="468">
        <f>U198*(((1+$D$41)^(1/$K$38)-1)*U85)</f>
        <v/>
      </c>
      <c r="V200" s="468">
        <f>V198*(((1+$D$41)^(1/$K$38)-1)*V85)</f>
        <v/>
      </c>
      <c r="W200" s="468">
        <f>W198*(((1+$D$41)^(1/$K$38)-1)*W85)</f>
        <v/>
      </c>
      <c r="X200" s="468">
        <f>X198*(((1+$D$41)^(1/$K$38)-1)*X85)</f>
        <v/>
      </c>
      <c r="Y200" s="468">
        <f>Y198*(((1+$D$41)^(1/$K$38)-1)*Y85)</f>
        <v/>
      </c>
      <c r="Z200" s="468">
        <f>Z198*(((1+$D$41)^(1/$K$38)-1)*Z85)</f>
        <v/>
      </c>
      <c r="AA200" s="468">
        <f>AA198*(((1+$D$41)^(1/$K$38)-1)*AA85)</f>
        <v/>
      </c>
      <c r="AB200" s="468">
        <f>AB198*(((1+$D$41)^(1/$K$38)-1)*AB85)</f>
        <v/>
      </c>
      <c r="AC200" s="468">
        <f>AC198*(((1+$D$41)^(1/$K$38)-1)*AC85)</f>
        <v/>
      </c>
      <c r="AD200" s="468">
        <f>AD198*(((1+$D$41)^(1/$K$38)-1)*AD85)</f>
        <v/>
      </c>
      <c r="AE200" s="468">
        <f>AE198*(((1+$D$41)^(1/$K$38)-1)*AE85)</f>
        <v/>
      </c>
      <c r="AF200" s="468">
        <f>AF198*(((1+$D$41)^(1/$K$38)-1)*AF85)</f>
        <v/>
      </c>
      <c r="AG200" s="468">
        <f>AG198*(((1+$D$41)^(1/$K$38)-1)*AG85)</f>
        <v/>
      </c>
      <c r="AH200" s="468">
        <f>AH198*(((1+$D$41)^(1/$K$38)-1)*AH85)</f>
        <v/>
      </c>
      <c r="AI200" s="468">
        <f>AI198*(((1+$D$41)^(1/$K$38)-1)*AI85)</f>
        <v/>
      </c>
      <c r="AJ200" s="468">
        <f>AJ198*(((1+$D$41)^(1/$K$38)-1)*AJ85)</f>
        <v/>
      </c>
      <c r="AK200" s="468">
        <f>AK198*(((1+$D$41)^(1/$K$38)-1)*AK85)</f>
        <v/>
      </c>
      <c r="AL200" s="468">
        <f>AL198*(((1+$D$41)^(1/$K$38)-1)*AL85)</f>
        <v/>
      </c>
      <c r="AM200" s="468">
        <f>AM198*(((1+$D$41)^(1/$K$38)-1)*AM85)</f>
        <v/>
      </c>
      <c r="AN200" s="468">
        <f>AN198*(((1+$D$41)^(1/$K$38)-1)*AN85)</f>
        <v/>
      </c>
      <c r="AO200" s="468">
        <f>AO198*(((1+$D$41)^(1/$K$38)-1)*AO85)</f>
        <v/>
      </c>
      <c r="AP200" s="468">
        <f>AP198*(((1+$D$41)^(1/$K$38)-1)*AP85)</f>
        <v/>
      </c>
      <c r="AQ200" s="468">
        <f>AQ198*(((1+$D$41)^(1/$K$38)-1)*AQ85)</f>
        <v/>
      </c>
      <c r="AR200" s="468">
        <f>AR198*(((1+$D$41)^(1/$K$38)-1)*AR85)</f>
        <v/>
      </c>
      <c r="AS200" s="468">
        <f>AS198*(((1+$D$41)^(1/$K$38)-1)*AS85)</f>
        <v/>
      </c>
      <c r="AT200" s="468">
        <f>AT198*(((1+$D$41)^(1/$K$38)-1)*AT85)</f>
        <v/>
      </c>
      <c r="AU200" s="468">
        <f>AU198*(((1+$D$41)^(1/$K$38)-1)*AU85)</f>
        <v/>
      </c>
      <c r="AV200" s="468">
        <f>AV198*(((1+$D$41)^(1/$K$38)-1)*AV85)</f>
        <v/>
      </c>
      <c r="AW200" s="468">
        <f>AW198*(((1+$D$41)^(1/$K$38)-1)*AW85)</f>
        <v/>
      </c>
      <c r="AX200" s="468">
        <f>AX198*(((1+$D$41)^(1/$K$38)-1)*AX85)</f>
        <v/>
      </c>
      <c r="AY200" s="468">
        <f>AY198*(((1+$D$41)^(1/$K$38)-1)*AY85)</f>
        <v/>
      </c>
      <c r="AZ200" s="468">
        <f>AZ198*(((1+$D$41)^(1/$K$38)-1)*AZ85)</f>
        <v/>
      </c>
      <c r="BA200" s="468">
        <f>BA198*(((1+$D$41)^(1/$K$38)-1)*BA85)</f>
        <v/>
      </c>
      <c r="BB200" s="468">
        <f>BB198*(((1+$D$41)^(1/$K$38)-1)*BB85)</f>
        <v/>
      </c>
      <c r="BC200" s="468">
        <f>BC198*(((1+$D$41)^(1/$K$38)-1)*BC85)</f>
        <v/>
      </c>
      <c r="BD200" s="468">
        <f>BD198*(((1+$D$41)^(1/$K$38)-1)*BD85)</f>
        <v/>
      </c>
      <c r="BE200" s="468">
        <f>BE198*(((1+$D$41)^(1/$K$38)-1)*BE85)</f>
        <v/>
      </c>
      <c r="BF200" s="468">
        <f>BF198*(((1+$D$41)^(1/$K$38)-1)*BF85)</f>
        <v/>
      </c>
      <c r="BG200" s="468">
        <f>BG198*(((1+$D$41)^(1/$K$38)-1)*BG85)</f>
        <v/>
      </c>
      <c r="BH200" s="468">
        <f>BH198*(((1+$D$41)^(1/$K$38)-1)*BH85)</f>
        <v/>
      </c>
      <c r="BI200" s="468">
        <f>BI198*(((1+$D$41)^(1/$K$38)-1)*BI85)</f>
        <v/>
      </c>
      <c r="BJ200" s="468">
        <f>BJ198*(((1+$D$41)^(1/$K$38)-1)*BJ85)</f>
        <v/>
      </c>
      <c r="BK200" s="468">
        <f>BK198*(((1+$D$41)^(1/$K$38)-1)*BK85)</f>
        <v/>
      </c>
      <c r="BL200" s="468">
        <f>BL198*(((1+$D$41)^(1/$K$38)-1)*BL85)</f>
        <v/>
      </c>
      <c r="BM200" s="468">
        <f>BM198*(((1+$D$41)^(1/$K$38)-1)*BM85)</f>
        <v/>
      </c>
      <c r="BN200" s="468">
        <f>BN198*(((1+$D$41)^(1/$K$38)-1)*BN85)</f>
        <v/>
      </c>
      <c r="BO200" s="468">
        <f>BO198*(((1+$D$41)^(1/$K$38)-1)*BO85)</f>
        <v/>
      </c>
      <c r="BP200" s="468">
        <f>BP198*(((1+$D$41)^(1/$K$38)-1)*BP85)</f>
        <v/>
      </c>
      <c r="BQ200" s="468">
        <f>BQ198*(((1+$D$41)^(1/$K$38)-1)*BQ85)</f>
        <v/>
      </c>
      <c r="BR200" s="468">
        <f>BR198*(((1+$D$41)^(1/$K$38)-1)*BR85)</f>
        <v/>
      </c>
      <c r="BS200" s="468">
        <f>BS198*(((1+$D$41)^(1/$K$38)-1)*BS85)</f>
        <v/>
      </c>
      <c r="BT200" s="468">
        <f>BT198*(((1+$D$41)^(1/$K$38)-1)*BT85)</f>
        <v/>
      </c>
      <c r="BU200" s="468">
        <f>BU198*(((1+$D$41)^(1/$K$38)-1)*BU85)</f>
        <v/>
      </c>
      <c r="BV200" s="468">
        <f>BV198*(((1+$D$41)^(1/$K$38)-1)*BV85)</f>
        <v/>
      </c>
      <c r="BW200" s="468">
        <f>BW198*(((1+$D$41)^(1/$K$38)-1)*BW85)</f>
        <v/>
      </c>
      <c r="BX200" s="468">
        <f>BX198*(((1+$D$41)^(1/$K$38)-1)*BX85)</f>
        <v/>
      </c>
      <c r="BY200" s="468">
        <f>BY198*(((1+$D$41)^(1/$K$38)-1)*BY85)</f>
        <v/>
      </c>
      <c r="BZ200" s="468">
        <f>BZ198*(((1+$D$41)^(1/$K$38)-1)*BZ85)</f>
        <v/>
      </c>
      <c r="CA200" s="468">
        <f>CA198*(((1+$D$41)^(1/$K$38)-1)*CA85)</f>
        <v/>
      </c>
      <c r="CB200" s="468">
        <f>CB198*(((1+$D$41)^(1/$K$38)-1)*CB85)</f>
        <v/>
      </c>
      <c r="CC200" s="468">
        <f>CC198*(((1+$D$41)^(1/$K$38)-1)*CC85)</f>
        <v/>
      </c>
      <c r="CD200" s="468">
        <f>CD198*(((1+$D$41)^(1/$K$38)-1)*CD85)</f>
        <v/>
      </c>
      <c r="CE200" s="468">
        <f>CE198*(((1+$D$41)^(1/$K$38)-1)*CE85)</f>
        <v/>
      </c>
      <c r="CF200" s="468">
        <f>CF198*(((1+$D$41)^(1/$K$38)-1)*CF85)</f>
        <v/>
      </c>
      <c r="CG200" s="468">
        <f>CG198*(((1+$D$41)^(1/$K$38)-1)*CG85)</f>
        <v/>
      </c>
      <c r="CH200" s="468">
        <f>CH198*(((1+$D$41)^(1/$K$38)-1)*CH85)</f>
        <v/>
      </c>
      <c r="CI200" s="468">
        <f>CI198*(((1+$D$41)^(1/$K$38)-1)*CI85)</f>
        <v/>
      </c>
      <c r="CJ200" s="468">
        <f>CJ198*(((1+$D$41)^(1/$K$38)-1)*CJ85)</f>
        <v/>
      </c>
      <c r="CK200" s="468">
        <f>CK198*(((1+$D$41)^(1/$K$38)-1)*CK85)</f>
        <v/>
      </c>
      <c r="CL200" s="468">
        <f>CL198*(((1+$D$41)^(1/$K$38)-1)*CL85)</f>
        <v/>
      </c>
      <c r="CM200" s="468">
        <f>CM198*(((1+$D$41)^(1/$K$38)-1)*CM85)</f>
        <v/>
      </c>
      <c r="CN200" s="468">
        <f>CN198*(((1+$D$41)^(1/$K$38)-1)*CN85)</f>
        <v/>
      </c>
      <c r="CO200" s="468">
        <f>CO198*(((1+$D$41)^(1/$K$38)-1)*CO85)</f>
        <v/>
      </c>
      <c r="CP200" s="468">
        <f>CP198*(((1+$D$41)^(1/$K$38)-1)*CP85)</f>
        <v/>
      </c>
      <c r="CQ200" s="468">
        <f>CQ198*(((1+$D$41)^(1/$K$38)-1)*CQ85)</f>
        <v/>
      </c>
      <c r="CR200" s="468">
        <f>CR198*(((1+$D$41)^(1/$K$38)-1)*CR85)</f>
        <v/>
      </c>
      <c r="CS200" s="468">
        <f>CS198*(((1+$D$41)^(1/$K$38)-1)*CS85)</f>
        <v/>
      </c>
      <c r="CT200" s="468">
        <f>CT198*(((1+$D$41)^(1/$K$38)-1)*CT85)</f>
        <v/>
      </c>
      <c r="CU200" s="468">
        <f>CU198*(((1+$D$41)^(1/$K$38)-1)*CU85)</f>
        <v/>
      </c>
      <c r="CV200" s="468">
        <f>CV198*(((1+$D$41)^(1/$K$38)-1)*CV85)</f>
        <v/>
      </c>
      <c r="CW200" s="468">
        <f>CW198*(((1+$D$41)^(1/$K$38)-1)*CW85)</f>
        <v/>
      </c>
      <c r="CX200" s="468">
        <f>CX198*(((1+$D$41)^(1/$K$38)-1)*CX85)</f>
        <v/>
      </c>
      <c r="CY200" s="468">
        <f>CY198*(((1+$D$41)^(1/$K$38)-1)*CY85)</f>
        <v/>
      </c>
      <c r="CZ200" s="468">
        <f>CZ198*(((1+$D$41)^(1/$K$38)-1)*CZ85)</f>
        <v/>
      </c>
      <c r="DA200" s="468">
        <f>DA198*(((1+$D$41)^(1/$K$38)-1)*DA85)</f>
        <v/>
      </c>
      <c r="DB200" s="468">
        <f>DB198*(((1+$D$41)^(1/$K$38)-1)*DB85)</f>
        <v/>
      </c>
      <c r="DC200" s="468">
        <f>DC198*(((1+$D$41)^(1/$K$38)-1)*DC85)</f>
        <v/>
      </c>
      <c r="DD200" s="468">
        <f>DD198*(((1+$D$41)^(1/$K$38)-1)*DD85)</f>
        <v/>
      </c>
      <c r="DE200" s="468">
        <f>DE198*(((1+$D$41)^(1/$K$38)-1)*DE85)</f>
        <v/>
      </c>
      <c r="DF200" s="468">
        <f>DF198*(((1+$D$41)^(1/$K$38)-1)*DF85)</f>
        <v/>
      </c>
      <c r="DG200" s="468">
        <f>DG198*(((1+$D$41)^(1/$K$38)-1)*DG85)</f>
        <v/>
      </c>
      <c r="DH200" s="468">
        <f>DH198*(((1+$D$41)^(1/$K$38)-1)*DH85)</f>
        <v/>
      </c>
      <c r="DI200" s="468">
        <f>DI198*(((1+$D$41)^(1/$K$38)-1)*DI85)</f>
        <v/>
      </c>
      <c r="DJ200" s="468">
        <f>DJ198*(((1+$D$41)^(1/$K$38)-1)*DJ85)</f>
        <v/>
      </c>
      <c r="DK200" s="468">
        <f>DK198*(((1+$D$41)^(1/$K$38)-1)*DK85)</f>
        <v/>
      </c>
      <c r="DL200" s="468">
        <f>DL198*(((1+$D$41)^(1/$K$38)-1)*DL85)</f>
        <v/>
      </c>
      <c r="DM200" s="468">
        <f>DM198*(((1+$D$41)^(1/$K$38)-1)*DM85)</f>
        <v/>
      </c>
      <c r="DN200" s="468">
        <f>DN198*(((1+$D$41)^(1/$K$38)-1)*DN85)</f>
        <v/>
      </c>
      <c r="DO200" s="468">
        <f>DO198*(((1+$D$41)^(1/$K$38)-1)*DO85)</f>
        <v/>
      </c>
      <c r="DP200" s="468">
        <f>DP198*(((1+$D$41)^(1/$K$38)-1)*DP85)</f>
        <v/>
      </c>
      <c r="DQ200" s="468">
        <f>DQ198*(((1+$D$41)^(1/$K$38)-1)*DQ85)</f>
        <v/>
      </c>
      <c r="DR200" s="468">
        <f>DR198*(((1+$D$41)^(1/$K$38)-1)*DR85)</f>
        <v/>
      </c>
      <c r="DS200" s="468">
        <f>DS198*(((1+$D$41)^(1/$K$38)-1)*DS85)</f>
        <v/>
      </c>
      <c r="DT200" s="468">
        <f>DT198*(((1+$D$41)^(1/$K$38)-1)*DT85)</f>
        <v/>
      </c>
      <c r="DU200" s="468">
        <f>DU198*(((1+$D$41)^(1/$K$38)-1)*DU85)</f>
        <v/>
      </c>
      <c r="DV200" s="468">
        <f>DV198*(((1+$D$41)^(1/$K$38)-1)*DV85)</f>
        <v/>
      </c>
      <c r="DW200" s="322" t="inlineStr">
        <is>
          <t>x</t>
        </is>
      </c>
    </row>
    <row r="201" hidden="1" outlineLevel="1">
      <c r="C201" s="682">
        <f>C170</f>
        <v/>
      </c>
      <c r="D201" s="360" t="n"/>
      <c r="E201" s="463">
        <f>SUM(F201:BI201)</f>
        <v/>
      </c>
      <c r="F201" s="468" t="n">
        <v>0</v>
      </c>
      <c r="G201" s="468">
        <f>G170</f>
        <v/>
      </c>
      <c r="H201" s="468">
        <f>H170</f>
        <v/>
      </c>
      <c r="I201" s="468">
        <f>I170</f>
        <v/>
      </c>
      <c r="J201" s="468">
        <f>J170</f>
        <v/>
      </c>
      <c r="K201" s="468">
        <f>K170</f>
        <v/>
      </c>
      <c r="L201" s="468">
        <f>L170</f>
        <v/>
      </c>
      <c r="M201" s="468">
        <f>M170</f>
        <v/>
      </c>
      <c r="N201" s="468">
        <f>N170</f>
        <v/>
      </c>
      <c r="O201" s="468">
        <f>O170</f>
        <v/>
      </c>
      <c r="P201" s="468">
        <f>P170</f>
        <v/>
      </c>
      <c r="Q201" s="468">
        <f>Q170</f>
        <v/>
      </c>
      <c r="R201" s="468">
        <f>R170</f>
        <v/>
      </c>
      <c r="S201" s="468">
        <f>S170</f>
        <v/>
      </c>
      <c r="T201" s="468">
        <f>T170</f>
        <v/>
      </c>
      <c r="U201" s="468">
        <f>U170</f>
        <v/>
      </c>
      <c r="V201" s="468">
        <f>V170</f>
        <v/>
      </c>
      <c r="W201" s="468">
        <f>W170</f>
        <v/>
      </c>
      <c r="X201" s="468">
        <f>X170</f>
        <v/>
      </c>
      <c r="Y201" s="468">
        <f>Y170</f>
        <v/>
      </c>
      <c r="Z201" s="468">
        <f>Z170</f>
        <v/>
      </c>
      <c r="AA201" s="468">
        <f>AA170</f>
        <v/>
      </c>
      <c r="AB201" s="468">
        <f>AB170</f>
        <v/>
      </c>
      <c r="AC201" s="468">
        <f>AC170</f>
        <v/>
      </c>
      <c r="AD201" s="468">
        <f>AD170</f>
        <v/>
      </c>
      <c r="AE201" s="468">
        <f>AE170</f>
        <v/>
      </c>
      <c r="AF201" s="468">
        <f>AF170</f>
        <v/>
      </c>
      <c r="AG201" s="468">
        <f>AG170</f>
        <v/>
      </c>
      <c r="AH201" s="468">
        <f>AH170</f>
        <v/>
      </c>
      <c r="AI201" s="468">
        <f>AI170</f>
        <v/>
      </c>
      <c r="AJ201" s="468">
        <f>AJ170</f>
        <v/>
      </c>
      <c r="AK201" s="468">
        <f>AK170</f>
        <v/>
      </c>
      <c r="AL201" s="468">
        <f>AL170</f>
        <v/>
      </c>
      <c r="AM201" s="468">
        <f>AM170</f>
        <v/>
      </c>
      <c r="AN201" s="468">
        <f>AN170</f>
        <v/>
      </c>
      <c r="AO201" s="468">
        <f>AO170</f>
        <v/>
      </c>
      <c r="AP201" s="468">
        <f>AP170</f>
        <v/>
      </c>
      <c r="AQ201" s="468">
        <f>AQ170</f>
        <v/>
      </c>
      <c r="AR201" s="468">
        <f>AR170</f>
        <v/>
      </c>
      <c r="AS201" s="468">
        <f>AS170</f>
        <v/>
      </c>
      <c r="AT201" s="468">
        <f>AT170</f>
        <v/>
      </c>
      <c r="AU201" s="468">
        <f>AU170</f>
        <v/>
      </c>
      <c r="AV201" s="468">
        <f>AV170</f>
        <v/>
      </c>
      <c r="AW201" s="468">
        <f>AW170</f>
        <v/>
      </c>
      <c r="AX201" s="468">
        <f>AX170</f>
        <v/>
      </c>
      <c r="AY201" s="468">
        <f>AY170</f>
        <v/>
      </c>
      <c r="AZ201" s="468">
        <f>AZ170</f>
        <v/>
      </c>
      <c r="BA201" s="468">
        <f>BA170</f>
        <v/>
      </c>
      <c r="BB201" s="468">
        <f>BB170</f>
        <v/>
      </c>
      <c r="BC201" s="468">
        <f>BC170</f>
        <v/>
      </c>
      <c r="BD201" s="468">
        <f>BD170</f>
        <v/>
      </c>
      <c r="BE201" s="468">
        <f>BE170</f>
        <v/>
      </c>
      <c r="BF201" s="468">
        <f>BF170</f>
        <v/>
      </c>
      <c r="BG201" s="468">
        <f>BG170</f>
        <v/>
      </c>
      <c r="BH201" s="468">
        <f>BH170</f>
        <v/>
      </c>
      <c r="BI201" s="468">
        <f>BI170</f>
        <v/>
      </c>
      <c r="BJ201" s="468">
        <f>BJ170</f>
        <v/>
      </c>
      <c r="BK201" s="468">
        <f>BK170</f>
        <v/>
      </c>
      <c r="BL201" s="468">
        <f>BL170</f>
        <v/>
      </c>
      <c r="BM201" s="468">
        <f>BM170</f>
        <v/>
      </c>
      <c r="BN201" s="468">
        <f>BN170</f>
        <v/>
      </c>
      <c r="BO201" s="468">
        <f>BO170</f>
        <v/>
      </c>
      <c r="BP201" s="468">
        <f>BP170</f>
        <v/>
      </c>
      <c r="BQ201" s="468">
        <f>BQ170</f>
        <v/>
      </c>
      <c r="BR201" s="468">
        <f>BR170</f>
        <v/>
      </c>
      <c r="BS201" s="468">
        <f>BS170</f>
        <v/>
      </c>
      <c r="BT201" s="468">
        <f>BT170</f>
        <v/>
      </c>
      <c r="BU201" s="468">
        <f>BU170</f>
        <v/>
      </c>
      <c r="BV201" s="468">
        <f>BV170</f>
        <v/>
      </c>
      <c r="BW201" s="468">
        <f>BW170</f>
        <v/>
      </c>
      <c r="BX201" s="468">
        <f>BX170</f>
        <v/>
      </c>
      <c r="BY201" s="468">
        <f>BY170</f>
        <v/>
      </c>
      <c r="BZ201" s="468">
        <f>BZ170</f>
        <v/>
      </c>
      <c r="CA201" s="468">
        <f>CA170</f>
        <v/>
      </c>
      <c r="CB201" s="468">
        <f>CB170</f>
        <v/>
      </c>
      <c r="CC201" s="468">
        <f>CC170</f>
        <v/>
      </c>
      <c r="CD201" s="468">
        <f>CD170</f>
        <v/>
      </c>
      <c r="CE201" s="468">
        <f>CE170</f>
        <v/>
      </c>
      <c r="CF201" s="468">
        <f>CF170</f>
        <v/>
      </c>
      <c r="CG201" s="468">
        <f>CG170</f>
        <v/>
      </c>
      <c r="CH201" s="468">
        <f>CH170</f>
        <v/>
      </c>
      <c r="CI201" s="468">
        <f>CI170</f>
        <v/>
      </c>
      <c r="CJ201" s="468">
        <f>CJ170</f>
        <v/>
      </c>
      <c r="CK201" s="468">
        <f>CK170</f>
        <v/>
      </c>
      <c r="CL201" s="468">
        <f>CL170</f>
        <v/>
      </c>
      <c r="CM201" s="468">
        <f>CM170</f>
        <v/>
      </c>
      <c r="CN201" s="468">
        <f>CN170</f>
        <v/>
      </c>
      <c r="CO201" s="468">
        <f>CO170</f>
        <v/>
      </c>
      <c r="CP201" s="468">
        <f>CP170</f>
        <v/>
      </c>
      <c r="CQ201" s="468">
        <f>CQ170</f>
        <v/>
      </c>
      <c r="CR201" s="468">
        <f>CR170</f>
        <v/>
      </c>
      <c r="CS201" s="468">
        <f>CS170</f>
        <v/>
      </c>
      <c r="CT201" s="468">
        <f>CT170</f>
        <v/>
      </c>
      <c r="CU201" s="468">
        <f>CU170</f>
        <v/>
      </c>
      <c r="CV201" s="468">
        <f>CV170</f>
        <v/>
      </c>
      <c r="CW201" s="468">
        <f>CW170</f>
        <v/>
      </c>
      <c r="CX201" s="468">
        <f>CX170</f>
        <v/>
      </c>
      <c r="CY201" s="468">
        <f>CY170</f>
        <v/>
      </c>
      <c r="CZ201" s="468">
        <f>CZ170</f>
        <v/>
      </c>
      <c r="DA201" s="468">
        <f>DA170</f>
        <v/>
      </c>
      <c r="DB201" s="468">
        <f>DB170</f>
        <v/>
      </c>
      <c r="DC201" s="468">
        <f>DC170</f>
        <v/>
      </c>
      <c r="DD201" s="468">
        <f>DD170</f>
        <v/>
      </c>
      <c r="DE201" s="468">
        <f>DE170</f>
        <v/>
      </c>
      <c r="DF201" s="468">
        <f>DF170</f>
        <v/>
      </c>
      <c r="DG201" s="468">
        <f>DG170</f>
        <v/>
      </c>
      <c r="DH201" s="468">
        <f>DH170</f>
        <v/>
      </c>
      <c r="DI201" s="468">
        <f>DI170</f>
        <v/>
      </c>
      <c r="DJ201" s="468">
        <f>DJ170</f>
        <v/>
      </c>
      <c r="DK201" s="468">
        <f>DK170</f>
        <v/>
      </c>
      <c r="DL201" s="468">
        <f>DL170</f>
        <v/>
      </c>
      <c r="DM201" s="468">
        <f>DM170</f>
        <v/>
      </c>
      <c r="DN201" s="468">
        <f>DN170</f>
        <v/>
      </c>
      <c r="DO201" s="468">
        <f>DO170</f>
        <v/>
      </c>
      <c r="DP201" s="468">
        <f>DP170</f>
        <v/>
      </c>
      <c r="DQ201" s="468">
        <f>DQ170</f>
        <v/>
      </c>
      <c r="DR201" s="468">
        <f>DR170</f>
        <v/>
      </c>
      <c r="DS201" s="468">
        <f>DS170</f>
        <v/>
      </c>
      <c r="DT201" s="468">
        <f>DT170</f>
        <v/>
      </c>
      <c r="DU201" s="468">
        <f>DU170</f>
        <v/>
      </c>
      <c r="DV201" s="468">
        <f>DV170</f>
        <v/>
      </c>
      <c r="DW201" s="322" t="inlineStr">
        <is>
          <t>x</t>
        </is>
      </c>
    </row>
    <row r="202" hidden="1" outlineLevel="1">
      <c r="C202" s="682">
        <f>C171</f>
        <v/>
      </c>
      <c r="D202" s="360" t="n"/>
      <c r="E202" s="463">
        <f>SUM(F202:BI202)</f>
        <v/>
      </c>
      <c r="F202" s="468" t="n">
        <v>0</v>
      </c>
      <c r="G202" s="468">
        <f>G171</f>
        <v/>
      </c>
      <c r="H202" s="468">
        <f>H171</f>
        <v/>
      </c>
      <c r="I202" s="468">
        <f>I171</f>
        <v/>
      </c>
      <c r="J202" s="468">
        <f>J171</f>
        <v/>
      </c>
      <c r="K202" s="468">
        <f>K171</f>
        <v/>
      </c>
      <c r="L202" s="468">
        <f>L171</f>
        <v/>
      </c>
      <c r="M202" s="468">
        <f>M171</f>
        <v/>
      </c>
      <c r="N202" s="468">
        <f>N171</f>
        <v/>
      </c>
      <c r="O202" s="468">
        <f>O171</f>
        <v/>
      </c>
      <c r="P202" s="468">
        <f>P171</f>
        <v/>
      </c>
      <c r="Q202" s="468">
        <f>Q171</f>
        <v/>
      </c>
      <c r="R202" s="468">
        <f>R171</f>
        <v/>
      </c>
      <c r="S202" s="468">
        <f>S171</f>
        <v/>
      </c>
      <c r="T202" s="468">
        <f>T171</f>
        <v/>
      </c>
      <c r="U202" s="468">
        <f>U171</f>
        <v/>
      </c>
      <c r="V202" s="468">
        <f>V171</f>
        <v/>
      </c>
      <c r="W202" s="468">
        <f>W171</f>
        <v/>
      </c>
      <c r="X202" s="468">
        <f>X171</f>
        <v/>
      </c>
      <c r="Y202" s="468">
        <f>Y171</f>
        <v/>
      </c>
      <c r="Z202" s="468">
        <f>Z171</f>
        <v/>
      </c>
      <c r="AA202" s="468">
        <f>AA171</f>
        <v/>
      </c>
      <c r="AB202" s="468">
        <f>AB171</f>
        <v/>
      </c>
      <c r="AC202" s="468">
        <f>AC171</f>
        <v/>
      </c>
      <c r="AD202" s="468">
        <f>AD171</f>
        <v/>
      </c>
      <c r="AE202" s="468">
        <f>AE171</f>
        <v/>
      </c>
      <c r="AF202" s="468">
        <f>AF171</f>
        <v/>
      </c>
      <c r="AG202" s="468">
        <f>AG171</f>
        <v/>
      </c>
      <c r="AH202" s="468">
        <f>AH171</f>
        <v/>
      </c>
      <c r="AI202" s="468">
        <f>AI171</f>
        <v/>
      </c>
      <c r="AJ202" s="468">
        <f>AJ171</f>
        <v/>
      </c>
      <c r="AK202" s="468">
        <f>AK171</f>
        <v/>
      </c>
      <c r="AL202" s="468">
        <f>AL171</f>
        <v/>
      </c>
      <c r="AM202" s="468">
        <f>AM171</f>
        <v/>
      </c>
      <c r="AN202" s="468">
        <f>AN171</f>
        <v/>
      </c>
      <c r="AO202" s="468">
        <f>AO171</f>
        <v/>
      </c>
      <c r="AP202" s="468">
        <f>AP171</f>
        <v/>
      </c>
      <c r="AQ202" s="468">
        <f>AQ171</f>
        <v/>
      </c>
      <c r="AR202" s="468">
        <f>AR171</f>
        <v/>
      </c>
      <c r="AS202" s="468">
        <f>AS171</f>
        <v/>
      </c>
      <c r="AT202" s="468">
        <f>AT171</f>
        <v/>
      </c>
      <c r="AU202" s="468">
        <f>AU171</f>
        <v/>
      </c>
      <c r="AV202" s="468">
        <f>AV171</f>
        <v/>
      </c>
      <c r="AW202" s="468">
        <f>AW171</f>
        <v/>
      </c>
      <c r="AX202" s="468">
        <f>AX171</f>
        <v/>
      </c>
      <c r="AY202" s="468">
        <f>AY171</f>
        <v/>
      </c>
      <c r="AZ202" s="468">
        <f>AZ171</f>
        <v/>
      </c>
      <c r="BA202" s="468">
        <f>BA171</f>
        <v/>
      </c>
      <c r="BB202" s="468">
        <f>BB171</f>
        <v/>
      </c>
      <c r="BC202" s="468">
        <f>BC171</f>
        <v/>
      </c>
      <c r="BD202" s="468">
        <f>BD171</f>
        <v/>
      </c>
      <c r="BE202" s="468">
        <f>BE171</f>
        <v/>
      </c>
      <c r="BF202" s="468">
        <f>BF171</f>
        <v/>
      </c>
      <c r="BG202" s="468">
        <f>BG171</f>
        <v/>
      </c>
      <c r="BH202" s="468">
        <f>BH171</f>
        <v/>
      </c>
      <c r="BI202" s="468">
        <f>BI171</f>
        <v/>
      </c>
      <c r="BJ202" s="468">
        <f>BJ171</f>
        <v/>
      </c>
      <c r="BK202" s="468">
        <f>BK171</f>
        <v/>
      </c>
      <c r="BL202" s="468">
        <f>BL171</f>
        <v/>
      </c>
      <c r="BM202" s="468">
        <f>BM171</f>
        <v/>
      </c>
      <c r="BN202" s="468">
        <f>BN171</f>
        <v/>
      </c>
      <c r="BO202" s="468">
        <f>BO171</f>
        <v/>
      </c>
      <c r="BP202" s="468">
        <f>BP171</f>
        <v/>
      </c>
      <c r="BQ202" s="468">
        <f>BQ171</f>
        <v/>
      </c>
      <c r="BR202" s="468">
        <f>BR171</f>
        <v/>
      </c>
      <c r="BS202" s="468">
        <f>BS171</f>
        <v/>
      </c>
      <c r="BT202" s="468">
        <f>BT171</f>
        <v/>
      </c>
      <c r="BU202" s="468">
        <f>BU171</f>
        <v/>
      </c>
      <c r="BV202" s="468">
        <f>BV171</f>
        <v/>
      </c>
      <c r="BW202" s="468">
        <f>BW171</f>
        <v/>
      </c>
      <c r="BX202" s="468">
        <f>BX171</f>
        <v/>
      </c>
      <c r="BY202" s="468">
        <f>BY171</f>
        <v/>
      </c>
      <c r="BZ202" s="468">
        <f>BZ171</f>
        <v/>
      </c>
      <c r="CA202" s="468">
        <f>CA171</f>
        <v/>
      </c>
      <c r="CB202" s="468">
        <f>CB171</f>
        <v/>
      </c>
      <c r="CC202" s="468">
        <f>CC171</f>
        <v/>
      </c>
      <c r="CD202" s="468">
        <f>CD171</f>
        <v/>
      </c>
      <c r="CE202" s="468">
        <f>CE171</f>
        <v/>
      </c>
      <c r="CF202" s="468">
        <f>CF171</f>
        <v/>
      </c>
      <c r="CG202" s="468">
        <f>CG171</f>
        <v/>
      </c>
      <c r="CH202" s="468">
        <f>CH171</f>
        <v/>
      </c>
      <c r="CI202" s="468">
        <f>CI171</f>
        <v/>
      </c>
      <c r="CJ202" s="468">
        <f>CJ171</f>
        <v/>
      </c>
      <c r="CK202" s="468">
        <f>CK171</f>
        <v/>
      </c>
      <c r="CL202" s="468">
        <f>CL171</f>
        <v/>
      </c>
      <c r="CM202" s="468">
        <f>CM171</f>
        <v/>
      </c>
      <c r="CN202" s="468">
        <f>CN171</f>
        <v/>
      </c>
      <c r="CO202" s="468">
        <f>CO171</f>
        <v/>
      </c>
      <c r="CP202" s="468">
        <f>CP171</f>
        <v/>
      </c>
      <c r="CQ202" s="468">
        <f>CQ171</f>
        <v/>
      </c>
      <c r="CR202" s="468">
        <f>CR171</f>
        <v/>
      </c>
      <c r="CS202" s="468">
        <f>CS171</f>
        <v/>
      </c>
      <c r="CT202" s="468">
        <f>CT171</f>
        <v/>
      </c>
      <c r="CU202" s="468">
        <f>CU171</f>
        <v/>
      </c>
      <c r="CV202" s="468">
        <f>CV171</f>
        <v/>
      </c>
      <c r="CW202" s="468">
        <f>CW171</f>
        <v/>
      </c>
      <c r="CX202" s="468">
        <f>CX171</f>
        <v/>
      </c>
      <c r="CY202" s="468">
        <f>CY171</f>
        <v/>
      </c>
      <c r="CZ202" s="468">
        <f>CZ171</f>
        <v/>
      </c>
      <c r="DA202" s="468">
        <f>DA171</f>
        <v/>
      </c>
      <c r="DB202" s="468">
        <f>DB171</f>
        <v/>
      </c>
      <c r="DC202" s="468">
        <f>DC171</f>
        <v/>
      </c>
      <c r="DD202" s="468">
        <f>DD171</f>
        <v/>
      </c>
      <c r="DE202" s="468">
        <f>DE171</f>
        <v/>
      </c>
      <c r="DF202" s="468">
        <f>DF171</f>
        <v/>
      </c>
      <c r="DG202" s="468">
        <f>DG171</f>
        <v/>
      </c>
      <c r="DH202" s="468">
        <f>DH171</f>
        <v/>
      </c>
      <c r="DI202" s="468">
        <f>DI171</f>
        <v/>
      </c>
      <c r="DJ202" s="468">
        <f>DJ171</f>
        <v/>
      </c>
      <c r="DK202" s="468">
        <f>DK171</f>
        <v/>
      </c>
      <c r="DL202" s="468">
        <f>DL171</f>
        <v/>
      </c>
      <c r="DM202" s="468">
        <f>DM171</f>
        <v/>
      </c>
      <c r="DN202" s="468">
        <f>DN171</f>
        <v/>
      </c>
      <c r="DO202" s="468">
        <f>DO171</f>
        <v/>
      </c>
      <c r="DP202" s="468">
        <f>DP171</f>
        <v/>
      </c>
      <c r="DQ202" s="468">
        <f>DQ171</f>
        <v/>
      </c>
      <c r="DR202" s="468">
        <f>DR171</f>
        <v/>
      </c>
      <c r="DS202" s="468">
        <f>DS171</f>
        <v/>
      </c>
      <c r="DT202" s="468">
        <f>DT171</f>
        <v/>
      </c>
      <c r="DU202" s="468">
        <f>DU171</f>
        <v/>
      </c>
      <c r="DV202" s="468">
        <f>DV171</f>
        <v/>
      </c>
      <c r="DW202" s="322" t="inlineStr">
        <is>
          <t>x</t>
        </is>
      </c>
    </row>
    <row r="203" hidden="1" outlineLevel="1">
      <c r="C203" s="682">
        <f>TEXT(D40,"0.00%")&amp;" Accrual / "&amp;TEXT(D178,"0.0x")&amp;" MOIC Distribution"</f>
        <v/>
      </c>
      <c r="D203" s="360" t="n"/>
      <c r="E203" s="468">
        <f>SUM(F203:BI203)</f>
        <v/>
      </c>
      <c r="F203" s="468">
        <f>F187</f>
        <v/>
      </c>
      <c r="G203" s="468">
        <f>G187</f>
        <v/>
      </c>
      <c r="H203" s="468">
        <f>H187</f>
        <v/>
      </c>
      <c r="I203" s="468">
        <f>I187</f>
        <v/>
      </c>
      <c r="J203" s="468">
        <f>J187</f>
        <v/>
      </c>
      <c r="K203" s="468">
        <f>K187</f>
        <v/>
      </c>
      <c r="L203" s="468">
        <f>L187</f>
        <v/>
      </c>
      <c r="M203" s="468">
        <f>M187</f>
        <v/>
      </c>
      <c r="N203" s="468">
        <f>N187</f>
        <v/>
      </c>
      <c r="O203" s="468">
        <f>O187</f>
        <v/>
      </c>
      <c r="P203" s="468">
        <f>P187</f>
        <v/>
      </c>
      <c r="Q203" s="468">
        <f>Q187</f>
        <v/>
      </c>
      <c r="R203" s="468">
        <f>R187</f>
        <v/>
      </c>
      <c r="S203" s="468">
        <f>S187</f>
        <v/>
      </c>
      <c r="T203" s="468">
        <f>T187</f>
        <v/>
      </c>
      <c r="U203" s="468">
        <f>U187</f>
        <v/>
      </c>
      <c r="V203" s="468">
        <f>V187</f>
        <v/>
      </c>
      <c r="W203" s="468">
        <f>W187</f>
        <v/>
      </c>
      <c r="X203" s="468">
        <f>X187</f>
        <v/>
      </c>
      <c r="Y203" s="468">
        <f>Y187</f>
        <v/>
      </c>
      <c r="Z203" s="468">
        <f>Z187</f>
        <v/>
      </c>
      <c r="AA203" s="468">
        <f>AA187</f>
        <v/>
      </c>
      <c r="AB203" s="468">
        <f>AB187</f>
        <v/>
      </c>
      <c r="AC203" s="468">
        <f>AC187</f>
        <v/>
      </c>
      <c r="AD203" s="468">
        <f>AD187</f>
        <v/>
      </c>
      <c r="AE203" s="468">
        <f>AE187</f>
        <v/>
      </c>
      <c r="AF203" s="468">
        <f>AF187</f>
        <v/>
      </c>
      <c r="AG203" s="468">
        <f>AG187</f>
        <v/>
      </c>
      <c r="AH203" s="468">
        <f>AH187</f>
        <v/>
      </c>
      <c r="AI203" s="468">
        <f>AI187</f>
        <v/>
      </c>
      <c r="AJ203" s="468">
        <f>AJ187</f>
        <v/>
      </c>
      <c r="AK203" s="468">
        <f>AK187</f>
        <v/>
      </c>
      <c r="AL203" s="468">
        <f>AL187</f>
        <v/>
      </c>
      <c r="AM203" s="468">
        <f>AM187</f>
        <v/>
      </c>
      <c r="AN203" s="468">
        <f>AN187</f>
        <v/>
      </c>
      <c r="AO203" s="468">
        <f>AO187</f>
        <v/>
      </c>
      <c r="AP203" s="468">
        <f>AP187</f>
        <v/>
      </c>
      <c r="AQ203" s="468">
        <f>AQ187</f>
        <v/>
      </c>
      <c r="AR203" s="468">
        <f>AR187</f>
        <v/>
      </c>
      <c r="AS203" s="468">
        <f>AS187</f>
        <v/>
      </c>
      <c r="AT203" s="468">
        <f>AT187</f>
        <v/>
      </c>
      <c r="AU203" s="468">
        <f>AU187</f>
        <v/>
      </c>
      <c r="AV203" s="468">
        <f>AV187</f>
        <v/>
      </c>
      <c r="AW203" s="468">
        <f>AW187</f>
        <v/>
      </c>
      <c r="AX203" s="468">
        <f>AX187</f>
        <v/>
      </c>
      <c r="AY203" s="468">
        <f>AY187</f>
        <v/>
      </c>
      <c r="AZ203" s="468">
        <f>AZ187</f>
        <v/>
      </c>
      <c r="BA203" s="468">
        <f>BA187</f>
        <v/>
      </c>
      <c r="BB203" s="468">
        <f>BB187</f>
        <v/>
      </c>
      <c r="BC203" s="468">
        <f>BC187</f>
        <v/>
      </c>
      <c r="BD203" s="468">
        <f>BD187</f>
        <v/>
      </c>
      <c r="BE203" s="468">
        <f>BE187</f>
        <v/>
      </c>
      <c r="BF203" s="468">
        <f>BF187</f>
        <v/>
      </c>
      <c r="BG203" s="468">
        <f>BG187</f>
        <v/>
      </c>
      <c r="BH203" s="468">
        <f>BH187</f>
        <v/>
      </c>
      <c r="BI203" s="468">
        <f>BI187</f>
        <v/>
      </c>
      <c r="BJ203" s="468">
        <f>BJ187</f>
        <v/>
      </c>
      <c r="BK203" s="468">
        <f>BK187</f>
        <v/>
      </c>
      <c r="BL203" s="468">
        <f>BL187</f>
        <v/>
      </c>
      <c r="BM203" s="468">
        <f>BM187</f>
        <v/>
      </c>
      <c r="BN203" s="468">
        <f>BN187</f>
        <v/>
      </c>
      <c r="BO203" s="468">
        <f>BO187</f>
        <v/>
      </c>
      <c r="BP203" s="468">
        <f>BP187</f>
        <v/>
      </c>
      <c r="BQ203" s="468">
        <f>BQ187</f>
        <v/>
      </c>
      <c r="BR203" s="468">
        <f>BR187</f>
        <v/>
      </c>
      <c r="BS203" s="468">
        <f>BS187</f>
        <v/>
      </c>
      <c r="BT203" s="468">
        <f>BT187</f>
        <v/>
      </c>
      <c r="BU203" s="468">
        <f>BU187</f>
        <v/>
      </c>
      <c r="BV203" s="468">
        <f>BV187</f>
        <v/>
      </c>
      <c r="BW203" s="468">
        <f>BW187</f>
        <v/>
      </c>
      <c r="BX203" s="468">
        <f>BX187</f>
        <v/>
      </c>
      <c r="BY203" s="468">
        <f>BY187</f>
        <v/>
      </c>
      <c r="BZ203" s="468">
        <f>BZ187</f>
        <v/>
      </c>
      <c r="CA203" s="468">
        <f>CA187</f>
        <v/>
      </c>
      <c r="CB203" s="468">
        <f>CB187</f>
        <v/>
      </c>
      <c r="CC203" s="468">
        <f>CC187</f>
        <v/>
      </c>
      <c r="CD203" s="468">
        <f>CD187</f>
        <v/>
      </c>
      <c r="CE203" s="468">
        <f>CE187</f>
        <v/>
      </c>
      <c r="CF203" s="468">
        <f>CF187</f>
        <v/>
      </c>
      <c r="CG203" s="468">
        <f>CG187</f>
        <v/>
      </c>
      <c r="CH203" s="468">
        <f>CH187</f>
        <v/>
      </c>
      <c r="CI203" s="468">
        <f>CI187</f>
        <v/>
      </c>
      <c r="CJ203" s="468">
        <f>CJ187</f>
        <v/>
      </c>
      <c r="CK203" s="468">
        <f>CK187</f>
        <v/>
      </c>
      <c r="CL203" s="468">
        <f>CL187</f>
        <v/>
      </c>
      <c r="CM203" s="468">
        <f>CM187</f>
        <v/>
      </c>
      <c r="CN203" s="468">
        <f>CN187</f>
        <v/>
      </c>
      <c r="CO203" s="468">
        <f>CO187</f>
        <v/>
      </c>
      <c r="CP203" s="468">
        <f>CP187</f>
        <v/>
      </c>
      <c r="CQ203" s="468">
        <f>CQ187</f>
        <v/>
      </c>
      <c r="CR203" s="468">
        <f>CR187</f>
        <v/>
      </c>
      <c r="CS203" s="468">
        <f>CS187</f>
        <v/>
      </c>
      <c r="CT203" s="468">
        <f>CT187</f>
        <v/>
      </c>
      <c r="CU203" s="468">
        <f>CU187</f>
        <v/>
      </c>
      <c r="CV203" s="468">
        <f>CV187</f>
        <v/>
      </c>
      <c r="CW203" s="468">
        <f>CW187</f>
        <v/>
      </c>
      <c r="CX203" s="468">
        <f>CX187</f>
        <v/>
      </c>
      <c r="CY203" s="468">
        <f>CY187</f>
        <v/>
      </c>
      <c r="CZ203" s="468">
        <f>CZ187</f>
        <v/>
      </c>
      <c r="DA203" s="468">
        <f>DA187</f>
        <v/>
      </c>
      <c r="DB203" s="468">
        <f>DB187</f>
        <v/>
      </c>
      <c r="DC203" s="468">
        <f>DC187</f>
        <v/>
      </c>
      <c r="DD203" s="468">
        <f>DD187</f>
        <v/>
      </c>
      <c r="DE203" s="468">
        <f>DE187</f>
        <v/>
      </c>
      <c r="DF203" s="468">
        <f>DF187</f>
        <v/>
      </c>
      <c r="DG203" s="468">
        <f>DG187</f>
        <v/>
      </c>
      <c r="DH203" s="468">
        <f>DH187</f>
        <v/>
      </c>
      <c r="DI203" s="468">
        <f>DI187</f>
        <v/>
      </c>
      <c r="DJ203" s="468">
        <f>DJ187</f>
        <v/>
      </c>
      <c r="DK203" s="468">
        <f>DK187</f>
        <v/>
      </c>
      <c r="DL203" s="468">
        <f>DL187</f>
        <v/>
      </c>
      <c r="DM203" s="468">
        <f>DM187</f>
        <v/>
      </c>
      <c r="DN203" s="468">
        <f>DN187</f>
        <v/>
      </c>
      <c r="DO203" s="468">
        <f>DO187</f>
        <v/>
      </c>
      <c r="DP203" s="468">
        <f>DP187</f>
        <v/>
      </c>
      <c r="DQ203" s="468">
        <f>DQ187</f>
        <v/>
      </c>
      <c r="DR203" s="468">
        <f>DR187</f>
        <v/>
      </c>
      <c r="DS203" s="468">
        <f>DS187</f>
        <v/>
      </c>
      <c r="DT203" s="468">
        <f>DT187</f>
        <v/>
      </c>
      <c r="DU203" s="468">
        <f>DU187</f>
        <v/>
      </c>
      <c r="DV203" s="468">
        <f>DV187</f>
        <v/>
      </c>
      <c r="DW203" s="322" t="inlineStr">
        <is>
          <t>x</t>
        </is>
      </c>
    </row>
    <row r="204" hidden="1" outlineLevel="1">
      <c r="C204" s="682">
        <f>TEXT(D41,"0.00%")&amp;" Accrual Distribution"</f>
        <v/>
      </c>
      <c r="D204" s="360" t="n"/>
      <c r="E204" s="468">
        <f>SUM(F204:BI204)</f>
        <v/>
      </c>
      <c r="F204" s="468" t="n">
        <v>0</v>
      </c>
      <c r="G204" s="468">
        <f>IF(G195=0,0,-MAX(MIN(G195*$D208,SUM(G198:G203)),0))</f>
        <v/>
      </c>
      <c r="H204" s="468">
        <f>IF(H195=0,0,-MAX(MIN(H195*$D208,SUM(H198:H203)),0))</f>
        <v/>
      </c>
      <c r="I204" s="468">
        <f>IF(I195=0,0,-MAX(MIN(I195*$D208,SUM(I198:I203)),0))</f>
        <v/>
      </c>
      <c r="J204" s="468">
        <f>IF(J195=0,0,-MAX(MIN(J195*$D208,SUM(J198:J203)),0))</f>
        <v/>
      </c>
      <c r="K204" s="468">
        <f>IF(K195=0,0,-MAX(MIN(K195*$D208,SUM(K198:K203)),0))</f>
        <v/>
      </c>
      <c r="L204" s="468">
        <f>IF(L195=0,0,-MAX(MIN(L195*$D208,SUM(L198:L203)),0))</f>
        <v/>
      </c>
      <c r="M204" s="468">
        <f>IF(M195=0,0,-MAX(MIN(M195*$D208,SUM(M198:M203)),0))</f>
        <v/>
      </c>
      <c r="N204" s="468">
        <f>IF(N195=0,0,-MAX(MIN(N195*$D208,SUM(N198:N203)),0))</f>
        <v/>
      </c>
      <c r="O204" s="468">
        <f>IF(O195=0,0,-MAX(MIN(O195*$D208,SUM(O198:O203)),0))</f>
        <v/>
      </c>
      <c r="P204" s="468">
        <f>IF(P195=0,0,-MAX(MIN(P195*$D208,SUM(P198:P203)),0))</f>
        <v/>
      </c>
      <c r="Q204" s="468">
        <f>IF(Q195=0,0,-MAX(MIN(Q195*$D208,SUM(Q198:Q203)),0))</f>
        <v/>
      </c>
      <c r="R204" s="468">
        <f>IF(R195=0,0,-MAX(MIN(R195*$D208,SUM(R198:R203)),0))</f>
        <v/>
      </c>
      <c r="S204" s="468">
        <f>IF(S195=0,0,-MAX(MIN(S195*$D208,SUM(S198:S203)),0))</f>
        <v/>
      </c>
      <c r="T204" s="468">
        <f>IF(T195=0,0,-MAX(MIN(T195*$D208,SUM(T198:T203)),0))</f>
        <v/>
      </c>
      <c r="U204" s="468">
        <f>IF(U195=0,0,-MAX(MIN(U195*$D208,SUM(U198:U203)),0))</f>
        <v/>
      </c>
      <c r="V204" s="468">
        <f>IF(V195=0,0,-MAX(MIN(V195*$D208,SUM(V198:V203)),0))</f>
        <v/>
      </c>
      <c r="W204" s="468">
        <f>IF(W195=0,0,-MAX(MIN(W195*$D208,SUM(W198:W203)),0))</f>
        <v/>
      </c>
      <c r="X204" s="468">
        <f>IF(X195=0,0,-MAX(MIN(X195*$D208,SUM(X198:X203)),0))</f>
        <v/>
      </c>
      <c r="Y204" s="468">
        <f>IF(Y195=0,0,-MAX(MIN(Y195*$D208,SUM(Y198:Y203)),0))</f>
        <v/>
      </c>
      <c r="Z204" s="468">
        <f>IF(Z195=0,0,-MAX(MIN(Z195*$D208,SUM(Z198:Z203)),0))</f>
        <v/>
      </c>
      <c r="AA204" s="468">
        <f>IF(AA195=0,0,-MAX(MIN(AA195*$D208,SUM(AA198:AA203)),0))</f>
        <v/>
      </c>
      <c r="AB204" s="468">
        <f>IF(AB195=0,0,-MAX(MIN(AB195*$D208,SUM(AB198:AB203)),0))</f>
        <v/>
      </c>
      <c r="AC204" s="468">
        <f>IF(AC195=0,0,-MAX(MIN(AC195*$D208,SUM(AC198:AC203)),0))</f>
        <v/>
      </c>
      <c r="AD204" s="468">
        <f>IF(AD195=0,0,-MAX(MIN(AD195*$D208,SUM(AD198:AD203)),0))</f>
        <v/>
      </c>
      <c r="AE204" s="468">
        <f>IF(AE195=0,0,-MAX(MIN(AE195*$D208,SUM(AE198:AE203)),0))</f>
        <v/>
      </c>
      <c r="AF204" s="468">
        <f>IF(AF195=0,0,-MAX(MIN(AF195*$D208,SUM(AF198:AF203)),0))</f>
        <v/>
      </c>
      <c r="AG204" s="468">
        <f>IF(AG195=0,0,-MAX(MIN(AG195*$D208,SUM(AG198:AG203)),0))</f>
        <v/>
      </c>
      <c r="AH204" s="468">
        <f>IF(AH195=0,0,-MAX(MIN(AH195*$D208,SUM(AH198:AH203)),0))</f>
        <v/>
      </c>
      <c r="AI204" s="468">
        <f>IF(AI195=0,0,-MAX(MIN(AI195*$D208,SUM(AI198:AI203)),0))</f>
        <v/>
      </c>
      <c r="AJ204" s="468">
        <f>IF(AJ195=0,0,-MAX(MIN(AJ195*$D208,SUM(AJ198:AJ203)),0))</f>
        <v/>
      </c>
      <c r="AK204" s="468">
        <f>IF(AK195=0,0,-MAX(MIN(AK195*$D208,SUM(AK198:AK203)),0))</f>
        <v/>
      </c>
      <c r="AL204" s="468">
        <f>IF(AL195=0,0,-MAX(MIN(AL195*$D208,SUM(AL198:AL203)),0))</f>
        <v/>
      </c>
      <c r="AM204" s="468">
        <f>IF(AM195=0,0,-MAX(MIN(AM195*$D208,SUM(AM198:AM203)),0))</f>
        <v/>
      </c>
      <c r="AN204" s="468">
        <f>IF(AN195=0,0,-MAX(MIN(AN195*$D208,SUM(AN198:AN203)),0))</f>
        <v/>
      </c>
      <c r="AO204" s="468">
        <f>IF(AO195=0,0,-MAX(MIN(AO195*$D208,SUM(AO198:AO203)),0))</f>
        <v/>
      </c>
      <c r="AP204" s="468">
        <f>IF(AP195=0,0,-MAX(MIN(AP195*$D208,SUM(AP198:AP203)),0))</f>
        <v/>
      </c>
      <c r="AQ204" s="468">
        <f>IF(AQ195=0,0,-MAX(MIN(AQ195*$D208,SUM(AQ198:AQ203)),0))</f>
        <v/>
      </c>
      <c r="AR204" s="468">
        <f>IF(AR195=0,0,-MAX(MIN(AR195*$D208,SUM(AR198:AR203)),0))</f>
        <v/>
      </c>
      <c r="AS204" s="468">
        <f>IF(AS195=0,0,-MAX(MIN(AS195*$D208,SUM(AS198:AS203)),0))</f>
        <v/>
      </c>
      <c r="AT204" s="468">
        <f>IF(AT195=0,0,-MAX(MIN(AT195*$D208,SUM(AT198:AT203)),0))</f>
        <v/>
      </c>
      <c r="AU204" s="468">
        <f>IF(AU195=0,0,-MAX(MIN(AU195*$D208,SUM(AU198:AU203)),0))</f>
        <v/>
      </c>
      <c r="AV204" s="468">
        <f>IF(AV195=0,0,-MAX(MIN(AV195*$D208,SUM(AV198:AV203)),0))</f>
        <v/>
      </c>
      <c r="AW204" s="468">
        <f>IF(AW195=0,0,-MAX(MIN(AW195*$D208,SUM(AW198:AW203)),0))</f>
        <v/>
      </c>
      <c r="AX204" s="468">
        <f>IF(AX195=0,0,-MAX(MIN(AX195*$D208,SUM(AX198:AX203)),0))</f>
        <v/>
      </c>
      <c r="AY204" s="468">
        <f>IF(AY195=0,0,-MAX(MIN(AY195*$D208,SUM(AY198:AY203)),0))</f>
        <v/>
      </c>
      <c r="AZ204" s="468">
        <f>IF(AZ195=0,0,-MAX(MIN(AZ195*$D208,SUM(AZ198:AZ203)),0))</f>
        <v/>
      </c>
      <c r="BA204" s="468">
        <f>IF(BA195=0,0,-MAX(MIN(BA195*$D208,SUM(BA198:BA203)),0))</f>
        <v/>
      </c>
      <c r="BB204" s="468">
        <f>IF(BB195=0,0,-MAX(MIN(BB195*$D208,SUM(BB198:BB203)),0))</f>
        <v/>
      </c>
      <c r="BC204" s="468">
        <f>IF(BC195=0,0,-MAX(MIN(BC195*$D208,SUM(BC198:BC203)),0))</f>
        <v/>
      </c>
      <c r="BD204" s="468">
        <f>IF(BD195=0,0,-MAX(MIN(BD195*$D208,SUM(BD198:BD203)),0))</f>
        <v/>
      </c>
      <c r="BE204" s="468">
        <f>IF(BE195=0,0,-MAX(MIN(BE195*$D208,SUM(BE198:BE203)),0))</f>
        <v/>
      </c>
      <c r="BF204" s="468">
        <f>IF(BF195=0,0,-MAX(MIN(BF195*$D208,SUM(BF198:BF203)),0))</f>
        <v/>
      </c>
      <c r="BG204" s="468">
        <f>IF(BG195=0,0,-MAX(MIN(BG195*$D208,SUM(BG198:BG203)),0))</f>
        <v/>
      </c>
      <c r="BH204" s="468">
        <f>IF(BH195=0,0,-MAX(MIN(BH195*$D208,SUM(BH198:BH203)),0))</f>
        <v/>
      </c>
      <c r="BI204" s="468">
        <f>IF(BI195=0,0,-MAX(MIN(BI195*$D208,SUM(BI198:BI203)),0))</f>
        <v/>
      </c>
      <c r="BJ204" s="468">
        <f>IF(BJ195=0,0,-MAX(MIN(BJ195*$D208,SUM(BJ198:BJ203)),0))</f>
        <v/>
      </c>
      <c r="BK204" s="468">
        <f>IF(BK195=0,0,-MAX(MIN(BK195*$D208,SUM(BK198:BK203)),0))</f>
        <v/>
      </c>
      <c r="BL204" s="468">
        <f>IF(BL195=0,0,-MAX(MIN(BL195*$D208,SUM(BL198:BL203)),0))</f>
        <v/>
      </c>
      <c r="BM204" s="468">
        <f>IF(BM195=0,0,-MAX(MIN(BM195*$D208,SUM(BM198:BM203)),0))</f>
        <v/>
      </c>
      <c r="BN204" s="468">
        <f>IF(BN195=0,0,-MAX(MIN(BN195*$D208,SUM(BN198:BN203)),0))</f>
        <v/>
      </c>
      <c r="BO204" s="468">
        <f>IF(BO195=0,0,-MAX(MIN(BO195*$D208,SUM(BO198:BO203)),0))</f>
        <v/>
      </c>
      <c r="BP204" s="468">
        <f>IF(BP195=0,0,-MAX(MIN(BP195*$D208,SUM(BP198:BP203)),0))</f>
        <v/>
      </c>
      <c r="BQ204" s="468">
        <f>IF(BQ195=0,0,-MAX(MIN(BQ195*$D208,SUM(BQ198:BQ203)),0))</f>
        <v/>
      </c>
      <c r="BR204" s="468">
        <f>IF(BR195=0,0,-MAX(MIN(BR195*$D208,SUM(BR198:BR203)),0))</f>
        <v/>
      </c>
      <c r="BS204" s="468">
        <f>IF(BS195=0,0,-MAX(MIN(BS195*$D208,SUM(BS198:BS203)),0))</f>
        <v/>
      </c>
      <c r="BT204" s="468">
        <f>IF(BT195=0,0,-MAX(MIN(BT195*$D208,SUM(BT198:BT203)),0))</f>
        <v/>
      </c>
      <c r="BU204" s="468">
        <f>IF(BU195=0,0,-MAX(MIN(BU195*$D208,SUM(BU198:BU203)),0))</f>
        <v/>
      </c>
      <c r="BV204" s="468">
        <f>IF(BV195=0,0,-MAX(MIN(BV195*$D208,SUM(BV198:BV203)),0))</f>
        <v/>
      </c>
      <c r="BW204" s="468">
        <f>IF(BW195=0,0,-MAX(MIN(BW195*$D208,SUM(BW198:BW203)),0))</f>
        <v/>
      </c>
      <c r="BX204" s="468">
        <f>IF(BX195=0,0,-MAX(MIN(BX195*$D208,SUM(BX198:BX203)),0))</f>
        <v/>
      </c>
      <c r="BY204" s="468">
        <f>IF(BY195=0,0,-MAX(MIN(BY195*$D208,SUM(BY198:BY203)),0))</f>
        <v/>
      </c>
      <c r="BZ204" s="468">
        <f>IF(BZ195=0,0,-MAX(MIN(BZ195*$D208,SUM(BZ198:BZ203)),0))</f>
        <v/>
      </c>
      <c r="CA204" s="468">
        <f>IF(CA195=0,0,-MAX(MIN(CA195*$D208,SUM(CA198:CA203)),0))</f>
        <v/>
      </c>
      <c r="CB204" s="468">
        <f>IF(CB195=0,0,-MAX(MIN(CB195*$D208,SUM(CB198:CB203)),0))</f>
        <v/>
      </c>
      <c r="CC204" s="468">
        <f>IF(CC195=0,0,-MAX(MIN(CC195*$D208,SUM(CC198:CC203)),0))</f>
        <v/>
      </c>
      <c r="CD204" s="468">
        <f>IF(CD195=0,0,-MAX(MIN(CD195*$D208,SUM(CD198:CD203)),0))</f>
        <v/>
      </c>
      <c r="CE204" s="468">
        <f>IF(CE195=0,0,-MAX(MIN(CE195*$D208,SUM(CE198:CE203)),0))</f>
        <v/>
      </c>
      <c r="CF204" s="468">
        <f>IF(CF195=0,0,-MAX(MIN(CF195*$D208,SUM(CF198:CF203)),0))</f>
        <v/>
      </c>
      <c r="CG204" s="468">
        <f>IF(CG195=0,0,-MAX(MIN(CG195*$D208,SUM(CG198:CG203)),0))</f>
        <v/>
      </c>
      <c r="CH204" s="468">
        <f>IF(CH195=0,0,-MAX(MIN(CH195*$D208,SUM(CH198:CH203)),0))</f>
        <v/>
      </c>
      <c r="CI204" s="468">
        <f>IF(CI195=0,0,-MAX(MIN(CI195*$D208,SUM(CI198:CI203)),0))</f>
        <v/>
      </c>
      <c r="CJ204" s="468">
        <f>IF(CJ195=0,0,-MAX(MIN(CJ195*$D208,SUM(CJ198:CJ203)),0))</f>
        <v/>
      </c>
      <c r="CK204" s="468">
        <f>IF(CK195=0,0,-MAX(MIN(CK195*$D208,SUM(CK198:CK203)),0))</f>
        <v/>
      </c>
      <c r="CL204" s="468">
        <f>IF(CL195=0,0,-MAX(MIN(CL195*$D208,SUM(CL198:CL203)),0))</f>
        <v/>
      </c>
      <c r="CM204" s="468">
        <f>IF(CM195=0,0,-MAX(MIN(CM195*$D208,SUM(CM198:CM203)),0))</f>
        <v/>
      </c>
      <c r="CN204" s="468">
        <f>IF(CN195=0,0,-MAX(MIN(CN195*$D208,SUM(CN198:CN203)),0))</f>
        <v/>
      </c>
      <c r="CO204" s="468">
        <f>IF(CO195=0,0,-MAX(MIN(CO195*$D208,SUM(CO198:CO203)),0))</f>
        <v/>
      </c>
      <c r="CP204" s="468">
        <f>IF(CP195=0,0,-MAX(MIN(CP195*$D208,SUM(CP198:CP203)),0))</f>
        <v/>
      </c>
      <c r="CQ204" s="468">
        <f>IF(CQ195=0,0,-MAX(MIN(CQ195*$D208,SUM(CQ198:CQ203)),0))</f>
        <v/>
      </c>
      <c r="CR204" s="468">
        <f>IF(CR195=0,0,-MAX(MIN(CR195*$D208,SUM(CR198:CR203)),0))</f>
        <v/>
      </c>
      <c r="CS204" s="468">
        <f>IF(CS195=0,0,-MAX(MIN(CS195*$D208,SUM(CS198:CS203)),0))</f>
        <v/>
      </c>
      <c r="CT204" s="468">
        <f>IF(CT195=0,0,-MAX(MIN(CT195*$D208,SUM(CT198:CT203)),0))</f>
        <v/>
      </c>
      <c r="CU204" s="468">
        <f>IF(CU195=0,0,-MAX(MIN(CU195*$D208,SUM(CU198:CU203)),0))</f>
        <v/>
      </c>
      <c r="CV204" s="468">
        <f>IF(CV195=0,0,-MAX(MIN(CV195*$D208,SUM(CV198:CV203)),0))</f>
        <v/>
      </c>
      <c r="CW204" s="468">
        <f>IF(CW195=0,0,-MAX(MIN(CW195*$D208,SUM(CW198:CW203)),0))</f>
        <v/>
      </c>
      <c r="CX204" s="468">
        <f>IF(CX195=0,0,-MAX(MIN(CX195*$D208,SUM(CX198:CX203)),0))</f>
        <v/>
      </c>
      <c r="CY204" s="468">
        <f>IF(CY195=0,0,-MAX(MIN(CY195*$D208,SUM(CY198:CY203)),0))</f>
        <v/>
      </c>
      <c r="CZ204" s="468">
        <f>IF(CZ195=0,0,-MAX(MIN(CZ195*$D208,SUM(CZ198:CZ203)),0))</f>
        <v/>
      </c>
      <c r="DA204" s="468">
        <f>IF(DA195=0,0,-MAX(MIN(DA195*$D208,SUM(DA198:DA203)),0))</f>
        <v/>
      </c>
      <c r="DB204" s="468">
        <f>IF(DB195=0,0,-MAX(MIN(DB195*$D208,SUM(DB198:DB203)),0))</f>
        <v/>
      </c>
      <c r="DC204" s="468">
        <f>IF(DC195=0,0,-MAX(MIN(DC195*$D208,SUM(DC198:DC203)),0))</f>
        <v/>
      </c>
      <c r="DD204" s="468">
        <f>IF(DD195=0,0,-MAX(MIN(DD195*$D208,SUM(DD198:DD203)),0))</f>
        <v/>
      </c>
      <c r="DE204" s="468">
        <f>IF(DE195=0,0,-MAX(MIN(DE195*$D208,SUM(DE198:DE203)),0))</f>
        <v/>
      </c>
      <c r="DF204" s="468">
        <f>IF(DF195=0,0,-MAX(MIN(DF195*$D208,SUM(DF198:DF203)),0))</f>
        <v/>
      </c>
      <c r="DG204" s="468">
        <f>IF(DG195=0,0,-MAX(MIN(DG195*$D208,SUM(DG198:DG203)),0))</f>
        <v/>
      </c>
      <c r="DH204" s="468">
        <f>IF(DH195=0,0,-MAX(MIN(DH195*$D208,SUM(DH198:DH203)),0))</f>
        <v/>
      </c>
      <c r="DI204" s="468">
        <f>IF(DI195=0,0,-MAX(MIN(DI195*$D208,SUM(DI198:DI203)),0))</f>
        <v/>
      </c>
      <c r="DJ204" s="468">
        <f>IF(DJ195=0,0,-MAX(MIN(DJ195*$D208,SUM(DJ198:DJ203)),0))</f>
        <v/>
      </c>
      <c r="DK204" s="468">
        <f>IF(DK195=0,0,-MAX(MIN(DK195*$D208,SUM(DK198:DK203)),0))</f>
        <v/>
      </c>
      <c r="DL204" s="468">
        <f>IF(DL195=0,0,-MAX(MIN(DL195*$D208,SUM(DL198:DL203)),0))</f>
        <v/>
      </c>
      <c r="DM204" s="468">
        <f>IF(DM195=0,0,-MAX(MIN(DM195*$D208,SUM(DM198:DM203)),0))</f>
        <v/>
      </c>
      <c r="DN204" s="468">
        <f>IF(DN195=0,0,-MAX(MIN(DN195*$D208,SUM(DN198:DN203)),0))</f>
        <v/>
      </c>
      <c r="DO204" s="468">
        <f>IF(DO195=0,0,-MAX(MIN(DO195*$D208,SUM(DO198:DO203)),0))</f>
        <v/>
      </c>
      <c r="DP204" s="468">
        <f>IF(DP195=0,0,-MAX(MIN(DP195*$D208,SUM(DP198:DP203)),0))</f>
        <v/>
      </c>
      <c r="DQ204" s="468">
        <f>IF(DQ195=0,0,-MAX(MIN(DQ195*$D208,SUM(DQ198:DQ203)),0))</f>
        <v/>
      </c>
      <c r="DR204" s="468">
        <f>IF(DR195=0,0,-MAX(MIN(DR195*$D208,SUM(DR198:DR203)),0))</f>
        <v/>
      </c>
      <c r="DS204" s="468">
        <f>IF(DS195=0,0,-MAX(MIN(DS195*$D208,SUM(DS198:DS203)),0))</f>
        <v/>
      </c>
      <c r="DT204" s="468">
        <f>IF(DT195=0,0,-MAX(MIN(DT195*$D208,SUM(DT198:DT203)),0))</f>
        <v/>
      </c>
      <c r="DU204" s="468">
        <f>IF(DU195=0,0,-MAX(MIN(DU195*$D208,SUM(DU198:DU203)),0))</f>
        <v/>
      </c>
      <c r="DV204" s="468">
        <f>IF(DV195=0,0,-MAX(MIN(DV195*$D208,SUM(DV198:DV203)),0))</f>
        <v/>
      </c>
      <c r="DW204" s="322" t="inlineStr">
        <is>
          <t>x</t>
        </is>
      </c>
    </row>
    <row r="205" hidden="1" outlineLevel="1" ht="17.25" customHeight="1" thickBot="1">
      <c r="C205" s="490" t="inlineStr">
        <is>
          <t>Ending Balance</t>
        </is>
      </c>
      <c r="D205" s="360" t="n"/>
      <c r="E205" s="658">
        <f>SUM(E199:E204)</f>
        <v/>
      </c>
      <c r="F205" s="658">
        <f>SUM(F199:F204)</f>
        <v/>
      </c>
      <c r="G205" s="658">
        <f>SUM(G198:G204)</f>
        <v/>
      </c>
      <c r="H205" s="658">
        <f>SUM(H198:H204)</f>
        <v/>
      </c>
      <c r="I205" s="658">
        <f>SUM(I198:I204)</f>
        <v/>
      </c>
      <c r="J205" s="658">
        <f>SUM(J198:J204)</f>
        <v/>
      </c>
      <c r="K205" s="658">
        <f>SUM(K198:K204)</f>
        <v/>
      </c>
      <c r="L205" s="658">
        <f>SUM(L198:L204)</f>
        <v/>
      </c>
      <c r="M205" s="658">
        <f>SUM(M198:M204)</f>
        <v/>
      </c>
      <c r="N205" s="658">
        <f>SUM(N198:N204)</f>
        <v/>
      </c>
      <c r="O205" s="658">
        <f>SUM(O198:O204)</f>
        <v/>
      </c>
      <c r="P205" s="658">
        <f>SUM(P198:P204)</f>
        <v/>
      </c>
      <c r="Q205" s="658">
        <f>SUM(Q198:Q204)</f>
        <v/>
      </c>
      <c r="R205" s="658">
        <f>SUM(R198:R204)</f>
        <v/>
      </c>
      <c r="S205" s="658">
        <f>SUM(S198:S204)</f>
        <v/>
      </c>
      <c r="T205" s="658">
        <f>SUM(T198:T204)</f>
        <v/>
      </c>
      <c r="U205" s="658">
        <f>SUM(U198:U204)</f>
        <v/>
      </c>
      <c r="V205" s="658">
        <f>SUM(V198:V204)</f>
        <v/>
      </c>
      <c r="W205" s="658">
        <f>SUM(W198:W204)</f>
        <v/>
      </c>
      <c r="X205" s="658">
        <f>SUM(X198:X204)</f>
        <v/>
      </c>
      <c r="Y205" s="658">
        <f>SUM(Y198:Y204)</f>
        <v/>
      </c>
      <c r="Z205" s="658">
        <f>SUM(Z198:Z204)</f>
        <v/>
      </c>
      <c r="AA205" s="658">
        <f>SUM(AA198:AA204)</f>
        <v/>
      </c>
      <c r="AB205" s="658">
        <f>SUM(AB198:AB204)</f>
        <v/>
      </c>
      <c r="AC205" s="658">
        <f>SUM(AC198:AC204)</f>
        <v/>
      </c>
      <c r="AD205" s="658">
        <f>SUM(AD198:AD204)</f>
        <v/>
      </c>
      <c r="AE205" s="658">
        <f>SUM(AE198:AE204)</f>
        <v/>
      </c>
      <c r="AF205" s="658">
        <f>SUM(AF198:AF204)</f>
        <v/>
      </c>
      <c r="AG205" s="658">
        <f>SUM(AG198:AG204)</f>
        <v/>
      </c>
      <c r="AH205" s="658">
        <f>SUM(AH198:AH204)</f>
        <v/>
      </c>
      <c r="AI205" s="658">
        <f>SUM(AI198:AI204)</f>
        <v/>
      </c>
      <c r="AJ205" s="658">
        <f>SUM(AJ198:AJ204)</f>
        <v/>
      </c>
      <c r="AK205" s="658">
        <f>SUM(AK198:AK204)</f>
        <v/>
      </c>
      <c r="AL205" s="658">
        <f>SUM(AL198:AL204)</f>
        <v/>
      </c>
      <c r="AM205" s="658">
        <f>SUM(AM198:AM204)</f>
        <v/>
      </c>
      <c r="AN205" s="658">
        <f>SUM(AN198:AN204)</f>
        <v/>
      </c>
      <c r="AO205" s="658">
        <f>SUM(AO198:AO204)</f>
        <v/>
      </c>
      <c r="AP205" s="658">
        <f>SUM(AP198:AP204)</f>
        <v/>
      </c>
      <c r="AQ205" s="658">
        <f>SUM(AQ198:AQ204)</f>
        <v/>
      </c>
      <c r="AR205" s="658">
        <f>SUM(AR198:AR204)</f>
        <v/>
      </c>
      <c r="AS205" s="658">
        <f>SUM(AS198:AS204)</f>
        <v/>
      </c>
      <c r="AT205" s="658">
        <f>SUM(AT198:AT204)</f>
        <v/>
      </c>
      <c r="AU205" s="658">
        <f>SUM(AU198:AU204)</f>
        <v/>
      </c>
      <c r="AV205" s="658">
        <f>SUM(AV198:AV204)</f>
        <v/>
      </c>
      <c r="AW205" s="658">
        <f>SUM(AW198:AW204)</f>
        <v/>
      </c>
      <c r="AX205" s="658">
        <f>SUM(AX198:AX204)</f>
        <v/>
      </c>
      <c r="AY205" s="658">
        <f>SUM(AY198:AY204)</f>
        <v/>
      </c>
      <c r="AZ205" s="658">
        <f>SUM(AZ198:AZ204)</f>
        <v/>
      </c>
      <c r="BA205" s="658">
        <f>SUM(BA198:BA204)</f>
        <v/>
      </c>
      <c r="BB205" s="658">
        <f>SUM(BB198:BB204)</f>
        <v/>
      </c>
      <c r="BC205" s="658">
        <f>SUM(BC198:BC204)</f>
        <v/>
      </c>
      <c r="BD205" s="658">
        <f>SUM(BD198:BD204)</f>
        <v/>
      </c>
      <c r="BE205" s="658">
        <f>SUM(BE198:BE204)</f>
        <v/>
      </c>
      <c r="BF205" s="658">
        <f>SUM(BF198:BF204)</f>
        <v/>
      </c>
      <c r="BG205" s="658">
        <f>SUM(BG198:BG204)</f>
        <v/>
      </c>
      <c r="BH205" s="658">
        <f>SUM(BH198:BH204)</f>
        <v/>
      </c>
      <c r="BI205" s="658">
        <f>SUM(BI198:BI204)</f>
        <v/>
      </c>
      <c r="BJ205" s="658">
        <f>SUM(BJ198:BJ204)</f>
        <v/>
      </c>
      <c r="BK205" s="658">
        <f>SUM(BK198:BK204)</f>
        <v/>
      </c>
      <c r="BL205" s="658">
        <f>SUM(BL198:BL204)</f>
        <v/>
      </c>
      <c r="BM205" s="658">
        <f>SUM(BM198:BM204)</f>
        <v/>
      </c>
      <c r="BN205" s="658">
        <f>SUM(BN198:BN204)</f>
        <v/>
      </c>
      <c r="BO205" s="658">
        <f>SUM(BO198:BO204)</f>
        <v/>
      </c>
      <c r="BP205" s="658">
        <f>SUM(BP198:BP204)</f>
        <v/>
      </c>
      <c r="BQ205" s="658">
        <f>SUM(BQ198:BQ204)</f>
        <v/>
      </c>
      <c r="BR205" s="658">
        <f>SUM(BR198:BR204)</f>
        <v/>
      </c>
      <c r="BS205" s="658">
        <f>SUM(BS198:BS204)</f>
        <v/>
      </c>
      <c r="BT205" s="658">
        <f>SUM(BT198:BT204)</f>
        <v/>
      </c>
      <c r="BU205" s="658">
        <f>SUM(BU198:BU204)</f>
        <v/>
      </c>
      <c r="BV205" s="658">
        <f>SUM(BV198:BV204)</f>
        <v/>
      </c>
      <c r="BW205" s="658">
        <f>SUM(BW198:BW204)</f>
        <v/>
      </c>
      <c r="BX205" s="658">
        <f>SUM(BX198:BX204)</f>
        <v/>
      </c>
      <c r="BY205" s="658">
        <f>SUM(BY198:BY204)</f>
        <v/>
      </c>
      <c r="BZ205" s="658">
        <f>SUM(BZ198:BZ204)</f>
        <v/>
      </c>
      <c r="CA205" s="658">
        <f>SUM(CA198:CA204)</f>
        <v/>
      </c>
      <c r="CB205" s="658">
        <f>SUM(CB198:CB204)</f>
        <v/>
      </c>
      <c r="CC205" s="658">
        <f>SUM(CC198:CC204)</f>
        <v/>
      </c>
      <c r="CD205" s="658">
        <f>SUM(CD198:CD204)</f>
        <v/>
      </c>
      <c r="CE205" s="658">
        <f>SUM(CE198:CE204)</f>
        <v/>
      </c>
      <c r="CF205" s="658">
        <f>SUM(CF198:CF204)</f>
        <v/>
      </c>
      <c r="CG205" s="658">
        <f>SUM(CG198:CG204)</f>
        <v/>
      </c>
      <c r="CH205" s="658">
        <f>SUM(CH198:CH204)</f>
        <v/>
      </c>
      <c r="CI205" s="658">
        <f>SUM(CI198:CI204)</f>
        <v/>
      </c>
      <c r="CJ205" s="658">
        <f>SUM(CJ198:CJ204)</f>
        <v/>
      </c>
      <c r="CK205" s="658">
        <f>SUM(CK198:CK204)</f>
        <v/>
      </c>
      <c r="CL205" s="658">
        <f>SUM(CL198:CL204)</f>
        <v/>
      </c>
      <c r="CM205" s="658">
        <f>SUM(CM198:CM204)</f>
        <v/>
      </c>
      <c r="CN205" s="658">
        <f>SUM(CN198:CN204)</f>
        <v/>
      </c>
      <c r="CO205" s="658">
        <f>SUM(CO198:CO204)</f>
        <v/>
      </c>
      <c r="CP205" s="658">
        <f>SUM(CP198:CP204)</f>
        <v/>
      </c>
      <c r="CQ205" s="658">
        <f>SUM(CQ198:CQ204)</f>
        <v/>
      </c>
      <c r="CR205" s="658">
        <f>SUM(CR198:CR204)</f>
        <v/>
      </c>
      <c r="CS205" s="658">
        <f>SUM(CS198:CS204)</f>
        <v/>
      </c>
      <c r="CT205" s="658">
        <f>SUM(CT198:CT204)</f>
        <v/>
      </c>
      <c r="CU205" s="658">
        <f>SUM(CU198:CU204)</f>
        <v/>
      </c>
      <c r="CV205" s="658">
        <f>SUM(CV198:CV204)</f>
        <v/>
      </c>
      <c r="CW205" s="658">
        <f>SUM(CW198:CW204)</f>
        <v/>
      </c>
      <c r="CX205" s="658">
        <f>SUM(CX198:CX204)</f>
        <v/>
      </c>
      <c r="CY205" s="658">
        <f>SUM(CY198:CY204)</f>
        <v/>
      </c>
      <c r="CZ205" s="658">
        <f>SUM(CZ198:CZ204)</f>
        <v/>
      </c>
      <c r="DA205" s="658">
        <f>SUM(DA198:DA204)</f>
        <v/>
      </c>
      <c r="DB205" s="658">
        <f>SUM(DB198:DB204)</f>
        <v/>
      </c>
      <c r="DC205" s="658">
        <f>SUM(DC198:DC204)</f>
        <v/>
      </c>
      <c r="DD205" s="658">
        <f>SUM(DD198:DD204)</f>
        <v/>
      </c>
      <c r="DE205" s="658">
        <f>SUM(DE198:DE204)</f>
        <v/>
      </c>
      <c r="DF205" s="658">
        <f>SUM(DF198:DF204)</f>
        <v/>
      </c>
      <c r="DG205" s="658">
        <f>SUM(DG198:DG204)</f>
        <v/>
      </c>
      <c r="DH205" s="658">
        <f>SUM(DH198:DH204)</f>
        <v/>
      </c>
      <c r="DI205" s="658">
        <f>SUM(DI198:DI204)</f>
        <v/>
      </c>
      <c r="DJ205" s="658">
        <f>SUM(DJ198:DJ204)</f>
        <v/>
      </c>
      <c r="DK205" s="658">
        <f>SUM(DK198:DK204)</f>
        <v/>
      </c>
      <c r="DL205" s="658">
        <f>SUM(DL198:DL204)</f>
        <v/>
      </c>
      <c r="DM205" s="658">
        <f>SUM(DM198:DM204)</f>
        <v/>
      </c>
      <c r="DN205" s="658">
        <f>SUM(DN198:DN204)</f>
        <v/>
      </c>
      <c r="DO205" s="658">
        <f>SUM(DO198:DO204)</f>
        <v/>
      </c>
      <c r="DP205" s="658">
        <f>SUM(DP198:DP204)</f>
        <v/>
      </c>
      <c r="DQ205" s="658">
        <f>SUM(DQ198:DQ204)</f>
        <v/>
      </c>
      <c r="DR205" s="658">
        <f>SUM(DR198:DR204)</f>
        <v/>
      </c>
      <c r="DS205" s="658">
        <f>SUM(DS198:DS204)</f>
        <v/>
      </c>
      <c r="DT205" s="658">
        <f>SUM(DT198:DT204)</f>
        <v/>
      </c>
      <c r="DU205" s="658">
        <f>SUM(DU198:DU204)</f>
        <v/>
      </c>
      <c r="DV205" s="658">
        <f>SUM(DV198:DV204)</f>
        <v/>
      </c>
      <c r="DW205" s="322" t="inlineStr">
        <is>
          <t>x</t>
        </is>
      </c>
    </row>
    <row r="206" hidden="1" outlineLevel="1" ht="17.25" customHeight="1" thickTop="1">
      <c r="C206" s="360" t="n"/>
      <c r="D206" s="360" t="n"/>
      <c r="E206" s="360" t="n"/>
      <c r="F206" s="360" t="n"/>
      <c r="G206" s="360" t="n"/>
      <c r="H206" s="360" t="n"/>
      <c r="I206" s="360" t="n"/>
      <c r="J206" s="360" t="n"/>
      <c r="K206" s="360" t="n"/>
      <c r="L206" s="360" t="n"/>
      <c r="M206" s="360" t="n"/>
      <c r="N206" s="360" t="n"/>
      <c r="O206" s="360" t="n"/>
      <c r="P206" s="360" t="n"/>
      <c r="Q206" s="360" t="n"/>
      <c r="R206" s="360" t="n"/>
      <c r="S206" s="360" t="n"/>
      <c r="T206" s="360" t="n"/>
      <c r="U206" s="360" t="n"/>
      <c r="V206" s="360" t="n"/>
      <c r="W206" s="360" t="n"/>
      <c r="X206" s="360" t="n"/>
      <c r="Y206" s="360" t="n"/>
      <c r="Z206" s="360" t="n"/>
      <c r="AA206" s="360" t="n"/>
      <c r="AB206" s="360" t="n"/>
      <c r="AC206" s="360" t="n"/>
      <c r="AD206" s="360" t="n"/>
      <c r="AE206" s="360" t="n"/>
      <c r="AF206" s="360" t="n"/>
      <c r="AG206" s="360" t="n"/>
      <c r="AH206" s="360" t="n"/>
      <c r="AI206" s="360" t="n"/>
      <c r="AJ206" s="360" t="n"/>
      <c r="AK206" s="360" t="n"/>
      <c r="AL206" s="360" t="n"/>
      <c r="AM206" s="360" t="n"/>
      <c r="AN206" s="360" t="n"/>
      <c r="AO206" s="360" t="n"/>
      <c r="AP206" s="360" t="n"/>
      <c r="AQ206" s="360" t="n"/>
      <c r="AR206" s="360" t="n"/>
      <c r="AS206" s="360" t="n"/>
      <c r="AT206" s="360" t="n"/>
      <c r="AU206" s="360" t="n"/>
      <c r="AV206" s="360" t="n"/>
      <c r="AW206" s="360" t="n"/>
      <c r="AX206" s="360" t="n"/>
      <c r="AY206" s="360" t="n"/>
      <c r="AZ206" s="360" t="n"/>
      <c r="BA206" s="360" t="n"/>
      <c r="BB206" s="360" t="n"/>
      <c r="BC206" s="360" t="n"/>
      <c r="BD206" s="360" t="n"/>
      <c r="BE206" s="360" t="n"/>
      <c r="BF206" s="360" t="n"/>
      <c r="BG206" s="360" t="n"/>
      <c r="BH206" s="360" t="n"/>
      <c r="BI206" s="360" t="n"/>
      <c r="BJ206" s="360" t="n"/>
      <c r="BK206" s="360" t="n"/>
      <c r="BL206" s="360" t="n"/>
      <c r="BM206" s="360" t="n"/>
      <c r="BN206" s="360" t="n"/>
      <c r="BO206" s="360" t="n"/>
      <c r="BP206" s="360" t="n"/>
      <c r="BQ206" s="360" t="n"/>
      <c r="BR206" s="360" t="n"/>
      <c r="BS206" s="360" t="n"/>
      <c r="BT206" s="360" t="n"/>
      <c r="BU206" s="360" t="n"/>
      <c r="BV206" s="360" t="n"/>
      <c r="BW206" s="360" t="n"/>
      <c r="BX206" s="360" t="n"/>
      <c r="BY206" s="360" t="n"/>
      <c r="BZ206" s="360" t="n"/>
      <c r="CA206" s="360" t="n"/>
      <c r="CB206" s="360" t="n"/>
      <c r="CC206" s="360" t="n"/>
      <c r="CD206" s="360" t="n"/>
      <c r="CE206" s="360" t="n"/>
      <c r="CF206" s="360" t="n"/>
      <c r="CG206" s="360" t="n"/>
      <c r="CH206" s="360" t="n"/>
      <c r="CI206" s="360" t="n"/>
      <c r="CJ206" s="360" t="n"/>
      <c r="CK206" s="360" t="n"/>
      <c r="CL206" s="360" t="n"/>
      <c r="CM206" s="360" t="n"/>
      <c r="CN206" s="360" t="n"/>
      <c r="CO206" s="360" t="n"/>
      <c r="CP206" s="360" t="n"/>
      <c r="CQ206" s="360" t="n"/>
      <c r="CR206" s="360" t="n"/>
      <c r="CS206" s="360" t="n"/>
      <c r="CT206" s="360" t="n"/>
      <c r="CU206" s="360" t="n"/>
      <c r="CV206" s="360" t="n"/>
      <c r="CW206" s="360" t="n"/>
      <c r="CX206" s="360" t="n"/>
      <c r="CY206" s="360" t="n"/>
      <c r="CZ206" s="360" t="n"/>
      <c r="DA206" s="360" t="n"/>
      <c r="DB206" s="360" t="n"/>
      <c r="DC206" s="360" t="n"/>
      <c r="DD206" s="360" t="n"/>
      <c r="DE206" s="360" t="n"/>
      <c r="DF206" s="360" t="n"/>
      <c r="DG206" s="360" t="n"/>
      <c r="DH206" s="360" t="n"/>
      <c r="DI206" s="360" t="n"/>
      <c r="DJ206" s="360" t="n"/>
      <c r="DK206" s="360" t="n"/>
      <c r="DL206" s="360" t="n"/>
      <c r="DM206" s="360" t="n"/>
      <c r="DN206" s="360" t="n"/>
      <c r="DO206" s="360" t="n"/>
      <c r="DP206" s="360" t="n"/>
      <c r="DQ206" s="360" t="n"/>
      <c r="DR206" s="360" t="n"/>
      <c r="DS206" s="360" t="n"/>
      <c r="DT206" s="360" t="n"/>
      <c r="DU206" s="360" t="n"/>
      <c r="DV206" s="360" t="n"/>
      <c r="DW206" s="322" t="inlineStr">
        <is>
          <t>x</t>
        </is>
      </c>
    </row>
    <row r="207" hidden="1" outlineLevel="1">
      <c r="C207" s="485" t="inlineStr">
        <is>
          <t>Splits</t>
        </is>
      </c>
      <c r="D207" s="374" t="n"/>
      <c r="E207" s="463" t="n"/>
      <c r="F207" s="374" t="n"/>
      <c r="G207" s="374" t="n"/>
      <c r="H207" s="463" t="n"/>
      <c r="I207" s="463" t="n"/>
      <c r="J207" s="463" t="n"/>
      <c r="K207" s="463" t="n"/>
      <c r="L207" s="463" t="n"/>
      <c r="M207" s="463" t="n"/>
      <c r="N207" s="463" t="n"/>
      <c r="O207" s="463" t="n"/>
      <c r="P207" s="463" t="n"/>
      <c r="Q207" s="463" t="n"/>
      <c r="R207" s="463" t="n"/>
      <c r="S207" s="463" t="n"/>
      <c r="T207" s="463" t="n"/>
      <c r="U207" s="463" t="n"/>
      <c r="V207" s="463" t="n"/>
      <c r="W207" s="463" t="n"/>
      <c r="X207" s="463" t="n"/>
      <c r="Y207" s="463" t="n"/>
      <c r="Z207" s="463" t="n"/>
      <c r="AA207" s="463" t="n"/>
      <c r="AB207" s="463" t="n"/>
      <c r="AC207" s="463" t="n"/>
      <c r="AD207" s="463" t="n"/>
      <c r="AE207" s="463" t="n"/>
      <c r="AF207" s="463" t="n"/>
      <c r="AG207" s="463" t="n"/>
      <c r="AH207" s="463" t="n"/>
      <c r="AI207" s="463" t="n"/>
      <c r="AJ207" s="463" t="n"/>
      <c r="AK207" s="463" t="n"/>
      <c r="AL207" s="463" t="n"/>
      <c r="AM207" s="463" t="n"/>
      <c r="AN207" s="463" t="n"/>
      <c r="AO207" s="463" t="n"/>
      <c r="AP207" s="463" t="n"/>
      <c r="AQ207" s="463" t="n"/>
      <c r="AR207" s="463" t="n"/>
      <c r="AS207" s="463" t="n"/>
      <c r="AT207" s="463" t="n"/>
      <c r="AU207" s="463" t="n"/>
      <c r="AV207" s="463" t="n"/>
      <c r="AW207" s="463" t="n"/>
      <c r="AX207" s="463" t="n"/>
      <c r="AY207" s="463" t="n"/>
      <c r="AZ207" s="463" t="n"/>
      <c r="BA207" s="463" t="n"/>
      <c r="BB207" s="463" t="n"/>
      <c r="BC207" s="463" t="n"/>
      <c r="BD207" s="463" t="n"/>
      <c r="BE207" s="463" t="n"/>
      <c r="BF207" s="463" t="n"/>
      <c r="BG207" s="463" t="n"/>
      <c r="BH207" s="463" t="n"/>
      <c r="BI207" s="463" t="n"/>
      <c r="BJ207" s="463" t="n"/>
      <c r="BK207" s="463" t="n"/>
      <c r="BL207" s="463" t="n"/>
      <c r="BM207" s="463" t="n"/>
      <c r="BN207" s="463" t="n"/>
      <c r="BO207" s="463" t="n"/>
      <c r="BP207" s="463" t="n"/>
      <c r="BQ207" s="463" t="n"/>
      <c r="BR207" s="463" t="n"/>
      <c r="BS207" s="463" t="n"/>
      <c r="BT207" s="463" t="n"/>
      <c r="BU207" s="463" t="n"/>
      <c r="BV207" s="463" t="n"/>
      <c r="BW207" s="463" t="n"/>
      <c r="BX207" s="463" t="n"/>
      <c r="BY207" s="463" t="n"/>
      <c r="BZ207" s="463" t="n"/>
      <c r="CA207" s="463" t="n"/>
      <c r="CB207" s="463" t="n"/>
      <c r="CC207" s="463" t="n"/>
      <c r="CD207" s="463" t="n"/>
      <c r="CE207" s="463" t="n"/>
      <c r="CF207" s="463" t="n"/>
      <c r="CG207" s="463" t="n"/>
      <c r="CH207" s="463" t="n"/>
      <c r="CI207" s="463" t="n"/>
      <c r="CJ207" s="463" t="n"/>
      <c r="CK207" s="463" t="n"/>
      <c r="CL207" s="463" t="n"/>
      <c r="CM207" s="463" t="n"/>
      <c r="CN207" s="463" t="n"/>
      <c r="CO207" s="463" t="n"/>
      <c r="CP207" s="463" t="n"/>
      <c r="CQ207" s="463" t="n"/>
      <c r="CR207" s="463" t="n"/>
      <c r="CS207" s="463" t="n"/>
      <c r="CT207" s="463" t="n"/>
      <c r="CU207" s="463" t="n"/>
      <c r="CV207" s="463" t="n"/>
      <c r="CW207" s="463" t="n"/>
      <c r="CX207" s="463" t="n"/>
      <c r="CY207" s="463" t="n"/>
      <c r="CZ207" s="463" t="n"/>
      <c r="DA207" s="463" t="n"/>
      <c r="DB207" s="463" t="n"/>
      <c r="DC207" s="463" t="n"/>
      <c r="DD207" s="463" t="n"/>
      <c r="DE207" s="463" t="n"/>
      <c r="DF207" s="463" t="n"/>
      <c r="DG207" s="463" t="n"/>
      <c r="DH207" s="463" t="n"/>
      <c r="DI207" s="463" t="n"/>
      <c r="DJ207" s="463" t="n"/>
      <c r="DK207" s="463" t="n"/>
      <c r="DL207" s="463" t="n"/>
      <c r="DM207" s="463" t="n"/>
      <c r="DN207" s="463" t="n"/>
      <c r="DO207" s="463" t="n"/>
      <c r="DP207" s="463" t="n"/>
      <c r="DQ207" s="463" t="n"/>
      <c r="DR207" s="463" t="n"/>
      <c r="DS207" s="463" t="n"/>
      <c r="DT207" s="463" t="n"/>
      <c r="DU207" s="463" t="n"/>
      <c r="DV207" s="463" t="n"/>
      <c r="DW207" s="322" t="inlineStr">
        <is>
          <t>x</t>
        </is>
      </c>
    </row>
    <row r="208" hidden="1" outlineLevel="1">
      <c r="C208" s="374">
        <f>C190</f>
        <v/>
      </c>
      <c r="D208" s="486">
        <f>H41</f>
        <v/>
      </c>
      <c r="E208" s="680">
        <f>SUM(F208:DV208)</f>
        <v/>
      </c>
      <c r="F208" s="680" t="n">
        <v>0</v>
      </c>
      <c r="G208" s="680">
        <f>-G204</f>
        <v/>
      </c>
      <c r="H208" s="680">
        <f>-H204</f>
        <v/>
      </c>
      <c r="I208" s="680">
        <f>-I204</f>
        <v/>
      </c>
      <c r="J208" s="680">
        <f>-J204</f>
        <v/>
      </c>
      <c r="K208" s="680">
        <f>-K204</f>
        <v/>
      </c>
      <c r="L208" s="680">
        <f>-L204</f>
        <v/>
      </c>
      <c r="M208" s="680">
        <f>-M204</f>
        <v/>
      </c>
      <c r="N208" s="680">
        <f>-N204</f>
        <v/>
      </c>
      <c r="O208" s="680">
        <f>-O204</f>
        <v/>
      </c>
      <c r="P208" s="680">
        <f>-P204</f>
        <v/>
      </c>
      <c r="Q208" s="680">
        <f>-Q204</f>
        <v/>
      </c>
      <c r="R208" s="680">
        <f>-R204</f>
        <v/>
      </c>
      <c r="S208" s="680">
        <f>-S204</f>
        <v/>
      </c>
      <c r="T208" s="680">
        <f>-T204</f>
        <v/>
      </c>
      <c r="U208" s="680">
        <f>-U204</f>
        <v/>
      </c>
      <c r="V208" s="680">
        <f>-V204</f>
        <v/>
      </c>
      <c r="W208" s="680">
        <f>-W204</f>
        <v/>
      </c>
      <c r="X208" s="680">
        <f>-X204</f>
        <v/>
      </c>
      <c r="Y208" s="680">
        <f>-Y204</f>
        <v/>
      </c>
      <c r="Z208" s="680">
        <f>-Z204</f>
        <v/>
      </c>
      <c r="AA208" s="680">
        <f>-AA204</f>
        <v/>
      </c>
      <c r="AB208" s="680">
        <f>-AB204</f>
        <v/>
      </c>
      <c r="AC208" s="680">
        <f>-AC204</f>
        <v/>
      </c>
      <c r="AD208" s="680">
        <f>-AD204</f>
        <v/>
      </c>
      <c r="AE208" s="680">
        <f>-AE204</f>
        <v/>
      </c>
      <c r="AF208" s="680">
        <f>-AF204</f>
        <v/>
      </c>
      <c r="AG208" s="680">
        <f>-AG204</f>
        <v/>
      </c>
      <c r="AH208" s="680">
        <f>-AH204</f>
        <v/>
      </c>
      <c r="AI208" s="680">
        <f>-AI204</f>
        <v/>
      </c>
      <c r="AJ208" s="680">
        <f>-AJ204</f>
        <v/>
      </c>
      <c r="AK208" s="680">
        <f>-AK204</f>
        <v/>
      </c>
      <c r="AL208" s="680">
        <f>-AL204</f>
        <v/>
      </c>
      <c r="AM208" s="680">
        <f>-AM204</f>
        <v/>
      </c>
      <c r="AN208" s="680">
        <f>-AN204</f>
        <v/>
      </c>
      <c r="AO208" s="680">
        <f>-AO204</f>
        <v/>
      </c>
      <c r="AP208" s="680">
        <f>-AP204</f>
        <v/>
      </c>
      <c r="AQ208" s="680">
        <f>-AQ204</f>
        <v/>
      </c>
      <c r="AR208" s="680">
        <f>-AR204</f>
        <v/>
      </c>
      <c r="AS208" s="680">
        <f>-AS204</f>
        <v/>
      </c>
      <c r="AT208" s="680">
        <f>-AT204</f>
        <v/>
      </c>
      <c r="AU208" s="680">
        <f>-AU204</f>
        <v/>
      </c>
      <c r="AV208" s="680">
        <f>-AV204</f>
        <v/>
      </c>
      <c r="AW208" s="680">
        <f>-AW204</f>
        <v/>
      </c>
      <c r="AX208" s="680">
        <f>-AX204</f>
        <v/>
      </c>
      <c r="AY208" s="680">
        <f>-AY204</f>
        <v/>
      </c>
      <c r="AZ208" s="680">
        <f>-AZ204</f>
        <v/>
      </c>
      <c r="BA208" s="680">
        <f>-BA204</f>
        <v/>
      </c>
      <c r="BB208" s="680">
        <f>-BB204</f>
        <v/>
      </c>
      <c r="BC208" s="680">
        <f>-BC204</f>
        <v/>
      </c>
      <c r="BD208" s="680">
        <f>-BD204</f>
        <v/>
      </c>
      <c r="BE208" s="680">
        <f>-BE204</f>
        <v/>
      </c>
      <c r="BF208" s="680">
        <f>-BF204</f>
        <v/>
      </c>
      <c r="BG208" s="680">
        <f>-BG204</f>
        <v/>
      </c>
      <c r="BH208" s="680">
        <f>-BH204</f>
        <v/>
      </c>
      <c r="BI208" s="680">
        <f>-BI204</f>
        <v/>
      </c>
      <c r="BJ208" s="680">
        <f>-BJ204</f>
        <v/>
      </c>
      <c r="BK208" s="680">
        <f>-BK204</f>
        <v/>
      </c>
      <c r="BL208" s="680">
        <f>-BL204</f>
        <v/>
      </c>
      <c r="BM208" s="680">
        <f>-BM204</f>
        <v/>
      </c>
      <c r="BN208" s="680">
        <f>-BN204</f>
        <v/>
      </c>
      <c r="BO208" s="680">
        <f>-BO204</f>
        <v/>
      </c>
      <c r="BP208" s="680">
        <f>-BP204</f>
        <v/>
      </c>
      <c r="BQ208" s="680">
        <f>-BQ204</f>
        <v/>
      </c>
      <c r="BR208" s="680">
        <f>-BR204</f>
        <v/>
      </c>
      <c r="BS208" s="680">
        <f>-BS204</f>
        <v/>
      </c>
      <c r="BT208" s="680">
        <f>-BT204</f>
        <v/>
      </c>
      <c r="BU208" s="680">
        <f>-BU204</f>
        <v/>
      </c>
      <c r="BV208" s="680">
        <f>-BV204</f>
        <v/>
      </c>
      <c r="BW208" s="680">
        <f>-BW204</f>
        <v/>
      </c>
      <c r="BX208" s="680">
        <f>-BX204</f>
        <v/>
      </c>
      <c r="BY208" s="680">
        <f>-BY204</f>
        <v/>
      </c>
      <c r="BZ208" s="680">
        <f>-BZ204</f>
        <v/>
      </c>
      <c r="CA208" s="680">
        <f>-CA204</f>
        <v/>
      </c>
      <c r="CB208" s="680">
        <f>-CB204</f>
        <v/>
      </c>
      <c r="CC208" s="680">
        <f>-CC204</f>
        <v/>
      </c>
      <c r="CD208" s="680">
        <f>-CD204</f>
        <v/>
      </c>
      <c r="CE208" s="680">
        <f>-CE204</f>
        <v/>
      </c>
      <c r="CF208" s="680">
        <f>-CF204</f>
        <v/>
      </c>
      <c r="CG208" s="680">
        <f>-CG204</f>
        <v/>
      </c>
      <c r="CH208" s="680">
        <f>-CH204</f>
        <v/>
      </c>
      <c r="CI208" s="680">
        <f>-CI204</f>
        <v/>
      </c>
      <c r="CJ208" s="680">
        <f>-CJ204</f>
        <v/>
      </c>
      <c r="CK208" s="680">
        <f>-CK204</f>
        <v/>
      </c>
      <c r="CL208" s="680">
        <f>-CL204</f>
        <v/>
      </c>
      <c r="CM208" s="680">
        <f>-CM204</f>
        <v/>
      </c>
      <c r="CN208" s="680">
        <f>-CN204</f>
        <v/>
      </c>
      <c r="CO208" s="680">
        <f>-CO204</f>
        <v/>
      </c>
      <c r="CP208" s="680">
        <f>-CP204</f>
        <v/>
      </c>
      <c r="CQ208" s="680">
        <f>-CQ204</f>
        <v/>
      </c>
      <c r="CR208" s="680">
        <f>-CR204</f>
        <v/>
      </c>
      <c r="CS208" s="680">
        <f>-CS204</f>
        <v/>
      </c>
      <c r="CT208" s="680">
        <f>-CT204</f>
        <v/>
      </c>
      <c r="CU208" s="680">
        <f>-CU204</f>
        <v/>
      </c>
      <c r="CV208" s="680">
        <f>-CV204</f>
        <v/>
      </c>
      <c r="CW208" s="680">
        <f>-CW204</f>
        <v/>
      </c>
      <c r="CX208" s="680">
        <f>-CX204</f>
        <v/>
      </c>
      <c r="CY208" s="680">
        <f>-CY204</f>
        <v/>
      </c>
      <c r="CZ208" s="680">
        <f>-CZ204</f>
        <v/>
      </c>
      <c r="DA208" s="680">
        <f>-DA204</f>
        <v/>
      </c>
      <c r="DB208" s="680">
        <f>-DB204</f>
        <v/>
      </c>
      <c r="DC208" s="680">
        <f>-DC204</f>
        <v/>
      </c>
      <c r="DD208" s="680">
        <f>-DD204</f>
        <v/>
      </c>
      <c r="DE208" s="680">
        <f>-DE204</f>
        <v/>
      </c>
      <c r="DF208" s="680">
        <f>-DF204</f>
        <v/>
      </c>
      <c r="DG208" s="680">
        <f>-DG204</f>
        <v/>
      </c>
      <c r="DH208" s="680">
        <f>-DH204</f>
        <v/>
      </c>
      <c r="DI208" s="680">
        <f>-DI204</f>
        <v/>
      </c>
      <c r="DJ208" s="680">
        <f>-DJ204</f>
        <v/>
      </c>
      <c r="DK208" s="680">
        <f>-DK204</f>
        <v/>
      </c>
      <c r="DL208" s="680">
        <f>-DL204</f>
        <v/>
      </c>
      <c r="DM208" s="680">
        <f>-DM204</f>
        <v/>
      </c>
      <c r="DN208" s="680">
        <f>-DN204</f>
        <v/>
      </c>
      <c r="DO208" s="680">
        <f>-DO204</f>
        <v/>
      </c>
      <c r="DP208" s="680">
        <f>-DP204</f>
        <v/>
      </c>
      <c r="DQ208" s="680">
        <f>-DQ204</f>
        <v/>
      </c>
      <c r="DR208" s="680">
        <f>-DR204</f>
        <v/>
      </c>
      <c r="DS208" s="680">
        <f>-DS204</f>
        <v/>
      </c>
      <c r="DT208" s="680">
        <f>-DT204</f>
        <v/>
      </c>
      <c r="DU208" s="680">
        <f>-DU204</f>
        <v/>
      </c>
      <c r="DV208" s="680">
        <f>-DV204</f>
        <v/>
      </c>
      <c r="DW208" s="322" t="inlineStr">
        <is>
          <t>x</t>
        </is>
      </c>
    </row>
    <row r="209" hidden="1" outlineLevel="1">
      <c r="C209" s="374">
        <f>C191</f>
        <v/>
      </c>
      <c r="D209" s="486">
        <f>1-SUM(D208,D210)</f>
        <v/>
      </c>
      <c r="E209" s="468">
        <f>SUM(F209:DV209)</f>
        <v/>
      </c>
      <c r="F209" s="468" t="n">
        <v>0</v>
      </c>
      <c r="G209" s="468">
        <f>(G208/$D$208)*$D$209</f>
        <v/>
      </c>
      <c r="H209" s="468">
        <f>(H208/$D$208)*$D$209</f>
        <v/>
      </c>
      <c r="I209" s="468">
        <f>(I208/$D$208)*$D$209</f>
        <v/>
      </c>
      <c r="J209" s="468">
        <f>(J208/$D$208)*$D$209</f>
        <v/>
      </c>
      <c r="K209" s="468">
        <f>(K208/$D$208)*$D$209</f>
        <v/>
      </c>
      <c r="L209" s="468">
        <f>(L208/$D$208)*$D$209</f>
        <v/>
      </c>
      <c r="M209" s="468">
        <f>(M208/$D$208)*$D$209</f>
        <v/>
      </c>
      <c r="N209" s="468">
        <f>(N208/$D$208)*$D$209</f>
        <v/>
      </c>
      <c r="O209" s="468">
        <f>(O208/$D$208)*$D$209</f>
        <v/>
      </c>
      <c r="P209" s="468">
        <f>(P208/$D$208)*$D$209</f>
        <v/>
      </c>
      <c r="Q209" s="468">
        <f>(Q208/$D$208)*$D$209</f>
        <v/>
      </c>
      <c r="R209" s="468">
        <f>(R208/$D$208)*$D$209</f>
        <v/>
      </c>
      <c r="S209" s="468">
        <f>(S208/$D$208)*$D$209</f>
        <v/>
      </c>
      <c r="T209" s="468">
        <f>(T208/$D$208)*$D$209</f>
        <v/>
      </c>
      <c r="U209" s="468">
        <f>(U208/$D$208)*$D$209</f>
        <v/>
      </c>
      <c r="V209" s="468">
        <f>(V208/$D$208)*$D$209</f>
        <v/>
      </c>
      <c r="W209" s="468">
        <f>(W208/$D$208)*$D$209</f>
        <v/>
      </c>
      <c r="X209" s="468">
        <f>(X208/$D$208)*$D$209</f>
        <v/>
      </c>
      <c r="Y209" s="468">
        <f>(Y208/$D$208)*$D$209</f>
        <v/>
      </c>
      <c r="Z209" s="468">
        <f>(Z208/$D$208)*$D$209</f>
        <v/>
      </c>
      <c r="AA209" s="468">
        <f>(AA208/$D$208)*$D$209</f>
        <v/>
      </c>
      <c r="AB209" s="468">
        <f>(AB208/$D$208)*$D$209</f>
        <v/>
      </c>
      <c r="AC209" s="468">
        <f>(AC208/$D$208)*$D$209</f>
        <v/>
      </c>
      <c r="AD209" s="468">
        <f>(AD208/$D$208)*$D$209</f>
        <v/>
      </c>
      <c r="AE209" s="468">
        <f>(AE208/$D$208)*$D$209</f>
        <v/>
      </c>
      <c r="AF209" s="468">
        <f>(AF208/$D$208)*$D$209</f>
        <v/>
      </c>
      <c r="AG209" s="468">
        <f>(AG208/$D$208)*$D$209</f>
        <v/>
      </c>
      <c r="AH209" s="468">
        <f>(AH208/$D$208)*$D$209</f>
        <v/>
      </c>
      <c r="AI209" s="468">
        <f>(AI208/$D$208)*$D$209</f>
        <v/>
      </c>
      <c r="AJ209" s="468">
        <f>(AJ208/$D$208)*$D$209</f>
        <v/>
      </c>
      <c r="AK209" s="468">
        <f>(AK208/$D$208)*$D$209</f>
        <v/>
      </c>
      <c r="AL209" s="468">
        <f>(AL208/$D$208)*$D$209</f>
        <v/>
      </c>
      <c r="AM209" s="468">
        <f>(AM208/$D$208)*$D$209</f>
        <v/>
      </c>
      <c r="AN209" s="468">
        <f>(AN208/$D$208)*$D$209</f>
        <v/>
      </c>
      <c r="AO209" s="468">
        <f>(AO208/$D$208)*$D$209</f>
        <v/>
      </c>
      <c r="AP209" s="468">
        <f>(AP208/$D$208)*$D$209</f>
        <v/>
      </c>
      <c r="AQ209" s="468">
        <f>(AQ208/$D$208)*$D$209</f>
        <v/>
      </c>
      <c r="AR209" s="468">
        <f>(AR208/$D$208)*$D$209</f>
        <v/>
      </c>
      <c r="AS209" s="468">
        <f>(AS208/$D$208)*$D$209</f>
        <v/>
      </c>
      <c r="AT209" s="468">
        <f>(AT208/$D$208)*$D$209</f>
        <v/>
      </c>
      <c r="AU209" s="468">
        <f>(AU208/$D$208)*$D$209</f>
        <v/>
      </c>
      <c r="AV209" s="468">
        <f>(AV208/$D$208)*$D$209</f>
        <v/>
      </c>
      <c r="AW209" s="468">
        <f>(AW208/$D$208)*$D$209</f>
        <v/>
      </c>
      <c r="AX209" s="468">
        <f>(AX208/$D$208)*$D$209</f>
        <v/>
      </c>
      <c r="AY209" s="468">
        <f>(AY208/$D$208)*$D$209</f>
        <v/>
      </c>
      <c r="AZ209" s="468">
        <f>(AZ208/$D$208)*$D$209</f>
        <v/>
      </c>
      <c r="BA209" s="468">
        <f>(BA208/$D$208)*$D$209</f>
        <v/>
      </c>
      <c r="BB209" s="468">
        <f>(BB208/$D$208)*$D$209</f>
        <v/>
      </c>
      <c r="BC209" s="468">
        <f>(BC208/$D$208)*$D$209</f>
        <v/>
      </c>
      <c r="BD209" s="468">
        <f>(BD208/$D$208)*$D$209</f>
        <v/>
      </c>
      <c r="BE209" s="468">
        <f>(BE208/$D$208)*$D$209</f>
        <v/>
      </c>
      <c r="BF209" s="468">
        <f>(BF208/$D$208)*$D$209</f>
        <v/>
      </c>
      <c r="BG209" s="468">
        <f>(BG208/$D$208)*$D$209</f>
        <v/>
      </c>
      <c r="BH209" s="468">
        <f>(BH208/$D$208)*$D$209</f>
        <v/>
      </c>
      <c r="BI209" s="468">
        <f>(BI208/$D$208)*$D$209</f>
        <v/>
      </c>
      <c r="BJ209" s="468">
        <f>(BJ208/$D$208)*$D$209</f>
        <v/>
      </c>
      <c r="BK209" s="468">
        <f>(BK208/$D$208)*$D$209</f>
        <v/>
      </c>
      <c r="BL209" s="468">
        <f>(BL208/$D$208)*$D$209</f>
        <v/>
      </c>
      <c r="BM209" s="468">
        <f>(BM208/$D$208)*$D$209</f>
        <v/>
      </c>
      <c r="BN209" s="468">
        <f>(BN208/$D$208)*$D$209</f>
        <v/>
      </c>
      <c r="BO209" s="468">
        <f>(BO208/$D$208)*$D$209</f>
        <v/>
      </c>
      <c r="BP209" s="468">
        <f>(BP208/$D$208)*$D$209</f>
        <v/>
      </c>
      <c r="BQ209" s="468">
        <f>(BQ208/$D$208)*$D$209</f>
        <v/>
      </c>
      <c r="BR209" s="468">
        <f>(BR208/$D$208)*$D$209</f>
        <v/>
      </c>
      <c r="BS209" s="468">
        <f>(BS208/$D$208)*$D$209</f>
        <v/>
      </c>
      <c r="BT209" s="468">
        <f>(BT208/$D$208)*$D$209</f>
        <v/>
      </c>
      <c r="BU209" s="468">
        <f>(BU208/$D$208)*$D$209</f>
        <v/>
      </c>
      <c r="BV209" s="468">
        <f>(BV208/$D$208)*$D$209</f>
        <v/>
      </c>
      <c r="BW209" s="468">
        <f>(BW208/$D$208)*$D$209</f>
        <v/>
      </c>
      <c r="BX209" s="468">
        <f>(BX208/$D$208)*$D$209</f>
        <v/>
      </c>
      <c r="BY209" s="468">
        <f>(BY208/$D$208)*$D$209</f>
        <v/>
      </c>
      <c r="BZ209" s="468">
        <f>(BZ208/$D$208)*$D$209</f>
        <v/>
      </c>
      <c r="CA209" s="468">
        <f>(CA208/$D$208)*$D$209</f>
        <v/>
      </c>
      <c r="CB209" s="468">
        <f>(CB208/$D$208)*$D$209</f>
        <v/>
      </c>
      <c r="CC209" s="468">
        <f>(CC208/$D$208)*$D$209</f>
        <v/>
      </c>
      <c r="CD209" s="468">
        <f>(CD208/$D$208)*$D$209</f>
        <v/>
      </c>
      <c r="CE209" s="468">
        <f>(CE208/$D$208)*$D$209</f>
        <v/>
      </c>
      <c r="CF209" s="468">
        <f>(CF208/$D$208)*$D$209</f>
        <v/>
      </c>
      <c r="CG209" s="468">
        <f>(CG208/$D$208)*$D$209</f>
        <v/>
      </c>
      <c r="CH209" s="468">
        <f>(CH208/$D$208)*$D$209</f>
        <v/>
      </c>
      <c r="CI209" s="468">
        <f>(CI208/$D$208)*$D$209</f>
        <v/>
      </c>
      <c r="CJ209" s="468">
        <f>(CJ208/$D$208)*$D$209</f>
        <v/>
      </c>
      <c r="CK209" s="468">
        <f>(CK208/$D$208)*$D$209</f>
        <v/>
      </c>
      <c r="CL209" s="468">
        <f>(CL208/$D$208)*$D$209</f>
        <v/>
      </c>
      <c r="CM209" s="468">
        <f>(CM208/$D$208)*$D$209</f>
        <v/>
      </c>
      <c r="CN209" s="468">
        <f>(CN208/$D$208)*$D$209</f>
        <v/>
      </c>
      <c r="CO209" s="468">
        <f>(CO208/$D$208)*$D$209</f>
        <v/>
      </c>
      <c r="CP209" s="468">
        <f>(CP208/$D$208)*$D$209</f>
        <v/>
      </c>
      <c r="CQ209" s="468">
        <f>(CQ208/$D$208)*$D$209</f>
        <v/>
      </c>
      <c r="CR209" s="468">
        <f>(CR208/$D$208)*$D$209</f>
        <v/>
      </c>
      <c r="CS209" s="468">
        <f>(CS208/$D$208)*$D$209</f>
        <v/>
      </c>
      <c r="CT209" s="468">
        <f>(CT208/$D$208)*$D$209</f>
        <v/>
      </c>
      <c r="CU209" s="468">
        <f>(CU208/$D$208)*$D$209</f>
        <v/>
      </c>
      <c r="CV209" s="468">
        <f>(CV208/$D$208)*$D$209</f>
        <v/>
      </c>
      <c r="CW209" s="468">
        <f>(CW208/$D$208)*$D$209</f>
        <v/>
      </c>
      <c r="CX209" s="468">
        <f>(CX208/$D$208)*$D$209</f>
        <v/>
      </c>
      <c r="CY209" s="468">
        <f>(CY208/$D$208)*$D$209</f>
        <v/>
      </c>
      <c r="CZ209" s="468">
        <f>(CZ208/$D$208)*$D$209</f>
        <v/>
      </c>
      <c r="DA209" s="468">
        <f>(DA208/$D$208)*$D$209</f>
        <v/>
      </c>
      <c r="DB209" s="468">
        <f>(DB208/$D$208)*$D$209</f>
        <v/>
      </c>
      <c r="DC209" s="468">
        <f>(DC208/$D$208)*$D$209</f>
        <v/>
      </c>
      <c r="DD209" s="468">
        <f>(DD208/$D$208)*$D$209</f>
        <v/>
      </c>
      <c r="DE209" s="468">
        <f>(DE208/$D$208)*$D$209</f>
        <v/>
      </c>
      <c r="DF209" s="468">
        <f>(DF208/$D$208)*$D$209</f>
        <v/>
      </c>
      <c r="DG209" s="468">
        <f>(DG208/$D$208)*$D$209</f>
        <v/>
      </c>
      <c r="DH209" s="468">
        <f>(DH208/$D$208)*$D$209</f>
        <v/>
      </c>
      <c r="DI209" s="468">
        <f>(DI208/$D$208)*$D$209</f>
        <v/>
      </c>
      <c r="DJ209" s="468">
        <f>(DJ208/$D$208)*$D$209</f>
        <v/>
      </c>
      <c r="DK209" s="468">
        <f>(DK208/$D$208)*$D$209</f>
        <v/>
      </c>
      <c r="DL209" s="468">
        <f>(DL208/$D$208)*$D$209</f>
        <v/>
      </c>
      <c r="DM209" s="468">
        <f>(DM208/$D$208)*$D$209</f>
        <v/>
      </c>
      <c r="DN209" s="468">
        <f>(DN208/$D$208)*$D$209</f>
        <v/>
      </c>
      <c r="DO209" s="468">
        <f>(DO208/$D$208)*$D$209</f>
        <v/>
      </c>
      <c r="DP209" s="468">
        <f>(DP208/$D$208)*$D$209</f>
        <v/>
      </c>
      <c r="DQ209" s="468">
        <f>(DQ208/$D$208)*$D$209</f>
        <v/>
      </c>
      <c r="DR209" s="468">
        <f>(DR208/$D$208)*$D$209</f>
        <v/>
      </c>
      <c r="DS209" s="468">
        <f>(DS208/$D$208)*$D$209</f>
        <v/>
      </c>
      <c r="DT209" s="468">
        <f>(DT208/$D$208)*$D$209</f>
        <v/>
      </c>
      <c r="DU209" s="468">
        <f>(DU208/$D$208)*$D$209</f>
        <v/>
      </c>
      <c r="DV209" s="468">
        <f>(DV208/$D$208)*$D$209</f>
        <v/>
      </c>
      <c r="DW209" s="322" t="inlineStr">
        <is>
          <t>x</t>
        </is>
      </c>
    </row>
    <row r="210" hidden="1" outlineLevel="1">
      <c r="C210" s="374">
        <f>C159</f>
        <v/>
      </c>
      <c r="D210" s="486">
        <f>G41</f>
        <v/>
      </c>
      <c r="E210" s="468">
        <f>SUM(F210:DV210)</f>
        <v/>
      </c>
      <c r="F210" s="468" t="n">
        <v>0</v>
      </c>
      <c r="G210" s="468">
        <f>(G208/$D$208)*$D$210</f>
        <v/>
      </c>
      <c r="H210" s="468">
        <f>(H208/$D$208)*$D$210</f>
        <v/>
      </c>
      <c r="I210" s="468">
        <f>(I208/$D$208)*$D$210</f>
        <v/>
      </c>
      <c r="J210" s="468">
        <f>(J208/$D$208)*$D$210</f>
        <v/>
      </c>
      <c r="K210" s="468">
        <f>(K208/$D$208)*$D$210</f>
        <v/>
      </c>
      <c r="L210" s="468">
        <f>(L208/$D$208)*$D$210</f>
        <v/>
      </c>
      <c r="M210" s="468">
        <f>(M208/$D$208)*$D$210</f>
        <v/>
      </c>
      <c r="N210" s="468">
        <f>(N208/$D$208)*$D$210</f>
        <v/>
      </c>
      <c r="O210" s="468">
        <f>(O208/$D$208)*$D$210</f>
        <v/>
      </c>
      <c r="P210" s="468">
        <f>(P208/$D$208)*$D$210</f>
        <v/>
      </c>
      <c r="Q210" s="468">
        <f>(Q208/$D$208)*$D$210</f>
        <v/>
      </c>
      <c r="R210" s="468">
        <f>(R208/$D$208)*$D$210</f>
        <v/>
      </c>
      <c r="S210" s="468">
        <f>(S208/$D$208)*$D$210</f>
        <v/>
      </c>
      <c r="T210" s="468">
        <f>(T208/$D$208)*$D$210</f>
        <v/>
      </c>
      <c r="U210" s="468">
        <f>(U208/$D$208)*$D$210</f>
        <v/>
      </c>
      <c r="V210" s="468">
        <f>(V208/$D$208)*$D$210</f>
        <v/>
      </c>
      <c r="W210" s="468">
        <f>(W208/$D$208)*$D$210</f>
        <v/>
      </c>
      <c r="X210" s="468">
        <f>(X208/$D$208)*$D$210</f>
        <v/>
      </c>
      <c r="Y210" s="468">
        <f>(Y208/$D$208)*$D$210</f>
        <v/>
      </c>
      <c r="Z210" s="468">
        <f>(Z208/$D$208)*$D$210</f>
        <v/>
      </c>
      <c r="AA210" s="468">
        <f>(AA208/$D$208)*$D$210</f>
        <v/>
      </c>
      <c r="AB210" s="468">
        <f>(AB208/$D$208)*$D$210</f>
        <v/>
      </c>
      <c r="AC210" s="468">
        <f>(AC208/$D$208)*$D$210</f>
        <v/>
      </c>
      <c r="AD210" s="468">
        <f>(AD208/$D$208)*$D$210</f>
        <v/>
      </c>
      <c r="AE210" s="468">
        <f>(AE208/$D$208)*$D$210</f>
        <v/>
      </c>
      <c r="AF210" s="468">
        <f>(AF208/$D$208)*$D$210</f>
        <v/>
      </c>
      <c r="AG210" s="468">
        <f>(AG208/$D$208)*$D$210</f>
        <v/>
      </c>
      <c r="AH210" s="468">
        <f>(AH208/$D$208)*$D$210</f>
        <v/>
      </c>
      <c r="AI210" s="468">
        <f>(AI208/$D$208)*$D$210</f>
        <v/>
      </c>
      <c r="AJ210" s="468">
        <f>(AJ208/$D$208)*$D$210</f>
        <v/>
      </c>
      <c r="AK210" s="468">
        <f>(AK208/$D$208)*$D$210</f>
        <v/>
      </c>
      <c r="AL210" s="468">
        <f>(AL208/$D$208)*$D$210</f>
        <v/>
      </c>
      <c r="AM210" s="468">
        <f>(AM208/$D$208)*$D$210</f>
        <v/>
      </c>
      <c r="AN210" s="468">
        <f>(AN208/$D$208)*$D$210</f>
        <v/>
      </c>
      <c r="AO210" s="468">
        <f>(AO208/$D$208)*$D$210</f>
        <v/>
      </c>
      <c r="AP210" s="468">
        <f>(AP208/$D$208)*$D$210</f>
        <v/>
      </c>
      <c r="AQ210" s="468">
        <f>(AQ208/$D$208)*$D$210</f>
        <v/>
      </c>
      <c r="AR210" s="468">
        <f>(AR208/$D$208)*$D$210</f>
        <v/>
      </c>
      <c r="AS210" s="468">
        <f>(AS208/$D$208)*$D$210</f>
        <v/>
      </c>
      <c r="AT210" s="468">
        <f>(AT208/$D$208)*$D$210</f>
        <v/>
      </c>
      <c r="AU210" s="468">
        <f>(AU208/$D$208)*$D$210</f>
        <v/>
      </c>
      <c r="AV210" s="468">
        <f>(AV208/$D$208)*$D$210</f>
        <v/>
      </c>
      <c r="AW210" s="468">
        <f>(AW208/$D$208)*$D$210</f>
        <v/>
      </c>
      <c r="AX210" s="468">
        <f>(AX208/$D$208)*$D$210</f>
        <v/>
      </c>
      <c r="AY210" s="468">
        <f>(AY208/$D$208)*$D$210</f>
        <v/>
      </c>
      <c r="AZ210" s="468">
        <f>(AZ208/$D$208)*$D$210</f>
        <v/>
      </c>
      <c r="BA210" s="468">
        <f>(BA208/$D$208)*$D$210</f>
        <v/>
      </c>
      <c r="BB210" s="468">
        <f>(BB208/$D$208)*$D$210</f>
        <v/>
      </c>
      <c r="BC210" s="468">
        <f>(BC208/$D$208)*$D$210</f>
        <v/>
      </c>
      <c r="BD210" s="468">
        <f>(BD208/$D$208)*$D$210</f>
        <v/>
      </c>
      <c r="BE210" s="468">
        <f>(BE208/$D$208)*$D$210</f>
        <v/>
      </c>
      <c r="BF210" s="468">
        <f>(BF208/$D$208)*$D$210</f>
        <v/>
      </c>
      <c r="BG210" s="468">
        <f>(BG208/$D$208)*$D$210</f>
        <v/>
      </c>
      <c r="BH210" s="468">
        <f>(BH208/$D$208)*$D$210</f>
        <v/>
      </c>
      <c r="BI210" s="468">
        <f>(BI208/$D$208)*$D$210</f>
        <v/>
      </c>
      <c r="BJ210" s="468">
        <f>(BJ208/$D$208)*$D$210</f>
        <v/>
      </c>
      <c r="BK210" s="468">
        <f>(BK208/$D$208)*$D$210</f>
        <v/>
      </c>
      <c r="BL210" s="468">
        <f>(BL208/$D$208)*$D$210</f>
        <v/>
      </c>
      <c r="BM210" s="468">
        <f>(BM208/$D$208)*$D$210</f>
        <v/>
      </c>
      <c r="BN210" s="468">
        <f>(BN208/$D$208)*$D$210</f>
        <v/>
      </c>
      <c r="BO210" s="468">
        <f>(BO208/$D$208)*$D$210</f>
        <v/>
      </c>
      <c r="BP210" s="468">
        <f>(BP208/$D$208)*$D$210</f>
        <v/>
      </c>
      <c r="BQ210" s="468">
        <f>(BQ208/$D$208)*$D$210</f>
        <v/>
      </c>
      <c r="BR210" s="468">
        <f>(BR208/$D$208)*$D$210</f>
        <v/>
      </c>
      <c r="BS210" s="468">
        <f>(BS208/$D$208)*$D$210</f>
        <v/>
      </c>
      <c r="BT210" s="468">
        <f>(BT208/$D$208)*$D$210</f>
        <v/>
      </c>
      <c r="BU210" s="468">
        <f>(BU208/$D$208)*$D$210</f>
        <v/>
      </c>
      <c r="BV210" s="468">
        <f>(BV208/$D$208)*$D$210</f>
        <v/>
      </c>
      <c r="BW210" s="468">
        <f>(BW208/$D$208)*$D$210</f>
        <v/>
      </c>
      <c r="BX210" s="468">
        <f>(BX208/$D$208)*$D$210</f>
        <v/>
      </c>
      <c r="BY210" s="468">
        <f>(BY208/$D$208)*$D$210</f>
        <v/>
      </c>
      <c r="BZ210" s="468">
        <f>(BZ208/$D$208)*$D$210</f>
        <v/>
      </c>
      <c r="CA210" s="468">
        <f>(CA208/$D$208)*$D$210</f>
        <v/>
      </c>
      <c r="CB210" s="468">
        <f>(CB208/$D$208)*$D$210</f>
        <v/>
      </c>
      <c r="CC210" s="468">
        <f>(CC208/$D$208)*$D$210</f>
        <v/>
      </c>
      <c r="CD210" s="468">
        <f>(CD208/$D$208)*$D$210</f>
        <v/>
      </c>
      <c r="CE210" s="468">
        <f>(CE208/$D$208)*$D$210</f>
        <v/>
      </c>
      <c r="CF210" s="468">
        <f>(CF208/$D$208)*$D$210</f>
        <v/>
      </c>
      <c r="CG210" s="468">
        <f>(CG208/$D$208)*$D$210</f>
        <v/>
      </c>
      <c r="CH210" s="468">
        <f>(CH208/$D$208)*$D$210</f>
        <v/>
      </c>
      <c r="CI210" s="468">
        <f>(CI208/$D$208)*$D$210</f>
        <v/>
      </c>
      <c r="CJ210" s="468">
        <f>(CJ208/$D$208)*$D$210</f>
        <v/>
      </c>
      <c r="CK210" s="468">
        <f>(CK208/$D$208)*$D$210</f>
        <v/>
      </c>
      <c r="CL210" s="468">
        <f>(CL208/$D$208)*$D$210</f>
        <v/>
      </c>
      <c r="CM210" s="468">
        <f>(CM208/$D$208)*$D$210</f>
        <v/>
      </c>
      <c r="CN210" s="468">
        <f>(CN208/$D$208)*$D$210</f>
        <v/>
      </c>
      <c r="CO210" s="468">
        <f>(CO208/$D$208)*$D$210</f>
        <v/>
      </c>
      <c r="CP210" s="468">
        <f>(CP208/$D$208)*$D$210</f>
        <v/>
      </c>
      <c r="CQ210" s="468">
        <f>(CQ208/$D$208)*$D$210</f>
        <v/>
      </c>
      <c r="CR210" s="468">
        <f>(CR208/$D$208)*$D$210</f>
        <v/>
      </c>
      <c r="CS210" s="468">
        <f>(CS208/$D$208)*$D$210</f>
        <v/>
      </c>
      <c r="CT210" s="468">
        <f>(CT208/$D$208)*$D$210</f>
        <v/>
      </c>
      <c r="CU210" s="468">
        <f>(CU208/$D$208)*$D$210</f>
        <v/>
      </c>
      <c r="CV210" s="468">
        <f>(CV208/$D$208)*$D$210</f>
        <v/>
      </c>
      <c r="CW210" s="468">
        <f>(CW208/$D$208)*$D$210</f>
        <v/>
      </c>
      <c r="CX210" s="468">
        <f>(CX208/$D$208)*$D$210</f>
        <v/>
      </c>
      <c r="CY210" s="468">
        <f>(CY208/$D$208)*$D$210</f>
        <v/>
      </c>
      <c r="CZ210" s="468">
        <f>(CZ208/$D$208)*$D$210</f>
        <v/>
      </c>
      <c r="DA210" s="468">
        <f>(DA208/$D$208)*$D$210</f>
        <v/>
      </c>
      <c r="DB210" s="468">
        <f>(DB208/$D$208)*$D$210</f>
        <v/>
      </c>
      <c r="DC210" s="468">
        <f>(DC208/$D$208)*$D$210</f>
        <v/>
      </c>
      <c r="DD210" s="468">
        <f>(DD208/$D$208)*$D$210</f>
        <v/>
      </c>
      <c r="DE210" s="468">
        <f>(DE208/$D$208)*$D$210</f>
        <v/>
      </c>
      <c r="DF210" s="468">
        <f>(DF208/$D$208)*$D$210</f>
        <v/>
      </c>
      <c r="DG210" s="468">
        <f>(DG208/$D$208)*$D$210</f>
        <v/>
      </c>
      <c r="DH210" s="468">
        <f>(DH208/$D$208)*$D$210</f>
        <v/>
      </c>
      <c r="DI210" s="468">
        <f>(DI208/$D$208)*$D$210</f>
        <v/>
      </c>
      <c r="DJ210" s="468">
        <f>(DJ208/$D$208)*$D$210</f>
        <v/>
      </c>
      <c r="DK210" s="468">
        <f>(DK208/$D$208)*$D$210</f>
        <v/>
      </c>
      <c r="DL210" s="468">
        <f>(DL208/$D$208)*$D$210</f>
        <v/>
      </c>
      <c r="DM210" s="468">
        <f>(DM208/$D$208)*$D$210</f>
        <v/>
      </c>
      <c r="DN210" s="468">
        <f>(DN208/$D$208)*$D$210</f>
        <v/>
      </c>
      <c r="DO210" s="468">
        <f>(DO208/$D$208)*$D$210</f>
        <v/>
      </c>
      <c r="DP210" s="468">
        <f>(DP208/$D$208)*$D$210</f>
        <v/>
      </c>
      <c r="DQ210" s="468">
        <f>(DQ208/$D$208)*$D$210</f>
        <v/>
      </c>
      <c r="DR210" s="468">
        <f>(DR208/$D$208)*$D$210</f>
        <v/>
      </c>
      <c r="DS210" s="468">
        <f>(DS208/$D$208)*$D$210</f>
        <v/>
      </c>
      <c r="DT210" s="468">
        <f>(DT208/$D$208)*$D$210</f>
        <v/>
      </c>
      <c r="DU210" s="468">
        <f>(DU208/$D$208)*$D$210</f>
        <v/>
      </c>
      <c r="DV210" s="468">
        <f>(DV208/$D$208)*$D$210</f>
        <v/>
      </c>
      <c r="DW210" s="322" t="inlineStr">
        <is>
          <t>x</t>
        </is>
      </c>
    </row>
    <row r="211" hidden="1" outlineLevel="1" ht="17.25" customHeight="1" thickBot="1">
      <c r="C211" s="365" t="inlineStr">
        <is>
          <t>Total Splits</t>
        </is>
      </c>
      <c r="D211" s="486" t="n"/>
      <c r="E211" s="658">
        <f>SUM(E208:E210)</f>
        <v/>
      </c>
      <c r="F211" s="658">
        <f>SUM(F208:F210)</f>
        <v/>
      </c>
      <c r="G211" s="658">
        <f>SUM(G208:G210)</f>
        <v/>
      </c>
      <c r="H211" s="658">
        <f>SUM(H208:H210)</f>
        <v/>
      </c>
      <c r="I211" s="658">
        <f>SUM(I208:I210)</f>
        <v/>
      </c>
      <c r="J211" s="658">
        <f>SUM(J208:J210)</f>
        <v/>
      </c>
      <c r="K211" s="658">
        <f>SUM(K208:K210)</f>
        <v/>
      </c>
      <c r="L211" s="658">
        <f>SUM(L208:L210)</f>
        <v/>
      </c>
      <c r="M211" s="658">
        <f>SUM(M208:M210)</f>
        <v/>
      </c>
      <c r="N211" s="658">
        <f>SUM(N208:N210)</f>
        <v/>
      </c>
      <c r="O211" s="658">
        <f>SUM(O208:O210)</f>
        <v/>
      </c>
      <c r="P211" s="658">
        <f>SUM(P208:P210)</f>
        <v/>
      </c>
      <c r="Q211" s="658">
        <f>SUM(Q208:Q210)</f>
        <v/>
      </c>
      <c r="R211" s="658">
        <f>SUM(R208:R210)</f>
        <v/>
      </c>
      <c r="S211" s="658">
        <f>SUM(S208:S210)</f>
        <v/>
      </c>
      <c r="T211" s="658">
        <f>SUM(T208:T210)</f>
        <v/>
      </c>
      <c r="U211" s="658">
        <f>SUM(U208:U210)</f>
        <v/>
      </c>
      <c r="V211" s="658">
        <f>SUM(V208:V210)</f>
        <v/>
      </c>
      <c r="W211" s="658">
        <f>SUM(W208:W210)</f>
        <v/>
      </c>
      <c r="X211" s="658">
        <f>SUM(X208:X210)</f>
        <v/>
      </c>
      <c r="Y211" s="658">
        <f>SUM(Y208:Y210)</f>
        <v/>
      </c>
      <c r="Z211" s="658">
        <f>SUM(Z208:Z210)</f>
        <v/>
      </c>
      <c r="AA211" s="658">
        <f>SUM(AA208:AA210)</f>
        <v/>
      </c>
      <c r="AB211" s="658">
        <f>SUM(AB208:AB210)</f>
        <v/>
      </c>
      <c r="AC211" s="658">
        <f>SUM(AC208:AC210)</f>
        <v/>
      </c>
      <c r="AD211" s="658">
        <f>SUM(AD208:AD210)</f>
        <v/>
      </c>
      <c r="AE211" s="658">
        <f>SUM(AE208:AE210)</f>
        <v/>
      </c>
      <c r="AF211" s="658">
        <f>SUM(AF208:AF210)</f>
        <v/>
      </c>
      <c r="AG211" s="658">
        <f>SUM(AG208:AG210)</f>
        <v/>
      </c>
      <c r="AH211" s="658">
        <f>SUM(AH208:AH210)</f>
        <v/>
      </c>
      <c r="AI211" s="658">
        <f>SUM(AI208:AI210)</f>
        <v/>
      </c>
      <c r="AJ211" s="658">
        <f>SUM(AJ208:AJ210)</f>
        <v/>
      </c>
      <c r="AK211" s="658">
        <f>SUM(AK208:AK210)</f>
        <v/>
      </c>
      <c r="AL211" s="658">
        <f>SUM(AL208:AL210)</f>
        <v/>
      </c>
      <c r="AM211" s="658">
        <f>SUM(AM208:AM210)</f>
        <v/>
      </c>
      <c r="AN211" s="658">
        <f>SUM(AN208:AN210)</f>
        <v/>
      </c>
      <c r="AO211" s="658">
        <f>SUM(AO208:AO210)</f>
        <v/>
      </c>
      <c r="AP211" s="658">
        <f>SUM(AP208:AP210)</f>
        <v/>
      </c>
      <c r="AQ211" s="658">
        <f>SUM(AQ208:AQ210)</f>
        <v/>
      </c>
      <c r="AR211" s="658">
        <f>SUM(AR208:AR210)</f>
        <v/>
      </c>
      <c r="AS211" s="658">
        <f>SUM(AS208:AS210)</f>
        <v/>
      </c>
      <c r="AT211" s="658">
        <f>SUM(AT208:AT210)</f>
        <v/>
      </c>
      <c r="AU211" s="658">
        <f>SUM(AU208:AU210)</f>
        <v/>
      </c>
      <c r="AV211" s="658">
        <f>SUM(AV208:AV210)</f>
        <v/>
      </c>
      <c r="AW211" s="658">
        <f>SUM(AW208:AW210)</f>
        <v/>
      </c>
      <c r="AX211" s="658">
        <f>SUM(AX208:AX210)</f>
        <v/>
      </c>
      <c r="AY211" s="658">
        <f>SUM(AY208:AY210)</f>
        <v/>
      </c>
      <c r="AZ211" s="658">
        <f>SUM(AZ208:AZ210)</f>
        <v/>
      </c>
      <c r="BA211" s="658">
        <f>SUM(BA208:BA210)</f>
        <v/>
      </c>
      <c r="BB211" s="658">
        <f>SUM(BB208:BB210)</f>
        <v/>
      </c>
      <c r="BC211" s="658">
        <f>SUM(BC208:BC210)</f>
        <v/>
      </c>
      <c r="BD211" s="658">
        <f>SUM(BD208:BD210)</f>
        <v/>
      </c>
      <c r="BE211" s="658">
        <f>SUM(BE208:BE210)</f>
        <v/>
      </c>
      <c r="BF211" s="658">
        <f>SUM(BF208:BF210)</f>
        <v/>
      </c>
      <c r="BG211" s="658">
        <f>SUM(BG208:BG210)</f>
        <v/>
      </c>
      <c r="BH211" s="658">
        <f>SUM(BH208:BH210)</f>
        <v/>
      </c>
      <c r="BI211" s="658">
        <f>SUM(BI208:BI210)</f>
        <v/>
      </c>
      <c r="BJ211" s="658">
        <f>SUM(BJ208:BJ210)</f>
        <v/>
      </c>
      <c r="BK211" s="658">
        <f>SUM(BK208:BK210)</f>
        <v/>
      </c>
      <c r="BL211" s="658">
        <f>SUM(BL208:BL210)</f>
        <v/>
      </c>
      <c r="BM211" s="658">
        <f>SUM(BM208:BM210)</f>
        <v/>
      </c>
      <c r="BN211" s="658">
        <f>SUM(BN208:BN210)</f>
        <v/>
      </c>
      <c r="BO211" s="658">
        <f>SUM(BO208:BO210)</f>
        <v/>
      </c>
      <c r="BP211" s="658">
        <f>SUM(BP208:BP210)</f>
        <v/>
      </c>
      <c r="BQ211" s="658">
        <f>SUM(BQ208:BQ210)</f>
        <v/>
      </c>
      <c r="BR211" s="658">
        <f>SUM(BR208:BR210)</f>
        <v/>
      </c>
      <c r="BS211" s="658">
        <f>SUM(BS208:BS210)</f>
        <v/>
      </c>
      <c r="BT211" s="658">
        <f>SUM(BT208:BT210)</f>
        <v/>
      </c>
      <c r="BU211" s="658">
        <f>SUM(BU208:BU210)</f>
        <v/>
      </c>
      <c r="BV211" s="658">
        <f>SUM(BV208:BV210)</f>
        <v/>
      </c>
      <c r="BW211" s="658">
        <f>SUM(BW208:BW210)</f>
        <v/>
      </c>
      <c r="BX211" s="658">
        <f>SUM(BX208:BX210)</f>
        <v/>
      </c>
      <c r="BY211" s="658">
        <f>SUM(BY208:BY210)</f>
        <v/>
      </c>
      <c r="BZ211" s="658">
        <f>SUM(BZ208:BZ210)</f>
        <v/>
      </c>
      <c r="CA211" s="658">
        <f>SUM(CA208:CA210)</f>
        <v/>
      </c>
      <c r="CB211" s="658">
        <f>SUM(CB208:CB210)</f>
        <v/>
      </c>
      <c r="CC211" s="658">
        <f>SUM(CC208:CC210)</f>
        <v/>
      </c>
      <c r="CD211" s="658">
        <f>SUM(CD208:CD210)</f>
        <v/>
      </c>
      <c r="CE211" s="658">
        <f>SUM(CE208:CE210)</f>
        <v/>
      </c>
      <c r="CF211" s="658">
        <f>SUM(CF208:CF210)</f>
        <v/>
      </c>
      <c r="CG211" s="658">
        <f>SUM(CG208:CG210)</f>
        <v/>
      </c>
      <c r="CH211" s="658">
        <f>SUM(CH208:CH210)</f>
        <v/>
      </c>
      <c r="CI211" s="658">
        <f>SUM(CI208:CI210)</f>
        <v/>
      </c>
      <c r="CJ211" s="658">
        <f>SUM(CJ208:CJ210)</f>
        <v/>
      </c>
      <c r="CK211" s="658">
        <f>SUM(CK208:CK210)</f>
        <v/>
      </c>
      <c r="CL211" s="658">
        <f>SUM(CL208:CL210)</f>
        <v/>
      </c>
      <c r="CM211" s="658">
        <f>SUM(CM208:CM210)</f>
        <v/>
      </c>
      <c r="CN211" s="658">
        <f>SUM(CN208:CN210)</f>
        <v/>
      </c>
      <c r="CO211" s="658">
        <f>SUM(CO208:CO210)</f>
        <v/>
      </c>
      <c r="CP211" s="658">
        <f>SUM(CP208:CP210)</f>
        <v/>
      </c>
      <c r="CQ211" s="658">
        <f>SUM(CQ208:CQ210)</f>
        <v/>
      </c>
      <c r="CR211" s="658">
        <f>SUM(CR208:CR210)</f>
        <v/>
      </c>
      <c r="CS211" s="658">
        <f>SUM(CS208:CS210)</f>
        <v/>
      </c>
      <c r="CT211" s="658">
        <f>SUM(CT208:CT210)</f>
        <v/>
      </c>
      <c r="CU211" s="658">
        <f>SUM(CU208:CU210)</f>
        <v/>
      </c>
      <c r="CV211" s="658">
        <f>SUM(CV208:CV210)</f>
        <v/>
      </c>
      <c r="CW211" s="658">
        <f>SUM(CW208:CW210)</f>
        <v/>
      </c>
      <c r="CX211" s="658">
        <f>SUM(CX208:CX210)</f>
        <v/>
      </c>
      <c r="CY211" s="658">
        <f>SUM(CY208:CY210)</f>
        <v/>
      </c>
      <c r="CZ211" s="658">
        <f>SUM(CZ208:CZ210)</f>
        <v/>
      </c>
      <c r="DA211" s="658">
        <f>SUM(DA208:DA210)</f>
        <v/>
      </c>
      <c r="DB211" s="658">
        <f>SUM(DB208:DB210)</f>
        <v/>
      </c>
      <c r="DC211" s="658">
        <f>SUM(DC208:DC210)</f>
        <v/>
      </c>
      <c r="DD211" s="658">
        <f>SUM(DD208:DD210)</f>
        <v/>
      </c>
      <c r="DE211" s="658">
        <f>SUM(DE208:DE210)</f>
        <v/>
      </c>
      <c r="DF211" s="658">
        <f>SUM(DF208:DF210)</f>
        <v/>
      </c>
      <c r="DG211" s="658">
        <f>SUM(DG208:DG210)</f>
        <v/>
      </c>
      <c r="DH211" s="658">
        <f>SUM(DH208:DH210)</f>
        <v/>
      </c>
      <c r="DI211" s="658">
        <f>SUM(DI208:DI210)</f>
        <v/>
      </c>
      <c r="DJ211" s="658">
        <f>SUM(DJ208:DJ210)</f>
        <v/>
      </c>
      <c r="DK211" s="658">
        <f>SUM(DK208:DK210)</f>
        <v/>
      </c>
      <c r="DL211" s="658">
        <f>SUM(DL208:DL210)</f>
        <v/>
      </c>
      <c r="DM211" s="658">
        <f>SUM(DM208:DM210)</f>
        <v/>
      </c>
      <c r="DN211" s="658">
        <f>SUM(DN208:DN210)</f>
        <v/>
      </c>
      <c r="DO211" s="658">
        <f>SUM(DO208:DO210)</f>
        <v/>
      </c>
      <c r="DP211" s="658">
        <f>SUM(DP208:DP210)</f>
        <v/>
      </c>
      <c r="DQ211" s="658">
        <f>SUM(DQ208:DQ210)</f>
        <v/>
      </c>
      <c r="DR211" s="658">
        <f>SUM(DR208:DR210)</f>
        <v/>
      </c>
      <c r="DS211" s="658">
        <f>SUM(DS208:DS210)</f>
        <v/>
      </c>
      <c r="DT211" s="658">
        <f>SUM(DT208:DT210)</f>
        <v/>
      </c>
      <c r="DU211" s="658">
        <f>SUM(DU208:DU210)</f>
        <v/>
      </c>
      <c r="DV211" s="658">
        <f>SUM(DV208:DV210)</f>
        <v/>
      </c>
      <c r="DW211" s="322" t="inlineStr">
        <is>
          <t>x</t>
        </is>
      </c>
    </row>
    <row r="212" hidden="1" outlineLevel="1" ht="17.25" customHeight="1" thickTop="1">
      <c r="C212" s="360" t="n"/>
      <c r="D212" s="360" t="n"/>
      <c r="E212" s="360" t="n"/>
      <c r="F212" s="360" t="n"/>
      <c r="G212" s="360" t="n"/>
      <c r="H212" s="360" t="n"/>
      <c r="I212" s="360" t="n"/>
      <c r="J212" s="360" t="n"/>
      <c r="K212" s="360" t="n"/>
      <c r="L212" s="360" t="n"/>
      <c r="M212" s="360" t="n"/>
      <c r="N212" s="360" t="n"/>
      <c r="O212" s="360" t="n"/>
      <c r="P212" s="360" t="n"/>
      <c r="Q212" s="360" t="n"/>
      <c r="R212" s="360" t="n"/>
      <c r="S212" s="360" t="n"/>
      <c r="T212" s="360" t="n"/>
      <c r="U212" s="360" t="n"/>
      <c r="V212" s="360" t="n"/>
      <c r="W212" s="360" t="n"/>
      <c r="X212" s="360" t="n"/>
      <c r="Y212" s="360" t="n"/>
      <c r="Z212" s="360" t="n"/>
      <c r="AA212" s="360" t="n"/>
      <c r="AB212" s="360" t="n"/>
      <c r="AC212" s="360" t="n"/>
      <c r="AD212" s="360" t="n"/>
      <c r="AE212" s="360" t="n"/>
      <c r="AF212" s="360" t="n"/>
      <c r="AG212" s="360" t="n"/>
      <c r="AH212" s="360" t="n"/>
      <c r="AI212" s="360" t="n"/>
      <c r="AJ212" s="360" t="n"/>
      <c r="AK212" s="360" t="n"/>
      <c r="AL212" s="360" t="n"/>
      <c r="AM212" s="360" t="n"/>
      <c r="AN212" s="360" t="n"/>
      <c r="AO212" s="360" t="n"/>
      <c r="AP212" s="360" t="n"/>
      <c r="AQ212" s="360" t="n"/>
      <c r="AR212" s="360" t="n"/>
      <c r="AS212" s="360" t="n"/>
      <c r="AT212" s="360" t="n"/>
      <c r="AU212" s="360" t="n"/>
      <c r="AV212" s="360" t="n"/>
      <c r="AW212" s="360" t="n"/>
      <c r="AX212" s="360" t="n"/>
      <c r="AY212" s="360" t="n"/>
      <c r="AZ212" s="360" t="n"/>
      <c r="BA212" s="360" t="n"/>
      <c r="BB212" s="360" t="n"/>
      <c r="BC212" s="360" t="n"/>
      <c r="BD212" s="360" t="n"/>
      <c r="BE212" s="360" t="n"/>
      <c r="BF212" s="360" t="n"/>
      <c r="BG212" s="360" t="n"/>
      <c r="BH212" s="360" t="n"/>
      <c r="BI212" s="360" t="n"/>
      <c r="BJ212" s="360" t="n"/>
      <c r="BK212" s="360" t="n"/>
      <c r="BL212" s="360" t="n"/>
      <c r="BM212" s="360" t="n"/>
      <c r="BN212" s="360" t="n"/>
      <c r="BO212" s="360" t="n"/>
      <c r="BP212" s="360" t="n"/>
      <c r="BQ212" s="360" t="n"/>
      <c r="BR212" s="360" t="n"/>
      <c r="BS212" s="360" t="n"/>
      <c r="BT212" s="360" t="n"/>
      <c r="BU212" s="360" t="n"/>
      <c r="BV212" s="360" t="n"/>
      <c r="BW212" s="360" t="n"/>
      <c r="BX212" s="360" t="n"/>
      <c r="BY212" s="360" t="n"/>
      <c r="BZ212" s="360" t="n"/>
      <c r="CA212" s="360" t="n"/>
      <c r="CB212" s="360" t="n"/>
      <c r="CC212" s="360" t="n"/>
      <c r="CD212" s="360" t="n"/>
      <c r="CE212" s="360" t="n"/>
      <c r="CF212" s="360" t="n"/>
      <c r="CG212" s="360" t="n"/>
      <c r="CH212" s="360" t="n"/>
      <c r="CI212" s="360" t="n"/>
      <c r="CJ212" s="360" t="n"/>
      <c r="CK212" s="360" t="n"/>
      <c r="CL212" s="360" t="n"/>
      <c r="CM212" s="360" t="n"/>
      <c r="CN212" s="360" t="n"/>
      <c r="CO212" s="360" t="n"/>
      <c r="CP212" s="360" t="n"/>
      <c r="CQ212" s="360" t="n"/>
      <c r="CR212" s="360" t="n"/>
      <c r="CS212" s="360" t="n"/>
      <c r="CT212" s="360" t="n"/>
      <c r="CU212" s="360" t="n"/>
      <c r="CV212" s="360" t="n"/>
      <c r="CW212" s="360" t="n"/>
      <c r="CX212" s="360" t="n"/>
      <c r="CY212" s="360" t="n"/>
      <c r="CZ212" s="360" t="n"/>
      <c r="DA212" s="360" t="n"/>
      <c r="DB212" s="360" t="n"/>
      <c r="DC212" s="360" t="n"/>
      <c r="DD212" s="360" t="n"/>
      <c r="DE212" s="360" t="n"/>
      <c r="DF212" s="360" t="n"/>
      <c r="DG212" s="360" t="n"/>
      <c r="DH212" s="360" t="n"/>
      <c r="DI212" s="360" t="n"/>
      <c r="DJ212" s="360" t="n"/>
      <c r="DK212" s="360" t="n"/>
      <c r="DL212" s="360" t="n"/>
      <c r="DM212" s="360" t="n"/>
      <c r="DN212" s="360" t="n"/>
      <c r="DO212" s="360" t="n"/>
      <c r="DP212" s="360" t="n"/>
      <c r="DQ212" s="360" t="n"/>
      <c r="DR212" s="360" t="n"/>
      <c r="DS212" s="360" t="n"/>
      <c r="DT212" s="360" t="n"/>
      <c r="DU212" s="360" t="n"/>
      <c r="DV212" s="360" t="n"/>
      <c r="DW212" s="322" t="inlineStr">
        <is>
          <t>x</t>
        </is>
      </c>
    </row>
    <row r="213" hidden="1" outlineLevel="1" ht="17.25" customHeight="1" thickBot="1">
      <c r="C213" s="365" t="inlineStr">
        <is>
          <t>Remaining Cash to Distribute</t>
        </is>
      </c>
      <c r="D213" s="487" t="n"/>
      <c r="E213" s="685">
        <f>SUM(F213:DV213)</f>
        <v/>
      </c>
      <c r="F213" s="685" t="n"/>
      <c r="G213" s="685">
        <f>IF(G211&lt;0,0,G195-G211)</f>
        <v/>
      </c>
      <c r="H213" s="685">
        <f>IF(H211&lt;0,0,H195-H211)</f>
        <v/>
      </c>
      <c r="I213" s="685">
        <f>IF(I211&lt;0,0,I195-I211)</f>
        <v/>
      </c>
      <c r="J213" s="685">
        <f>IF(J211&lt;0,0,J195-J211)</f>
        <v/>
      </c>
      <c r="K213" s="685">
        <f>IF(K211&lt;0,0,K195-K211)</f>
        <v/>
      </c>
      <c r="L213" s="685">
        <f>IF(L211&lt;0,0,L195-L211)</f>
        <v/>
      </c>
      <c r="M213" s="685">
        <f>IF(M211&lt;0,0,M195-M211)</f>
        <v/>
      </c>
      <c r="N213" s="685">
        <f>IF(N211&lt;0,0,N195-N211)</f>
        <v/>
      </c>
      <c r="O213" s="685">
        <f>IF(O211&lt;0,0,O195-O211)</f>
        <v/>
      </c>
      <c r="P213" s="685">
        <f>IF(P211&lt;0,0,P195-P211)</f>
        <v/>
      </c>
      <c r="Q213" s="685">
        <f>IF(Q211&lt;0,0,Q195-Q211)</f>
        <v/>
      </c>
      <c r="R213" s="685">
        <f>IF(R211&lt;0,0,R195-R211)</f>
        <v/>
      </c>
      <c r="S213" s="685">
        <f>IF(S211&lt;0,0,S195-S211)</f>
        <v/>
      </c>
      <c r="T213" s="685">
        <f>IF(T211&lt;0,0,T195-T211)</f>
        <v/>
      </c>
      <c r="U213" s="685">
        <f>IF(U211&lt;0,0,U195-U211)</f>
        <v/>
      </c>
      <c r="V213" s="685">
        <f>IF(V211&lt;0,0,V195-V211)</f>
        <v/>
      </c>
      <c r="W213" s="685">
        <f>IF(W211&lt;0,0,W195-W211)</f>
        <v/>
      </c>
      <c r="X213" s="685">
        <f>IF(X211&lt;0,0,X195-X211)</f>
        <v/>
      </c>
      <c r="Y213" s="685">
        <f>IF(Y211&lt;0,0,Y195-Y211)</f>
        <v/>
      </c>
      <c r="Z213" s="685">
        <f>IF(Z211&lt;0,0,Z195-Z211)</f>
        <v/>
      </c>
      <c r="AA213" s="685">
        <f>IF(AA211&lt;0,0,AA195-AA211)</f>
        <v/>
      </c>
      <c r="AB213" s="685">
        <f>IF(AB211&lt;0,0,AB195-AB211)</f>
        <v/>
      </c>
      <c r="AC213" s="685">
        <f>IF(AC211&lt;0,0,AC195-AC211)</f>
        <v/>
      </c>
      <c r="AD213" s="685">
        <f>IF(AD211&lt;0,0,AD195-AD211)</f>
        <v/>
      </c>
      <c r="AE213" s="685">
        <f>IF(AE211&lt;0,0,AE195-AE211)</f>
        <v/>
      </c>
      <c r="AF213" s="685">
        <f>IF(AF211&lt;0,0,AF195-AF211)</f>
        <v/>
      </c>
      <c r="AG213" s="685">
        <f>IF(AG211&lt;0,0,AG195-AG211)</f>
        <v/>
      </c>
      <c r="AH213" s="685">
        <f>IF(AH211&lt;0,0,AH195-AH211)</f>
        <v/>
      </c>
      <c r="AI213" s="685">
        <f>IF(AI211&lt;0,0,AI195-AI211)</f>
        <v/>
      </c>
      <c r="AJ213" s="685">
        <f>IF(AJ211&lt;0,0,AJ195-AJ211)</f>
        <v/>
      </c>
      <c r="AK213" s="685">
        <f>IF(AK211&lt;0,0,AK195-AK211)</f>
        <v/>
      </c>
      <c r="AL213" s="685">
        <f>IF(AL211&lt;0,0,AL195-AL211)</f>
        <v/>
      </c>
      <c r="AM213" s="685">
        <f>IF(AM211&lt;0,0,AM195-AM211)</f>
        <v/>
      </c>
      <c r="AN213" s="685">
        <f>IF(AN211&lt;0,0,AN195-AN211)</f>
        <v/>
      </c>
      <c r="AO213" s="685">
        <f>IF(AO211&lt;0,0,AO195-AO211)</f>
        <v/>
      </c>
      <c r="AP213" s="685">
        <f>IF(AP211&lt;0,0,AP195-AP211)</f>
        <v/>
      </c>
      <c r="AQ213" s="685">
        <f>IF(AQ211&lt;0,0,AQ195-AQ211)</f>
        <v/>
      </c>
      <c r="AR213" s="685">
        <f>IF(AR211&lt;0,0,AR195-AR211)</f>
        <v/>
      </c>
      <c r="AS213" s="685">
        <f>IF(AS211&lt;0,0,AS195-AS211)</f>
        <v/>
      </c>
      <c r="AT213" s="685">
        <f>IF(AT211&lt;0,0,AT195-AT211)</f>
        <v/>
      </c>
      <c r="AU213" s="685">
        <f>IF(AU211&lt;0,0,AU195-AU211)</f>
        <v/>
      </c>
      <c r="AV213" s="685">
        <f>IF(AV211&lt;0,0,AV195-AV211)</f>
        <v/>
      </c>
      <c r="AW213" s="685">
        <f>IF(AW211&lt;0,0,AW195-AW211)</f>
        <v/>
      </c>
      <c r="AX213" s="685">
        <f>IF(AX211&lt;0,0,AX195-AX211)</f>
        <v/>
      </c>
      <c r="AY213" s="685">
        <f>IF(AY211&lt;0,0,AY195-AY211)</f>
        <v/>
      </c>
      <c r="AZ213" s="685">
        <f>IF(AZ211&lt;0,0,AZ195-AZ211)</f>
        <v/>
      </c>
      <c r="BA213" s="685">
        <f>IF(BA211&lt;0,0,BA195-BA211)</f>
        <v/>
      </c>
      <c r="BB213" s="685">
        <f>IF(BB211&lt;0,0,BB195-BB211)</f>
        <v/>
      </c>
      <c r="BC213" s="685">
        <f>IF(BC211&lt;0,0,BC195-BC211)</f>
        <v/>
      </c>
      <c r="BD213" s="685">
        <f>IF(BD211&lt;0,0,BD195-BD211)</f>
        <v/>
      </c>
      <c r="BE213" s="685">
        <f>IF(BE211&lt;0,0,BE195-BE211)</f>
        <v/>
      </c>
      <c r="BF213" s="685">
        <f>IF(BF211&lt;0,0,BF195-BF211)</f>
        <v/>
      </c>
      <c r="BG213" s="685">
        <f>IF(BG211&lt;0,0,BG195-BG211)</f>
        <v/>
      </c>
      <c r="BH213" s="685">
        <f>IF(BH211&lt;0,0,BH195-BH211)</f>
        <v/>
      </c>
      <c r="BI213" s="685">
        <f>IF(BI211&lt;0,0,BI195-BI211)</f>
        <v/>
      </c>
      <c r="BJ213" s="685">
        <f>IF(BJ211&lt;0,0,BJ195-BJ211)</f>
        <v/>
      </c>
      <c r="BK213" s="685">
        <f>IF(BK211&lt;0,0,BK195-BK211)</f>
        <v/>
      </c>
      <c r="BL213" s="685">
        <f>IF(BL211&lt;0,0,BL195-BL211)</f>
        <v/>
      </c>
      <c r="BM213" s="685">
        <f>IF(BM211&lt;0,0,BM195-BM211)</f>
        <v/>
      </c>
      <c r="BN213" s="685">
        <f>IF(BN211&lt;0,0,BN195-BN211)</f>
        <v/>
      </c>
      <c r="BO213" s="685">
        <f>IF(BO211&lt;0,0,BO195-BO211)</f>
        <v/>
      </c>
      <c r="BP213" s="685">
        <f>IF(BP211&lt;0,0,BP195-BP211)</f>
        <v/>
      </c>
      <c r="BQ213" s="685">
        <f>IF(BQ211&lt;0,0,BQ195-BQ211)</f>
        <v/>
      </c>
      <c r="BR213" s="685">
        <f>IF(BR211&lt;0,0,BR195-BR211)</f>
        <v/>
      </c>
      <c r="BS213" s="685">
        <f>IF(BS211&lt;0,0,BS195-BS211)</f>
        <v/>
      </c>
      <c r="BT213" s="685">
        <f>IF(BT211&lt;0,0,BT195-BT211)</f>
        <v/>
      </c>
      <c r="BU213" s="685">
        <f>IF(BU211&lt;0,0,BU195-BU211)</f>
        <v/>
      </c>
      <c r="BV213" s="685">
        <f>IF(BV211&lt;0,0,BV195-BV211)</f>
        <v/>
      </c>
      <c r="BW213" s="685">
        <f>IF(BW211&lt;0,0,BW195-BW211)</f>
        <v/>
      </c>
      <c r="BX213" s="685">
        <f>IF(BX211&lt;0,0,BX195-BX211)</f>
        <v/>
      </c>
      <c r="BY213" s="685">
        <f>IF(BY211&lt;0,0,BY195-BY211)</f>
        <v/>
      </c>
      <c r="BZ213" s="685">
        <f>IF(BZ211&lt;0,0,BZ195-BZ211)</f>
        <v/>
      </c>
      <c r="CA213" s="685">
        <f>IF(CA211&lt;0,0,CA195-CA211)</f>
        <v/>
      </c>
      <c r="CB213" s="685">
        <f>IF(CB211&lt;0,0,CB195-CB211)</f>
        <v/>
      </c>
      <c r="CC213" s="685">
        <f>IF(CC211&lt;0,0,CC195-CC211)</f>
        <v/>
      </c>
      <c r="CD213" s="685">
        <f>IF(CD211&lt;0,0,CD195-CD211)</f>
        <v/>
      </c>
      <c r="CE213" s="685">
        <f>IF(CE211&lt;0,0,CE195-CE211)</f>
        <v/>
      </c>
      <c r="CF213" s="685">
        <f>IF(CF211&lt;0,0,CF195-CF211)</f>
        <v/>
      </c>
      <c r="CG213" s="685">
        <f>IF(CG211&lt;0,0,CG195-CG211)</f>
        <v/>
      </c>
      <c r="CH213" s="685">
        <f>IF(CH211&lt;0,0,CH195-CH211)</f>
        <v/>
      </c>
      <c r="CI213" s="685">
        <f>IF(CI211&lt;0,0,CI195-CI211)</f>
        <v/>
      </c>
      <c r="CJ213" s="685">
        <f>IF(CJ211&lt;0,0,CJ195-CJ211)</f>
        <v/>
      </c>
      <c r="CK213" s="685">
        <f>IF(CK211&lt;0,0,CK195-CK211)</f>
        <v/>
      </c>
      <c r="CL213" s="685">
        <f>IF(CL211&lt;0,0,CL195-CL211)</f>
        <v/>
      </c>
      <c r="CM213" s="685">
        <f>IF(CM211&lt;0,0,CM195-CM211)</f>
        <v/>
      </c>
      <c r="CN213" s="685">
        <f>IF(CN211&lt;0,0,CN195-CN211)</f>
        <v/>
      </c>
      <c r="CO213" s="685">
        <f>IF(CO211&lt;0,0,CO195-CO211)</f>
        <v/>
      </c>
      <c r="CP213" s="685">
        <f>IF(CP211&lt;0,0,CP195-CP211)</f>
        <v/>
      </c>
      <c r="CQ213" s="685">
        <f>IF(CQ211&lt;0,0,CQ195-CQ211)</f>
        <v/>
      </c>
      <c r="CR213" s="685">
        <f>IF(CR211&lt;0,0,CR195-CR211)</f>
        <v/>
      </c>
      <c r="CS213" s="685">
        <f>IF(CS211&lt;0,0,CS195-CS211)</f>
        <v/>
      </c>
      <c r="CT213" s="685">
        <f>IF(CT211&lt;0,0,CT195-CT211)</f>
        <v/>
      </c>
      <c r="CU213" s="685">
        <f>IF(CU211&lt;0,0,CU195-CU211)</f>
        <v/>
      </c>
      <c r="CV213" s="685">
        <f>IF(CV211&lt;0,0,CV195-CV211)</f>
        <v/>
      </c>
      <c r="CW213" s="685">
        <f>IF(CW211&lt;0,0,CW195-CW211)</f>
        <v/>
      </c>
      <c r="CX213" s="685">
        <f>IF(CX211&lt;0,0,CX195-CX211)</f>
        <v/>
      </c>
      <c r="CY213" s="685">
        <f>IF(CY211&lt;0,0,CY195-CY211)</f>
        <v/>
      </c>
      <c r="CZ213" s="685">
        <f>IF(CZ211&lt;0,0,CZ195-CZ211)</f>
        <v/>
      </c>
      <c r="DA213" s="685">
        <f>IF(DA211&lt;0,0,DA195-DA211)</f>
        <v/>
      </c>
      <c r="DB213" s="685">
        <f>IF(DB211&lt;0,0,DB195-DB211)</f>
        <v/>
      </c>
      <c r="DC213" s="685">
        <f>IF(DC211&lt;0,0,DC195-DC211)</f>
        <v/>
      </c>
      <c r="DD213" s="685">
        <f>IF(DD211&lt;0,0,DD195-DD211)</f>
        <v/>
      </c>
      <c r="DE213" s="685">
        <f>IF(DE211&lt;0,0,DE195-DE211)</f>
        <v/>
      </c>
      <c r="DF213" s="685">
        <f>IF(DF211&lt;0,0,DF195-DF211)</f>
        <v/>
      </c>
      <c r="DG213" s="685">
        <f>IF(DG211&lt;0,0,DG195-DG211)</f>
        <v/>
      </c>
      <c r="DH213" s="685">
        <f>IF(DH211&lt;0,0,DH195-DH211)</f>
        <v/>
      </c>
      <c r="DI213" s="685">
        <f>IF(DI211&lt;0,0,DI195-DI211)</f>
        <v/>
      </c>
      <c r="DJ213" s="685">
        <f>IF(DJ211&lt;0,0,DJ195-DJ211)</f>
        <v/>
      </c>
      <c r="DK213" s="685">
        <f>IF(DK211&lt;0,0,DK195-DK211)</f>
        <v/>
      </c>
      <c r="DL213" s="685">
        <f>IF(DL211&lt;0,0,DL195-DL211)</f>
        <v/>
      </c>
      <c r="DM213" s="685">
        <f>IF(DM211&lt;0,0,DM195-DM211)</f>
        <v/>
      </c>
      <c r="DN213" s="685">
        <f>IF(DN211&lt;0,0,DN195-DN211)</f>
        <v/>
      </c>
      <c r="DO213" s="685">
        <f>IF(DO211&lt;0,0,DO195-DO211)</f>
        <v/>
      </c>
      <c r="DP213" s="685">
        <f>IF(DP211&lt;0,0,DP195-DP211)</f>
        <v/>
      </c>
      <c r="DQ213" s="685">
        <f>IF(DQ211&lt;0,0,DQ195-DQ211)</f>
        <v/>
      </c>
      <c r="DR213" s="685">
        <f>IF(DR211&lt;0,0,DR195-DR211)</f>
        <v/>
      </c>
      <c r="DS213" s="685">
        <f>IF(DS211&lt;0,0,DS195-DS211)</f>
        <v/>
      </c>
      <c r="DT213" s="685">
        <f>IF(DT211&lt;0,0,DT195-DT211)</f>
        <v/>
      </c>
      <c r="DU213" s="685">
        <f>IF(DU211&lt;0,0,DU195-DU211)</f>
        <v/>
      </c>
      <c r="DV213" s="685">
        <f>IF(DV211&lt;0,0,DV195-DV211)</f>
        <v/>
      </c>
      <c r="DW213" s="322" t="inlineStr">
        <is>
          <t>x</t>
        </is>
      </c>
    </row>
    <row r="214" hidden="1" outlineLevel="1" ht="17.25" customHeight="1" thickTop="1">
      <c r="C214" s="360" t="n"/>
      <c r="D214" s="360" t="n"/>
      <c r="E214" s="360" t="n"/>
      <c r="F214" s="360" t="n"/>
      <c r="G214" s="360" t="n"/>
      <c r="H214" s="360" t="n"/>
      <c r="I214" s="360" t="n"/>
      <c r="J214" s="360" t="n"/>
      <c r="K214" s="360" t="n"/>
      <c r="L214" s="360" t="n"/>
      <c r="M214" s="360" t="n"/>
      <c r="N214" s="360" t="n"/>
      <c r="O214" s="360" t="n"/>
      <c r="P214" s="360" t="n"/>
      <c r="Q214" s="360" t="n"/>
      <c r="R214" s="360" t="n"/>
      <c r="S214" s="360" t="n"/>
      <c r="T214" s="360" t="n"/>
      <c r="U214" s="360" t="n"/>
      <c r="V214" s="360" t="n"/>
      <c r="W214" s="360" t="n"/>
      <c r="X214" s="360" t="n"/>
      <c r="Y214" s="360" t="n"/>
      <c r="Z214" s="360" t="n"/>
      <c r="AA214" s="360" t="n"/>
      <c r="AB214" s="360" t="n"/>
      <c r="AC214" s="360" t="n"/>
      <c r="AD214" s="360" t="n"/>
      <c r="AE214" s="360" t="n"/>
      <c r="AF214" s="360" t="n"/>
      <c r="AG214" s="360" t="n"/>
      <c r="AH214" s="360" t="n"/>
      <c r="AI214" s="360" t="n"/>
      <c r="AJ214" s="360" t="n"/>
      <c r="AK214" s="360" t="n"/>
      <c r="AL214" s="360" t="n"/>
      <c r="AM214" s="360" t="n"/>
      <c r="AN214" s="360" t="n"/>
      <c r="AO214" s="360" t="n"/>
      <c r="AP214" s="360" t="n"/>
      <c r="AQ214" s="360" t="n"/>
      <c r="AR214" s="360" t="n"/>
      <c r="AS214" s="360" t="n"/>
      <c r="AT214" s="360" t="n"/>
      <c r="AU214" s="360" t="n"/>
      <c r="AV214" s="360" t="n"/>
      <c r="AW214" s="360" t="n"/>
      <c r="AX214" s="360" t="n"/>
      <c r="AY214" s="360" t="n"/>
      <c r="AZ214" s="360" t="n"/>
      <c r="BA214" s="360" t="n"/>
      <c r="BB214" s="360" t="n"/>
      <c r="BC214" s="360" t="n"/>
      <c r="BD214" s="360" t="n"/>
      <c r="BE214" s="360" t="n"/>
      <c r="BF214" s="360" t="n"/>
      <c r="BG214" s="360" t="n"/>
      <c r="BH214" s="360" t="n"/>
      <c r="BI214" s="360" t="n"/>
      <c r="BJ214" s="360" t="n"/>
      <c r="BK214" s="360" t="n"/>
      <c r="BL214" s="360" t="n"/>
      <c r="BM214" s="360" t="n"/>
      <c r="BN214" s="360" t="n"/>
      <c r="BO214" s="360" t="n"/>
      <c r="BP214" s="360" t="n"/>
      <c r="BQ214" s="360" t="n"/>
      <c r="BR214" s="360" t="n"/>
      <c r="BS214" s="360" t="n"/>
      <c r="BT214" s="360" t="n"/>
      <c r="BU214" s="360" t="n"/>
      <c r="BV214" s="360" t="n"/>
      <c r="BW214" s="360" t="n"/>
      <c r="BX214" s="360" t="n"/>
      <c r="BY214" s="360" t="n"/>
      <c r="BZ214" s="360" t="n"/>
      <c r="CA214" s="360" t="n"/>
      <c r="CB214" s="360" t="n"/>
      <c r="CC214" s="360" t="n"/>
      <c r="CD214" s="360" t="n"/>
      <c r="CE214" s="360" t="n"/>
      <c r="CF214" s="360" t="n"/>
      <c r="CG214" s="360" t="n"/>
      <c r="CH214" s="360" t="n"/>
      <c r="CI214" s="360" t="n"/>
      <c r="CJ214" s="360" t="n"/>
      <c r="CK214" s="360" t="n"/>
      <c r="CL214" s="360" t="n"/>
      <c r="CM214" s="360" t="n"/>
      <c r="CN214" s="360" t="n"/>
      <c r="CO214" s="360" t="n"/>
      <c r="CP214" s="360" t="n"/>
      <c r="CQ214" s="360" t="n"/>
      <c r="CR214" s="360" t="n"/>
      <c r="CS214" s="360" t="n"/>
      <c r="CT214" s="360" t="n"/>
      <c r="CU214" s="360" t="n"/>
      <c r="CV214" s="360" t="n"/>
      <c r="CW214" s="360" t="n"/>
      <c r="CX214" s="360" t="n"/>
      <c r="CY214" s="360" t="n"/>
      <c r="CZ214" s="360" t="n"/>
      <c r="DA214" s="360" t="n"/>
      <c r="DB214" s="360" t="n"/>
      <c r="DC214" s="360" t="n"/>
      <c r="DD214" s="360" t="n"/>
      <c r="DE214" s="360" t="n"/>
      <c r="DF214" s="360" t="n"/>
      <c r="DG214" s="360" t="n"/>
      <c r="DH214" s="360" t="n"/>
      <c r="DI214" s="360" t="n"/>
      <c r="DJ214" s="360" t="n"/>
      <c r="DK214" s="360" t="n"/>
      <c r="DL214" s="360" t="n"/>
      <c r="DM214" s="360" t="n"/>
      <c r="DN214" s="360" t="n"/>
      <c r="DO214" s="360" t="n"/>
      <c r="DP214" s="360" t="n"/>
      <c r="DQ214" s="360" t="n"/>
      <c r="DR214" s="360" t="n"/>
      <c r="DS214" s="360" t="n"/>
      <c r="DT214" s="360" t="n"/>
      <c r="DU214" s="360" t="n"/>
      <c r="DV214" s="360" t="n"/>
      <c r="DW214" s="322" t="inlineStr">
        <is>
          <t>x</t>
        </is>
      </c>
    </row>
    <row r="215" hidden="1" outlineLevel="1">
      <c r="C215" s="382" t="inlineStr">
        <is>
          <t>Tier V</t>
        </is>
      </c>
      <c r="D215" s="382" t="n"/>
      <c r="E215" s="395" t="n"/>
      <c r="F215" s="458" t="n"/>
      <c r="G215" s="458" t="n"/>
      <c r="H215" s="458" t="n"/>
      <c r="I215" s="458" t="n"/>
      <c r="J215" s="458" t="n"/>
      <c r="K215" s="458" t="n"/>
      <c r="L215" s="458" t="n"/>
      <c r="M215" s="458" t="n"/>
      <c r="N215" s="458" t="n"/>
      <c r="O215" s="458" t="n"/>
      <c r="P215" s="458" t="n"/>
      <c r="Q215" s="458" t="n"/>
      <c r="R215" s="458" t="n"/>
      <c r="S215" s="458" t="n"/>
      <c r="T215" s="458" t="n"/>
      <c r="U215" s="458" t="n"/>
      <c r="V215" s="458" t="n"/>
      <c r="W215" s="458" t="n"/>
      <c r="X215" s="458" t="n"/>
      <c r="Y215" s="458" t="n"/>
      <c r="Z215" s="458" t="n"/>
      <c r="AA215" s="458" t="n"/>
      <c r="AB215" s="458" t="n"/>
      <c r="AC215" s="458" t="n"/>
      <c r="AD215" s="458" t="n"/>
      <c r="AE215" s="458" t="n"/>
      <c r="AF215" s="458" t="n"/>
      <c r="AG215" s="458" t="n"/>
      <c r="AH215" s="458" t="n"/>
      <c r="AI215" s="458" t="n"/>
      <c r="AJ215" s="458" t="n"/>
      <c r="AK215" s="458" t="n"/>
      <c r="AL215" s="458" t="n"/>
      <c r="AM215" s="458" t="n"/>
      <c r="AN215" s="458" t="n"/>
      <c r="AO215" s="458" t="n"/>
      <c r="AP215" s="458" t="n"/>
      <c r="AQ215" s="458" t="n"/>
      <c r="AR215" s="458" t="n"/>
      <c r="AS215" s="458" t="n"/>
      <c r="AT215" s="458" t="n"/>
      <c r="AU215" s="458" t="n"/>
      <c r="AV215" s="458" t="n"/>
      <c r="AW215" s="458" t="n"/>
      <c r="AX215" s="458" t="n"/>
      <c r="AY215" s="458" t="n"/>
      <c r="AZ215" s="458" t="n"/>
      <c r="BA215" s="458" t="n"/>
      <c r="BB215" s="458" t="n"/>
      <c r="BC215" s="458" t="n"/>
      <c r="BD215" s="458" t="n"/>
      <c r="BE215" s="458" t="n"/>
      <c r="BF215" s="458" t="n"/>
      <c r="BG215" s="458" t="n"/>
      <c r="BH215" s="458" t="n"/>
      <c r="BI215" s="458" t="n"/>
      <c r="BJ215" s="458" t="n"/>
      <c r="BK215" s="458" t="n"/>
      <c r="BL215" s="458" t="n"/>
      <c r="BM215" s="458" t="n"/>
      <c r="BN215" s="458" t="n"/>
      <c r="BO215" s="458" t="n"/>
      <c r="BP215" s="458" t="n"/>
      <c r="BQ215" s="458" t="n"/>
      <c r="BR215" s="458" t="n"/>
      <c r="BS215" s="458" t="n"/>
      <c r="BT215" s="458" t="n"/>
      <c r="BU215" s="458" t="n"/>
      <c r="BV215" s="458" t="n"/>
      <c r="BW215" s="458" t="n"/>
      <c r="BX215" s="458" t="n"/>
      <c r="BY215" s="458" t="n"/>
      <c r="BZ215" s="458" t="n"/>
      <c r="CA215" s="458" t="n"/>
      <c r="CB215" s="458" t="n"/>
      <c r="CC215" s="458" t="n"/>
      <c r="CD215" s="458" t="n"/>
      <c r="CE215" s="458" t="n"/>
      <c r="CF215" s="458" t="n"/>
      <c r="CG215" s="458" t="n"/>
      <c r="CH215" s="458" t="n"/>
      <c r="CI215" s="458" t="n"/>
      <c r="CJ215" s="458" t="n"/>
      <c r="CK215" s="458" t="n"/>
      <c r="CL215" s="458" t="n"/>
      <c r="CM215" s="458" t="n"/>
      <c r="CN215" s="458" t="n"/>
      <c r="CO215" s="458" t="n"/>
      <c r="CP215" s="458" t="n"/>
      <c r="CQ215" s="458" t="n"/>
      <c r="CR215" s="458" t="n"/>
      <c r="CS215" s="458" t="n"/>
      <c r="CT215" s="458" t="n"/>
      <c r="CU215" s="458" t="n"/>
      <c r="CV215" s="458" t="n"/>
      <c r="CW215" s="458" t="n"/>
      <c r="CX215" s="458" t="n"/>
      <c r="CY215" s="458" t="n"/>
      <c r="CZ215" s="458" t="n"/>
      <c r="DA215" s="458" t="n"/>
      <c r="DB215" s="458" t="n"/>
      <c r="DC215" s="458" t="n"/>
      <c r="DD215" s="458" t="n"/>
      <c r="DE215" s="458" t="n"/>
      <c r="DF215" s="458" t="n"/>
      <c r="DG215" s="458" t="n"/>
      <c r="DH215" s="458" t="n"/>
      <c r="DI215" s="458" t="n"/>
      <c r="DJ215" s="458" t="n"/>
      <c r="DK215" s="458" t="n"/>
      <c r="DL215" s="458" t="n"/>
      <c r="DM215" s="458" t="n"/>
      <c r="DN215" s="458" t="n"/>
      <c r="DO215" s="458" t="n"/>
      <c r="DP215" s="458" t="n"/>
      <c r="DQ215" s="458" t="n"/>
      <c r="DR215" s="458" t="n"/>
      <c r="DS215" s="458" t="n"/>
      <c r="DT215" s="458" t="n"/>
      <c r="DU215" s="458" t="n"/>
      <c r="DV215" s="458" t="n"/>
      <c r="DW215" s="322" t="inlineStr">
        <is>
          <t>x</t>
        </is>
      </c>
    </row>
    <row r="216" hidden="1" outlineLevel="1">
      <c r="C216" s="485" t="inlineStr">
        <is>
          <t>Splits</t>
        </is>
      </c>
      <c r="D216" s="374" t="n"/>
      <c r="E216" s="463" t="n"/>
      <c r="F216" s="374" t="n"/>
      <c r="G216" s="374" t="n"/>
      <c r="H216" s="463" t="n"/>
      <c r="I216" s="463" t="n"/>
      <c r="J216" s="463" t="n"/>
      <c r="K216" s="463" t="n"/>
      <c r="L216" s="463" t="n"/>
      <c r="M216" s="463" t="n"/>
      <c r="N216" s="463" t="n"/>
      <c r="O216" s="463" t="n"/>
      <c r="P216" s="463" t="n"/>
      <c r="Q216" s="463" t="n"/>
      <c r="R216" s="463" t="n"/>
      <c r="S216" s="463" t="n"/>
      <c r="T216" s="463" t="n"/>
      <c r="U216" s="463" t="n"/>
      <c r="V216" s="463" t="n"/>
      <c r="W216" s="463" t="n"/>
      <c r="X216" s="463" t="n"/>
      <c r="Y216" s="463" t="n"/>
      <c r="Z216" s="463" t="n"/>
      <c r="AA216" s="463" t="n"/>
      <c r="AB216" s="463" t="n"/>
      <c r="AC216" s="463" t="n"/>
      <c r="AD216" s="463" t="n"/>
      <c r="AE216" s="463" t="n"/>
      <c r="AF216" s="463" t="n"/>
      <c r="AG216" s="463" t="n"/>
      <c r="AH216" s="463" t="n"/>
      <c r="AI216" s="463" t="n"/>
      <c r="AJ216" s="463" t="n"/>
      <c r="AK216" s="463" t="n"/>
      <c r="AL216" s="463" t="n"/>
      <c r="AM216" s="463" t="n"/>
      <c r="AN216" s="463" t="n"/>
      <c r="AO216" s="463" t="n"/>
      <c r="AP216" s="463" t="n"/>
      <c r="AQ216" s="463" t="n"/>
      <c r="AR216" s="463" t="n"/>
      <c r="AS216" s="463" t="n"/>
      <c r="AT216" s="463" t="n"/>
      <c r="AU216" s="463" t="n"/>
      <c r="AV216" s="463" t="n"/>
      <c r="AW216" s="463" t="n"/>
      <c r="AX216" s="463" t="n"/>
      <c r="AY216" s="463" t="n"/>
      <c r="AZ216" s="463" t="n"/>
      <c r="BA216" s="463" t="n"/>
      <c r="BB216" s="463" t="n"/>
      <c r="BC216" s="463" t="n"/>
      <c r="BD216" s="463" t="n"/>
      <c r="BE216" s="463" t="n"/>
      <c r="BF216" s="463" t="n"/>
      <c r="BG216" s="463" t="n"/>
      <c r="BH216" s="463" t="n"/>
      <c r="BI216" s="463" t="n"/>
      <c r="BJ216" s="463" t="n"/>
      <c r="BK216" s="463" t="n"/>
      <c r="BL216" s="463" t="n"/>
      <c r="BM216" s="463" t="n"/>
      <c r="BN216" s="463" t="n"/>
      <c r="BO216" s="463" t="n"/>
      <c r="BP216" s="463" t="n"/>
      <c r="BQ216" s="463" t="n"/>
      <c r="BR216" s="463" t="n"/>
      <c r="BS216" s="463" t="n"/>
      <c r="BT216" s="463" t="n"/>
      <c r="BU216" s="463" t="n"/>
      <c r="BV216" s="463" t="n"/>
      <c r="BW216" s="463" t="n"/>
      <c r="BX216" s="463" t="n"/>
      <c r="BY216" s="463" t="n"/>
      <c r="BZ216" s="463" t="n"/>
      <c r="CA216" s="463" t="n"/>
      <c r="CB216" s="463" t="n"/>
      <c r="CC216" s="463" t="n"/>
      <c r="CD216" s="463" t="n"/>
      <c r="CE216" s="463" t="n"/>
      <c r="CF216" s="463" t="n"/>
      <c r="CG216" s="463" t="n"/>
      <c r="CH216" s="463" t="n"/>
      <c r="CI216" s="463" t="n"/>
      <c r="CJ216" s="463" t="n"/>
      <c r="CK216" s="463" t="n"/>
      <c r="CL216" s="463" t="n"/>
      <c r="CM216" s="463" t="n"/>
      <c r="CN216" s="463" t="n"/>
      <c r="CO216" s="463" t="n"/>
      <c r="CP216" s="463" t="n"/>
      <c r="CQ216" s="463" t="n"/>
      <c r="CR216" s="463" t="n"/>
      <c r="CS216" s="463" t="n"/>
      <c r="CT216" s="463" t="n"/>
      <c r="CU216" s="463" t="n"/>
      <c r="CV216" s="463" t="n"/>
      <c r="CW216" s="463" t="n"/>
      <c r="CX216" s="463" t="n"/>
      <c r="CY216" s="463" t="n"/>
      <c r="CZ216" s="463" t="n"/>
      <c r="DA216" s="463" t="n"/>
      <c r="DB216" s="463" t="n"/>
      <c r="DC216" s="463" t="n"/>
      <c r="DD216" s="463" t="n"/>
      <c r="DE216" s="463" t="n"/>
      <c r="DF216" s="463" t="n"/>
      <c r="DG216" s="463" t="n"/>
      <c r="DH216" s="463" t="n"/>
      <c r="DI216" s="463" t="n"/>
      <c r="DJ216" s="463" t="n"/>
      <c r="DK216" s="463" t="n"/>
      <c r="DL216" s="463" t="n"/>
      <c r="DM216" s="463" t="n"/>
      <c r="DN216" s="463" t="n"/>
      <c r="DO216" s="463" t="n"/>
      <c r="DP216" s="463" t="n"/>
      <c r="DQ216" s="463" t="n"/>
      <c r="DR216" s="463" t="n"/>
      <c r="DS216" s="463" t="n"/>
      <c r="DT216" s="463" t="n"/>
      <c r="DU216" s="463" t="n"/>
      <c r="DV216" s="463" t="n"/>
      <c r="DW216" s="322" t="inlineStr">
        <is>
          <t>x</t>
        </is>
      </c>
    </row>
    <row r="217" hidden="1" outlineLevel="1">
      <c r="C217" s="374">
        <f>C208</f>
        <v/>
      </c>
      <c r="D217" s="486">
        <f>H42</f>
        <v/>
      </c>
      <c r="E217" s="680">
        <f>SUM(F217:DV217)</f>
        <v/>
      </c>
      <c r="F217" s="680">
        <f>F$213*$D217</f>
        <v/>
      </c>
      <c r="G217" s="680">
        <f>G$213*$D217</f>
        <v/>
      </c>
      <c r="H217" s="680">
        <f>H$213*$D217</f>
        <v/>
      </c>
      <c r="I217" s="680">
        <f>I$213*$D217</f>
        <v/>
      </c>
      <c r="J217" s="680">
        <f>J$213*$D217</f>
        <v/>
      </c>
      <c r="K217" s="680">
        <f>K$213*$D217</f>
        <v/>
      </c>
      <c r="L217" s="680">
        <f>L$213*$D217</f>
        <v/>
      </c>
      <c r="M217" s="680">
        <f>M$213*$D217</f>
        <v/>
      </c>
      <c r="N217" s="680">
        <f>N$213*$D217</f>
        <v/>
      </c>
      <c r="O217" s="680">
        <f>O$213*$D217</f>
        <v/>
      </c>
      <c r="P217" s="680">
        <f>P$213*$D217</f>
        <v/>
      </c>
      <c r="Q217" s="680">
        <f>Q$213*$D217</f>
        <v/>
      </c>
      <c r="R217" s="680">
        <f>R$213*$D217</f>
        <v/>
      </c>
      <c r="S217" s="680">
        <f>S$213*$D217</f>
        <v/>
      </c>
      <c r="T217" s="680">
        <f>T$213*$D217</f>
        <v/>
      </c>
      <c r="U217" s="680">
        <f>U$213*$D217</f>
        <v/>
      </c>
      <c r="V217" s="680">
        <f>V$213*$D217</f>
        <v/>
      </c>
      <c r="W217" s="680">
        <f>W$213*$D217</f>
        <v/>
      </c>
      <c r="X217" s="680">
        <f>X$213*$D217</f>
        <v/>
      </c>
      <c r="Y217" s="680">
        <f>Y$213*$D217</f>
        <v/>
      </c>
      <c r="Z217" s="680">
        <f>Z$213*$D217</f>
        <v/>
      </c>
      <c r="AA217" s="680">
        <f>AA$213*$D217</f>
        <v/>
      </c>
      <c r="AB217" s="680">
        <f>AB$213*$D217</f>
        <v/>
      </c>
      <c r="AC217" s="680">
        <f>AC$213*$D217</f>
        <v/>
      </c>
      <c r="AD217" s="680">
        <f>AD$213*$D217</f>
        <v/>
      </c>
      <c r="AE217" s="680">
        <f>AE$213*$D217</f>
        <v/>
      </c>
      <c r="AF217" s="680">
        <f>AF$213*$D217</f>
        <v/>
      </c>
      <c r="AG217" s="680">
        <f>AG$213*$D217</f>
        <v/>
      </c>
      <c r="AH217" s="680">
        <f>AH$213*$D217</f>
        <v/>
      </c>
      <c r="AI217" s="680">
        <f>AI$213*$D217</f>
        <v/>
      </c>
      <c r="AJ217" s="680">
        <f>AJ$213*$D217</f>
        <v/>
      </c>
      <c r="AK217" s="680">
        <f>AK$213*$D217</f>
        <v/>
      </c>
      <c r="AL217" s="680">
        <f>AL$213*$D217</f>
        <v/>
      </c>
      <c r="AM217" s="680">
        <f>AM$213*$D217</f>
        <v/>
      </c>
      <c r="AN217" s="680">
        <f>AN$213*$D217</f>
        <v/>
      </c>
      <c r="AO217" s="680">
        <f>AO$213*$D217</f>
        <v/>
      </c>
      <c r="AP217" s="680">
        <f>AP$213*$D217</f>
        <v/>
      </c>
      <c r="AQ217" s="680">
        <f>AQ$213*$D217</f>
        <v/>
      </c>
      <c r="AR217" s="680">
        <f>AR$213*$D217</f>
        <v/>
      </c>
      <c r="AS217" s="680">
        <f>AS$213*$D217</f>
        <v/>
      </c>
      <c r="AT217" s="680">
        <f>AT$213*$D217</f>
        <v/>
      </c>
      <c r="AU217" s="680">
        <f>AU$213*$D217</f>
        <v/>
      </c>
      <c r="AV217" s="680">
        <f>AV$213*$D217</f>
        <v/>
      </c>
      <c r="AW217" s="680">
        <f>AW$213*$D217</f>
        <v/>
      </c>
      <c r="AX217" s="680">
        <f>AX$213*$D217</f>
        <v/>
      </c>
      <c r="AY217" s="680">
        <f>AY$213*$D217</f>
        <v/>
      </c>
      <c r="AZ217" s="680">
        <f>AZ$213*$D217</f>
        <v/>
      </c>
      <c r="BA217" s="680">
        <f>BA$213*$D217</f>
        <v/>
      </c>
      <c r="BB217" s="680">
        <f>BB$213*$D217</f>
        <v/>
      </c>
      <c r="BC217" s="680">
        <f>BC$213*$D217</f>
        <v/>
      </c>
      <c r="BD217" s="680">
        <f>BD$213*$D217</f>
        <v/>
      </c>
      <c r="BE217" s="680">
        <f>BE$213*$D217</f>
        <v/>
      </c>
      <c r="BF217" s="680">
        <f>BF$213*$D217</f>
        <v/>
      </c>
      <c r="BG217" s="680">
        <f>BG$213*$D217</f>
        <v/>
      </c>
      <c r="BH217" s="680">
        <f>BH$213*$D217</f>
        <v/>
      </c>
      <c r="BI217" s="680">
        <f>BI$213*$D217</f>
        <v/>
      </c>
      <c r="BJ217" s="680">
        <f>BJ$213*$D217</f>
        <v/>
      </c>
      <c r="BK217" s="680">
        <f>BK$213*$D217</f>
        <v/>
      </c>
      <c r="BL217" s="680">
        <f>BL$213*$D217</f>
        <v/>
      </c>
      <c r="BM217" s="680">
        <f>BM$213*$D217</f>
        <v/>
      </c>
      <c r="BN217" s="680">
        <f>BN$213*$D217</f>
        <v/>
      </c>
      <c r="BO217" s="680">
        <f>BO$213*$D217</f>
        <v/>
      </c>
      <c r="BP217" s="680">
        <f>BP$213*$D217</f>
        <v/>
      </c>
      <c r="BQ217" s="680">
        <f>BQ$213*$D217</f>
        <v/>
      </c>
      <c r="BR217" s="680">
        <f>BR$213*$D217</f>
        <v/>
      </c>
      <c r="BS217" s="680">
        <f>BS$213*$D217</f>
        <v/>
      </c>
      <c r="BT217" s="680">
        <f>BT$213*$D217</f>
        <v/>
      </c>
      <c r="BU217" s="680">
        <f>BU$213*$D217</f>
        <v/>
      </c>
      <c r="BV217" s="680">
        <f>BV$213*$D217</f>
        <v/>
      </c>
      <c r="BW217" s="680">
        <f>BW$213*$D217</f>
        <v/>
      </c>
      <c r="BX217" s="680">
        <f>BX$213*$D217</f>
        <v/>
      </c>
      <c r="BY217" s="680">
        <f>BY$213*$D217</f>
        <v/>
      </c>
      <c r="BZ217" s="680">
        <f>BZ$213*$D217</f>
        <v/>
      </c>
      <c r="CA217" s="680">
        <f>CA$213*$D217</f>
        <v/>
      </c>
      <c r="CB217" s="680">
        <f>CB$213*$D217</f>
        <v/>
      </c>
      <c r="CC217" s="680">
        <f>CC$213*$D217</f>
        <v/>
      </c>
      <c r="CD217" s="680">
        <f>CD$213*$D217</f>
        <v/>
      </c>
      <c r="CE217" s="680">
        <f>CE$213*$D217</f>
        <v/>
      </c>
      <c r="CF217" s="680">
        <f>CF$213*$D217</f>
        <v/>
      </c>
      <c r="CG217" s="680">
        <f>CG$213*$D217</f>
        <v/>
      </c>
      <c r="CH217" s="680">
        <f>CH$213*$D217</f>
        <v/>
      </c>
      <c r="CI217" s="680">
        <f>CI$213*$D217</f>
        <v/>
      </c>
      <c r="CJ217" s="680">
        <f>CJ$213*$D217</f>
        <v/>
      </c>
      <c r="CK217" s="680">
        <f>CK$213*$D217</f>
        <v/>
      </c>
      <c r="CL217" s="680">
        <f>CL$213*$D217</f>
        <v/>
      </c>
      <c r="CM217" s="680">
        <f>CM$213*$D217</f>
        <v/>
      </c>
      <c r="CN217" s="680">
        <f>CN$213*$D217</f>
        <v/>
      </c>
      <c r="CO217" s="680">
        <f>CO$213*$D217</f>
        <v/>
      </c>
      <c r="CP217" s="680">
        <f>CP$213*$D217</f>
        <v/>
      </c>
      <c r="CQ217" s="680">
        <f>CQ$213*$D217</f>
        <v/>
      </c>
      <c r="CR217" s="680">
        <f>CR$213*$D217</f>
        <v/>
      </c>
      <c r="CS217" s="680">
        <f>CS$213*$D217</f>
        <v/>
      </c>
      <c r="CT217" s="680">
        <f>CT$213*$D217</f>
        <v/>
      </c>
      <c r="CU217" s="680">
        <f>CU$213*$D217</f>
        <v/>
      </c>
      <c r="CV217" s="680">
        <f>CV$213*$D217</f>
        <v/>
      </c>
      <c r="CW217" s="680">
        <f>CW$213*$D217</f>
        <v/>
      </c>
      <c r="CX217" s="680">
        <f>CX$213*$D217</f>
        <v/>
      </c>
      <c r="CY217" s="680">
        <f>CY$213*$D217</f>
        <v/>
      </c>
      <c r="CZ217" s="680">
        <f>CZ$213*$D217</f>
        <v/>
      </c>
      <c r="DA217" s="680">
        <f>DA$213*$D217</f>
        <v/>
      </c>
      <c r="DB217" s="680">
        <f>DB$213*$D217</f>
        <v/>
      </c>
      <c r="DC217" s="680">
        <f>DC$213*$D217</f>
        <v/>
      </c>
      <c r="DD217" s="680">
        <f>DD$213*$D217</f>
        <v/>
      </c>
      <c r="DE217" s="680">
        <f>DE$213*$D217</f>
        <v/>
      </c>
      <c r="DF217" s="680">
        <f>DF$213*$D217</f>
        <v/>
      </c>
      <c r="DG217" s="680">
        <f>DG$213*$D217</f>
        <v/>
      </c>
      <c r="DH217" s="680">
        <f>DH$213*$D217</f>
        <v/>
      </c>
      <c r="DI217" s="680">
        <f>DI$213*$D217</f>
        <v/>
      </c>
      <c r="DJ217" s="680">
        <f>DJ$213*$D217</f>
        <v/>
      </c>
      <c r="DK217" s="680">
        <f>DK$213*$D217</f>
        <v/>
      </c>
      <c r="DL217" s="680">
        <f>DL$213*$D217</f>
        <v/>
      </c>
      <c r="DM217" s="680">
        <f>DM$213*$D217</f>
        <v/>
      </c>
      <c r="DN217" s="680">
        <f>DN$213*$D217</f>
        <v/>
      </c>
      <c r="DO217" s="680">
        <f>DO$213*$D217</f>
        <v/>
      </c>
      <c r="DP217" s="680">
        <f>DP$213*$D217</f>
        <v/>
      </c>
      <c r="DQ217" s="680">
        <f>DQ$213*$D217</f>
        <v/>
      </c>
      <c r="DR217" s="680">
        <f>DR$213*$D217</f>
        <v/>
      </c>
      <c r="DS217" s="680">
        <f>DS$213*$D217</f>
        <v/>
      </c>
      <c r="DT217" s="680">
        <f>DT$213*$D217</f>
        <v/>
      </c>
      <c r="DU217" s="680">
        <f>DU$213*$D217</f>
        <v/>
      </c>
      <c r="DV217" s="680">
        <f>DV$213*$D217</f>
        <v/>
      </c>
      <c r="DW217" s="322" t="inlineStr">
        <is>
          <t>x</t>
        </is>
      </c>
    </row>
    <row r="218" hidden="1" outlineLevel="1">
      <c r="C218" s="374">
        <f>C209</f>
        <v/>
      </c>
      <c r="D218" s="486">
        <f>1-SUM(D217,D219)</f>
        <v/>
      </c>
      <c r="E218" s="468">
        <f>SUM(F218:DV218)</f>
        <v/>
      </c>
      <c r="F218" s="468">
        <f>F$213*$D218</f>
        <v/>
      </c>
      <c r="G218" s="468">
        <f>G$213*$D218</f>
        <v/>
      </c>
      <c r="H218" s="468">
        <f>H$213*$D218</f>
        <v/>
      </c>
      <c r="I218" s="468">
        <f>I$213*$D218</f>
        <v/>
      </c>
      <c r="J218" s="468">
        <f>J$213*$D218</f>
        <v/>
      </c>
      <c r="K218" s="468">
        <f>K$213*$D218</f>
        <v/>
      </c>
      <c r="L218" s="468">
        <f>L$213*$D218</f>
        <v/>
      </c>
      <c r="M218" s="468">
        <f>M$213*$D218</f>
        <v/>
      </c>
      <c r="N218" s="468">
        <f>N$213*$D218</f>
        <v/>
      </c>
      <c r="O218" s="468">
        <f>O$213*$D218</f>
        <v/>
      </c>
      <c r="P218" s="468">
        <f>P$213*$D218</f>
        <v/>
      </c>
      <c r="Q218" s="468">
        <f>Q$213*$D218</f>
        <v/>
      </c>
      <c r="R218" s="468">
        <f>R$213*$D218</f>
        <v/>
      </c>
      <c r="S218" s="468">
        <f>S$213*$D218</f>
        <v/>
      </c>
      <c r="T218" s="468">
        <f>T$213*$D218</f>
        <v/>
      </c>
      <c r="U218" s="468">
        <f>U$213*$D218</f>
        <v/>
      </c>
      <c r="V218" s="468">
        <f>V$213*$D218</f>
        <v/>
      </c>
      <c r="W218" s="468">
        <f>W$213*$D218</f>
        <v/>
      </c>
      <c r="X218" s="468">
        <f>X$213*$D218</f>
        <v/>
      </c>
      <c r="Y218" s="468">
        <f>Y$213*$D218</f>
        <v/>
      </c>
      <c r="Z218" s="468">
        <f>Z$213*$D218</f>
        <v/>
      </c>
      <c r="AA218" s="468">
        <f>AA$213*$D218</f>
        <v/>
      </c>
      <c r="AB218" s="468">
        <f>AB$213*$D218</f>
        <v/>
      </c>
      <c r="AC218" s="468">
        <f>AC$213*$D218</f>
        <v/>
      </c>
      <c r="AD218" s="468">
        <f>AD$213*$D218</f>
        <v/>
      </c>
      <c r="AE218" s="468">
        <f>AE$213*$D218</f>
        <v/>
      </c>
      <c r="AF218" s="468">
        <f>AF$213*$D218</f>
        <v/>
      </c>
      <c r="AG218" s="468">
        <f>AG$213*$D218</f>
        <v/>
      </c>
      <c r="AH218" s="468">
        <f>AH$213*$D218</f>
        <v/>
      </c>
      <c r="AI218" s="468">
        <f>AI$213*$D218</f>
        <v/>
      </c>
      <c r="AJ218" s="468">
        <f>AJ$213*$D218</f>
        <v/>
      </c>
      <c r="AK218" s="468">
        <f>AK$213*$D218</f>
        <v/>
      </c>
      <c r="AL218" s="468">
        <f>AL$213*$D218</f>
        <v/>
      </c>
      <c r="AM218" s="468">
        <f>AM$213*$D218</f>
        <v/>
      </c>
      <c r="AN218" s="468">
        <f>AN$213*$D218</f>
        <v/>
      </c>
      <c r="AO218" s="468">
        <f>AO$213*$D218</f>
        <v/>
      </c>
      <c r="AP218" s="468">
        <f>AP$213*$D218</f>
        <v/>
      </c>
      <c r="AQ218" s="468">
        <f>AQ$213*$D218</f>
        <v/>
      </c>
      <c r="AR218" s="468">
        <f>AR$213*$D218</f>
        <v/>
      </c>
      <c r="AS218" s="468">
        <f>AS$213*$D218</f>
        <v/>
      </c>
      <c r="AT218" s="468">
        <f>AT$213*$D218</f>
        <v/>
      </c>
      <c r="AU218" s="468">
        <f>AU$213*$D218</f>
        <v/>
      </c>
      <c r="AV218" s="468">
        <f>AV$213*$D218</f>
        <v/>
      </c>
      <c r="AW218" s="468">
        <f>AW$213*$D218</f>
        <v/>
      </c>
      <c r="AX218" s="468">
        <f>AX$213*$D218</f>
        <v/>
      </c>
      <c r="AY218" s="468">
        <f>AY$213*$D218</f>
        <v/>
      </c>
      <c r="AZ218" s="468">
        <f>AZ$213*$D218</f>
        <v/>
      </c>
      <c r="BA218" s="468">
        <f>BA$213*$D218</f>
        <v/>
      </c>
      <c r="BB218" s="468">
        <f>BB$213*$D218</f>
        <v/>
      </c>
      <c r="BC218" s="468">
        <f>BC$213*$D218</f>
        <v/>
      </c>
      <c r="BD218" s="468">
        <f>BD$213*$D218</f>
        <v/>
      </c>
      <c r="BE218" s="468">
        <f>BE$213*$D218</f>
        <v/>
      </c>
      <c r="BF218" s="468">
        <f>BF$213*$D218</f>
        <v/>
      </c>
      <c r="BG218" s="468">
        <f>BG$213*$D218</f>
        <v/>
      </c>
      <c r="BH218" s="468">
        <f>BH$213*$D218</f>
        <v/>
      </c>
      <c r="BI218" s="468">
        <f>BI$213*$D218</f>
        <v/>
      </c>
      <c r="BJ218" s="468">
        <f>BJ$213*$D218</f>
        <v/>
      </c>
      <c r="BK218" s="468">
        <f>BK$213*$D218</f>
        <v/>
      </c>
      <c r="BL218" s="468">
        <f>BL$213*$D218</f>
        <v/>
      </c>
      <c r="BM218" s="468">
        <f>BM$213*$D218</f>
        <v/>
      </c>
      <c r="BN218" s="468">
        <f>BN$213*$D218</f>
        <v/>
      </c>
      <c r="BO218" s="468">
        <f>BO$213*$D218</f>
        <v/>
      </c>
      <c r="BP218" s="468">
        <f>BP$213*$D218</f>
        <v/>
      </c>
      <c r="BQ218" s="468">
        <f>BQ$213*$D218</f>
        <v/>
      </c>
      <c r="BR218" s="468">
        <f>BR$213*$D218</f>
        <v/>
      </c>
      <c r="BS218" s="468">
        <f>BS$213*$D218</f>
        <v/>
      </c>
      <c r="BT218" s="468">
        <f>BT$213*$D218</f>
        <v/>
      </c>
      <c r="BU218" s="468">
        <f>BU$213*$D218</f>
        <v/>
      </c>
      <c r="BV218" s="468">
        <f>BV$213*$D218</f>
        <v/>
      </c>
      <c r="BW218" s="468">
        <f>BW$213*$D218</f>
        <v/>
      </c>
      <c r="BX218" s="468">
        <f>BX$213*$D218</f>
        <v/>
      </c>
      <c r="BY218" s="468">
        <f>BY$213*$D218</f>
        <v/>
      </c>
      <c r="BZ218" s="468">
        <f>BZ$213*$D218</f>
        <v/>
      </c>
      <c r="CA218" s="468">
        <f>CA$213*$D218</f>
        <v/>
      </c>
      <c r="CB218" s="468">
        <f>CB$213*$D218</f>
        <v/>
      </c>
      <c r="CC218" s="468">
        <f>CC$213*$D218</f>
        <v/>
      </c>
      <c r="CD218" s="468">
        <f>CD$213*$D218</f>
        <v/>
      </c>
      <c r="CE218" s="468">
        <f>CE$213*$D218</f>
        <v/>
      </c>
      <c r="CF218" s="468">
        <f>CF$213*$D218</f>
        <v/>
      </c>
      <c r="CG218" s="468">
        <f>CG$213*$D218</f>
        <v/>
      </c>
      <c r="CH218" s="468">
        <f>CH$213*$D218</f>
        <v/>
      </c>
      <c r="CI218" s="468">
        <f>CI$213*$D218</f>
        <v/>
      </c>
      <c r="CJ218" s="468">
        <f>CJ$213*$D218</f>
        <v/>
      </c>
      <c r="CK218" s="468">
        <f>CK$213*$D218</f>
        <v/>
      </c>
      <c r="CL218" s="468">
        <f>CL$213*$D218</f>
        <v/>
      </c>
      <c r="CM218" s="468">
        <f>CM$213*$D218</f>
        <v/>
      </c>
      <c r="CN218" s="468">
        <f>CN$213*$D218</f>
        <v/>
      </c>
      <c r="CO218" s="468">
        <f>CO$213*$D218</f>
        <v/>
      </c>
      <c r="CP218" s="468">
        <f>CP$213*$D218</f>
        <v/>
      </c>
      <c r="CQ218" s="468">
        <f>CQ$213*$D218</f>
        <v/>
      </c>
      <c r="CR218" s="468">
        <f>CR$213*$D218</f>
        <v/>
      </c>
      <c r="CS218" s="468">
        <f>CS$213*$D218</f>
        <v/>
      </c>
      <c r="CT218" s="468">
        <f>CT$213*$D218</f>
        <v/>
      </c>
      <c r="CU218" s="468">
        <f>CU$213*$D218</f>
        <v/>
      </c>
      <c r="CV218" s="468">
        <f>CV$213*$D218</f>
        <v/>
      </c>
      <c r="CW218" s="468">
        <f>CW$213*$D218</f>
        <v/>
      </c>
      <c r="CX218" s="468">
        <f>CX$213*$D218</f>
        <v/>
      </c>
      <c r="CY218" s="468">
        <f>CY$213*$D218</f>
        <v/>
      </c>
      <c r="CZ218" s="468">
        <f>CZ$213*$D218</f>
        <v/>
      </c>
      <c r="DA218" s="468">
        <f>DA$213*$D218</f>
        <v/>
      </c>
      <c r="DB218" s="468">
        <f>DB$213*$D218</f>
        <v/>
      </c>
      <c r="DC218" s="468">
        <f>DC$213*$D218</f>
        <v/>
      </c>
      <c r="DD218" s="468">
        <f>DD$213*$D218</f>
        <v/>
      </c>
      <c r="DE218" s="468">
        <f>DE$213*$D218</f>
        <v/>
      </c>
      <c r="DF218" s="468">
        <f>DF$213*$D218</f>
        <v/>
      </c>
      <c r="DG218" s="468">
        <f>DG$213*$D218</f>
        <v/>
      </c>
      <c r="DH218" s="468">
        <f>DH$213*$D218</f>
        <v/>
      </c>
      <c r="DI218" s="468">
        <f>DI$213*$D218</f>
        <v/>
      </c>
      <c r="DJ218" s="468">
        <f>DJ$213*$D218</f>
        <v/>
      </c>
      <c r="DK218" s="468">
        <f>DK$213*$D218</f>
        <v/>
      </c>
      <c r="DL218" s="468">
        <f>DL$213*$D218</f>
        <v/>
      </c>
      <c r="DM218" s="468">
        <f>DM$213*$D218</f>
        <v/>
      </c>
      <c r="DN218" s="468">
        <f>DN$213*$D218</f>
        <v/>
      </c>
      <c r="DO218" s="468">
        <f>DO$213*$D218</f>
        <v/>
      </c>
      <c r="DP218" s="468">
        <f>DP$213*$D218</f>
        <v/>
      </c>
      <c r="DQ218" s="468">
        <f>DQ$213*$D218</f>
        <v/>
      </c>
      <c r="DR218" s="468">
        <f>DR$213*$D218</f>
        <v/>
      </c>
      <c r="DS218" s="468">
        <f>DS$213*$D218</f>
        <v/>
      </c>
      <c r="DT218" s="468">
        <f>DT$213*$D218</f>
        <v/>
      </c>
      <c r="DU218" s="468">
        <f>DU$213*$D218</f>
        <v/>
      </c>
      <c r="DV218" s="468">
        <f>DV$213*$D218</f>
        <v/>
      </c>
      <c r="DW218" s="322" t="inlineStr">
        <is>
          <t>x</t>
        </is>
      </c>
    </row>
    <row r="219" hidden="1" outlineLevel="1">
      <c r="C219" s="374">
        <f>C210</f>
        <v/>
      </c>
      <c r="D219" s="486">
        <f>G42</f>
        <v/>
      </c>
      <c r="E219" s="468">
        <f>SUM(F219:DV219)</f>
        <v/>
      </c>
      <c r="F219" s="468">
        <f>F$213*$D219</f>
        <v/>
      </c>
      <c r="G219" s="468">
        <f>G$213*$D219</f>
        <v/>
      </c>
      <c r="H219" s="468">
        <f>H$213*$D219</f>
        <v/>
      </c>
      <c r="I219" s="468">
        <f>I$213*$D219</f>
        <v/>
      </c>
      <c r="J219" s="468">
        <f>J$213*$D219</f>
        <v/>
      </c>
      <c r="K219" s="468">
        <f>K$213*$D219</f>
        <v/>
      </c>
      <c r="L219" s="468">
        <f>L$213*$D219</f>
        <v/>
      </c>
      <c r="M219" s="468">
        <f>M$213*$D219</f>
        <v/>
      </c>
      <c r="N219" s="468">
        <f>N$213*$D219</f>
        <v/>
      </c>
      <c r="O219" s="468">
        <f>O$213*$D219</f>
        <v/>
      </c>
      <c r="P219" s="468">
        <f>P$213*$D219</f>
        <v/>
      </c>
      <c r="Q219" s="468">
        <f>Q$213*$D219</f>
        <v/>
      </c>
      <c r="R219" s="468">
        <f>R$213*$D219</f>
        <v/>
      </c>
      <c r="S219" s="468">
        <f>S$213*$D219</f>
        <v/>
      </c>
      <c r="T219" s="468">
        <f>T$213*$D219</f>
        <v/>
      </c>
      <c r="U219" s="468">
        <f>U$213*$D219</f>
        <v/>
      </c>
      <c r="V219" s="468">
        <f>V$213*$D219</f>
        <v/>
      </c>
      <c r="W219" s="468">
        <f>W$213*$D219</f>
        <v/>
      </c>
      <c r="X219" s="468">
        <f>X$213*$D219</f>
        <v/>
      </c>
      <c r="Y219" s="468">
        <f>Y$213*$D219</f>
        <v/>
      </c>
      <c r="Z219" s="468">
        <f>Z$213*$D219</f>
        <v/>
      </c>
      <c r="AA219" s="468">
        <f>AA$213*$D219</f>
        <v/>
      </c>
      <c r="AB219" s="468">
        <f>AB$213*$D219</f>
        <v/>
      </c>
      <c r="AC219" s="468">
        <f>AC$213*$D219</f>
        <v/>
      </c>
      <c r="AD219" s="468">
        <f>AD$213*$D219</f>
        <v/>
      </c>
      <c r="AE219" s="468">
        <f>AE$213*$D219</f>
        <v/>
      </c>
      <c r="AF219" s="468">
        <f>AF$213*$D219</f>
        <v/>
      </c>
      <c r="AG219" s="468">
        <f>AG$213*$D219</f>
        <v/>
      </c>
      <c r="AH219" s="468">
        <f>AH$213*$D219</f>
        <v/>
      </c>
      <c r="AI219" s="468">
        <f>AI$213*$D219</f>
        <v/>
      </c>
      <c r="AJ219" s="468">
        <f>AJ$213*$D219</f>
        <v/>
      </c>
      <c r="AK219" s="468">
        <f>AK$213*$D219</f>
        <v/>
      </c>
      <c r="AL219" s="468">
        <f>AL$213*$D219</f>
        <v/>
      </c>
      <c r="AM219" s="468">
        <f>AM$213*$D219</f>
        <v/>
      </c>
      <c r="AN219" s="468">
        <f>AN$213*$D219</f>
        <v/>
      </c>
      <c r="AO219" s="468">
        <f>AO$213*$D219</f>
        <v/>
      </c>
      <c r="AP219" s="468">
        <f>AP$213*$D219</f>
        <v/>
      </c>
      <c r="AQ219" s="468">
        <f>AQ$213*$D219</f>
        <v/>
      </c>
      <c r="AR219" s="468">
        <f>AR$213*$D219</f>
        <v/>
      </c>
      <c r="AS219" s="468">
        <f>AS$213*$D219</f>
        <v/>
      </c>
      <c r="AT219" s="468">
        <f>AT$213*$D219</f>
        <v/>
      </c>
      <c r="AU219" s="468">
        <f>AU$213*$D219</f>
        <v/>
      </c>
      <c r="AV219" s="468">
        <f>AV$213*$D219</f>
        <v/>
      </c>
      <c r="AW219" s="468">
        <f>AW$213*$D219</f>
        <v/>
      </c>
      <c r="AX219" s="468">
        <f>AX$213*$D219</f>
        <v/>
      </c>
      <c r="AY219" s="468">
        <f>AY$213*$D219</f>
        <v/>
      </c>
      <c r="AZ219" s="468">
        <f>AZ$213*$D219</f>
        <v/>
      </c>
      <c r="BA219" s="468">
        <f>BA$213*$D219</f>
        <v/>
      </c>
      <c r="BB219" s="468">
        <f>BB$213*$D219</f>
        <v/>
      </c>
      <c r="BC219" s="468">
        <f>BC$213*$D219</f>
        <v/>
      </c>
      <c r="BD219" s="468">
        <f>BD$213*$D219</f>
        <v/>
      </c>
      <c r="BE219" s="468">
        <f>BE$213*$D219</f>
        <v/>
      </c>
      <c r="BF219" s="468">
        <f>BF$213*$D219</f>
        <v/>
      </c>
      <c r="BG219" s="468">
        <f>BG$213*$D219</f>
        <v/>
      </c>
      <c r="BH219" s="468">
        <f>BH$213*$D219</f>
        <v/>
      </c>
      <c r="BI219" s="468">
        <f>BI$213*$D219</f>
        <v/>
      </c>
      <c r="BJ219" s="468">
        <f>BJ$213*$D219</f>
        <v/>
      </c>
      <c r="BK219" s="468">
        <f>BK$213*$D219</f>
        <v/>
      </c>
      <c r="BL219" s="468">
        <f>BL$213*$D219</f>
        <v/>
      </c>
      <c r="BM219" s="468">
        <f>BM$213*$D219</f>
        <v/>
      </c>
      <c r="BN219" s="468">
        <f>BN$213*$D219</f>
        <v/>
      </c>
      <c r="BO219" s="468">
        <f>BO$213*$D219</f>
        <v/>
      </c>
      <c r="BP219" s="468">
        <f>BP$213*$D219</f>
        <v/>
      </c>
      <c r="BQ219" s="468">
        <f>BQ$213*$D219</f>
        <v/>
      </c>
      <c r="BR219" s="468">
        <f>BR$213*$D219</f>
        <v/>
      </c>
      <c r="BS219" s="468">
        <f>BS$213*$D219</f>
        <v/>
      </c>
      <c r="BT219" s="468">
        <f>BT$213*$D219</f>
        <v/>
      </c>
      <c r="BU219" s="468">
        <f>BU$213*$D219</f>
        <v/>
      </c>
      <c r="BV219" s="468">
        <f>BV$213*$D219</f>
        <v/>
      </c>
      <c r="BW219" s="468">
        <f>BW$213*$D219</f>
        <v/>
      </c>
      <c r="BX219" s="468">
        <f>BX$213*$D219</f>
        <v/>
      </c>
      <c r="BY219" s="468">
        <f>BY$213*$D219</f>
        <v/>
      </c>
      <c r="BZ219" s="468">
        <f>BZ$213*$D219</f>
        <v/>
      </c>
      <c r="CA219" s="468">
        <f>CA$213*$D219</f>
        <v/>
      </c>
      <c r="CB219" s="468">
        <f>CB$213*$D219</f>
        <v/>
      </c>
      <c r="CC219" s="468">
        <f>CC$213*$D219</f>
        <v/>
      </c>
      <c r="CD219" s="468">
        <f>CD$213*$D219</f>
        <v/>
      </c>
      <c r="CE219" s="468">
        <f>CE$213*$D219</f>
        <v/>
      </c>
      <c r="CF219" s="468">
        <f>CF$213*$D219</f>
        <v/>
      </c>
      <c r="CG219" s="468">
        <f>CG$213*$D219</f>
        <v/>
      </c>
      <c r="CH219" s="468">
        <f>CH$213*$D219</f>
        <v/>
      </c>
      <c r="CI219" s="468">
        <f>CI$213*$D219</f>
        <v/>
      </c>
      <c r="CJ219" s="468">
        <f>CJ$213*$D219</f>
        <v/>
      </c>
      <c r="CK219" s="468">
        <f>CK$213*$D219</f>
        <v/>
      </c>
      <c r="CL219" s="468">
        <f>CL$213*$D219</f>
        <v/>
      </c>
      <c r="CM219" s="468">
        <f>CM$213*$D219</f>
        <v/>
      </c>
      <c r="CN219" s="468">
        <f>CN$213*$D219</f>
        <v/>
      </c>
      <c r="CO219" s="468">
        <f>CO$213*$D219</f>
        <v/>
      </c>
      <c r="CP219" s="468">
        <f>CP$213*$D219</f>
        <v/>
      </c>
      <c r="CQ219" s="468">
        <f>CQ$213*$D219</f>
        <v/>
      </c>
      <c r="CR219" s="468">
        <f>CR$213*$D219</f>
        <v/>
      </c>
      <c r="CS219" s="468">
        <f>CS$213*$D219</f>
        <v/>
      </c>
      <c r="CT219" s="468">
        <f>CT$213*$D219</f>
        <v/>
      </c>
      <c r="CU219" s="468">
        <f>CU$213*$D219</f>
        <v/>
      </c>
      <c r="CV219" s="468">
        <f>CV$213*$D219</f>
        <v/>
      </c>
      <c r="CW219" s="468">
        <f>CW$213*$D219</f>
        <v/>
      </c>
      <c r="CX219" s="468">
        <f>CX$213*$D219</f>
        <v/>
      </c>
      <c r="CY219" s="468">
        <f>CY$213*$D219</f>
        <v/>
      </c>
      <c r="CZ219" s="468">
        <f>CZ$213*$D219</f>
        <v/>
      </c>
      <c r="DA219" s="468">
        <f>DA$213*$D219</f>
        <v/>
      </c>
      <c r="DB219" s="468">
        <f>DB$213*$D219</f>
        <v/>
      </c>
      <c r="DC219" s="468">
        <f>DC$213*$D219</f>
        <v/>
      </c>
      <c r="DD219" s="468">
        <f>DD$213*$D219</f>
        <v/>
      </c>
      <c r="DE219" s="468">
        <f>DE$213*$D219</f>
        <v/>
      </c>
      <c r="DF219" s="468">
        <f>DF$213*$D219</f>
        <v/>
      </c>
      <c r="DG219" s="468">
        <f>DG$213*$D219</f>
        <v/>
      </c>
      <c r="DH219" s="468">
        <f>DH$213*$D219</f>
        <v/>
      </c>
      <c r="DI219" s="468">
        <f>DI$213*$D219</f>
        <v/>
      </c>
      <c r="DJ219" s="468">
        <f>DJ$213*$D219</f>
        <v/>
      </c>
      <c r="DK219" s="468">
        <f>DK$213*$D219</f>
        <v/>
      </c>
      <c r="DL219" s="468">
        <f>DL$213*$D219</f>
        <v/>
      </c>
      <c r="DM219" s="468">
        <f>DM$213*$D219</f>
        <v/>
      </c>
      <c r="DN219" s="468">
        <f>DN$213*$D219</f>
        <v/>
      </c>
      <c r="DO219" s="468">
        <f>DO$213*$D219</f>
        <v/>
      </c>
      <c r="DP219" s="468">
        <f>DP$213*$D219</f>
        <v/>
      </c>
      <c r="DQ219" s="468">
        <f>DQ$213*$D219</f>
        <v/>
      </c>
      <c r="DR219" s="468">
        <f>DR$213*$D219</f>
        <v/>
      </c>
      <c r="DS219" s="468">
        <f>DS$213*$D219</f>
        <v/>
      </c>
      <c r="DT219" s="468">
        <f>DT$213*$D219</f>
        <v/>
      </c>
      <c r="DU219" s="468">
        <f>DU$213*$D219</f>
        <v/>
      </c>
      <c r="DV219" s="468">
        <f>DV$213*$D219</f>
        <v/>
      </c>
      <c r="DW219" s="322" t="inlineStr">
        <is>
          <t>x</t>
        </is>
      </c>
    </row>
    <row r="220" hidden="1" outlineLevel="1" ht="17.25" customHeight="1" thickBot="1">
      <c r="C220" s="365" t="inlineStr">
        <is>
          <t>Total Splits</t>
        </is>
      </c>
      <c r="D220" s="486" t="n"/>
      <c r="E220" s="658">
        <f>SUM(E217:E219)</f>
        <v/>
      </c>
      <c r="F220" s="658">
        <f>SUM(F217:F219)</f>
        <v/>
      </c>
      <c r="G220" s="658">
        <f>SUM(G217:G219)</f>
        <v/>
      </c>
      <c r="H220" s="658">
        <f>SUM(H217:H219)</f>
        <v/>
      </c>
      <c r="I220" s="658">
        <f>SUM(I217:I219)</f>
        <v/>
      </c>
      <c r="J220" s="658">
        <f>SUM(J217:J219)</f>
        <v/>
      </c>
      <c r="K220" s="658">
        <f>SUM(K217:K219)</f>
        <v/>
      </c>
      <c r="L220" s="658">
        <f>SUM(L217:L219)</f>
        <v/>
      </c>
      <c r="M220" s="658">
        <f>SUM(M217:M219)</f>
        <v/>
      </c>
      <c r="N220" s="658">
        <f>SUM(N217:N219)</f>
        <v/>
      </c>
      <c r="O220" s="658">
        <f>SUM(O217:O219)</f>
        <v/>
      </c>
      <c r="P220" s="658">
        <f>SUM(P217:P219)</f>
        <v/>
      </c>
      <c r="Q220" s="658">
        <f>SUM(Q217:Q219)</f>
        <v/>
      </c>
      <c r="R220" s="658">
        <f>SUM(R217:R219)</f>
        <v/>
      </c>
      <c r="S220" s="658">
        <f>SUM(S217:S219)</f>
        <v/>
      </c>
      <c r="T220" s="658">
        <f>SUM(T217:T219)</f>
        <v/>
      </c>
      <c r="U220" s="658">
        <f>SUM(U217:U219)</f>
        <v/>
      </c>
      <c r="V220" s="658">
        <f>SUM(V217:V219)</f>
        <v/>
      </c>
      <c r="W220" s="658">
        <f>SUM(W217:W219)</f>
        <v/>
      </c>
      <c r="X220" s="658">
        <f>SUM(X217:X219)</f>
        <v/>
      </c>
      <c r="Y220" s="658">
        <f>SUM(Y217:Y219)</f>
        <v/>
      </c>
      <c r="Z220" s="658">
        <f>SUM(Z217:Z219)</f>
        <v/>
      </c>
      <c r="AA220" s="658">
        <f>SUM(AA217:AA219)</f>
        <v/>
      </c>
      <c r="AB220" s="658">
        <f>SUM(AB217:AB219)</f>
        <v/>
      </c>
      <c r="AC220" s="658">
        <f>SUM(AC217:AC219)</f>
        <v/>
      </c>
      <c r="AD220" s="658">
        <f>SUM(AD217:AD219)</f>
        <v/>
      </c>
      <c r="AE220" s="658">
        <f>SUM(AE217:AE219)</f>
        <v/>
      </c>
      <c r="AF220" s="658">
        <f>SUM(AF217:AF219)</f>
        <v/>
      </c>
      <c r="AG220" s="658">
        <f>SUM(AG217:AG219)</f>
        <v/>
      </c>
      <c r="AH220" s="658">
        <f>SUM(AH217:AH219)</f>
        <v/>
      </c>
      <c r="AI220" s="658">
        <f>SUM(AI217:AI219)</f>
        <v/>
      </c>
      <c r="AJ220" s="658">
        <f>SUM(AJ217:AJ219)</f>
        <v/>
      </c>
      <c r="AK220" s="658">
        <f>SUM(AK217:AK219)</f>
        <v/>
      </c>
      <c r="AL220" s="658">
        <f>SUM(AL217:AL219)</f>
        <v/>
      </c>
      <c r="AM220" s="658">
        <f>SUM(AM217:AM219)</f>
        <v/>
      </c>
      <c r="AN220" s="658">
        <f>SUM(AN217:AN219)</f>
        <v/>
      </c>
      <c r="AO220" s="658">
        <f>SUM(AO217:AO219)</f>
        <v/>
      </c>
      <c r="AP220" s="658">
        <f>SUM(AP217:AP219)</f>
        <v/>
      </c>
      <c r="AQ220" s="658">
        <f>SUM(AQ217:AQ219)</f>
        <v/>
      </c>
      <c r="AR220" s="658">
        <f>SUM(AR217:AR219)</f>
        <v/>
      </c>
      <c r="AS220" s="658">
        <f>SUM(AS217:AS219)</f>
        <v/>
      </c>
      <c r="AT220" s="658">
        <f>SUM(AT217:AT219)</f>
        <v/>
      </c>
      <c r="AU220" s="658">
        <f>SUM(AU217:AU219)</f>
        <v/>
      </c>
      <c r="AV220" s="658">
        <f>SUM(AV217:AV219)</f>
        <v/>
      </c>
      <c r="AW220" s="658">
        <f>SUM(AW217:AW219)</f>
        <v/>
      </c>
      <c r="AX220" s="658">
        <f>SUM(AX217:AX219)</f>
        <v/>
      </c>
      <c r="AY220" s="658">
        <f>SUM(AY217:AY219)</f>
        <v/>
      </c>
      <c r="AZ220" s="658">
        <f>SUM(AZ217:AZ219)</f>
        <v/>
      </c>
      <c r="BA220" s="658">
        <f>SUM(BA217:BA219)</f>
        <v/>
      </c>
      <c r="BB220" s="658">
        <f>SUM(BB217:BB219)</f>
        <v/>
      </c>
      <c r="BC220" s="658">
        <f>SUM(BC217:BC219)</f>
        <v/>
      </c>
      <c r="BD220" s="658">
        <f>SUM(BD217:BD219)</f>
        <v/>
      </c>
      <c r="BE220" s="658">
        <f>SUM(BE217:BE219)</f>
        <v/>
      </c>
      <c r="BF220" s="658">
        <f>SUM(BF217:BF219)</f>
        <v/>
      </c>
      <c r="BG220" s="658">
        <f>SUM(BG217:BG219)</f>
        <v/>
      </c>
      <c r="BH220" s="658">
        <f>SUM(BH217:BH219)</f>
        <v/>
      </c>
      <c r="BI220" s="658">
        <f>SUM(BI217:BI219)</f>
        <v/>
      </c>
      <c r="BJ220" s="658">
        <f>SUM(BJ217:BJ219)</f>
        <v/>
      </c>
      <c r="BK220" s="658">
        <f>SUM(BK217:BK219)</f>
        <v/>
      </c>
      <c r="BL220" s="658">
        <f>SUM(BL217:BL219)</f>
        <v/>
      </c>
      <c r="BM220" s="658">
        <f>SUM(BM217:BM219)</f>
        <v/>
      </c>
      <c r="BN220" s="658">
        <f>SUM(BN217:BN219)</f>
        <v/>
      </c>
      <c r="BO220" s="658">
        <f>SUM(BO217:BO219)</f>
        <v/>
      </c>
      <c r="BP220" s="658">
        <f>SUM(BP217:BP219)</f>
        <v/>
      </c>
      <c r="BQ220" s="658">
        <f>SUM(BQ217:BQ219)</f>
        <v/>
      </c>
      <c r="BR220" s="658">
        <f>SUM(BR217:BR219)</f>
        <v/>
      </c>
      <c r="BS220" s="658">
        <f>SUM(BS217:BS219)</f>
        <v/>
      </c>
      <c r="BT220" s="658">
        <f>SUM(BT217:BT219)</f>
        <v/>
      </c>
      <c r="BU220" s="658">
        <f>SUM(BU217:BU219)</f>
        <v/>
      </c>
      <c r="BV220" s="658">
        <f>SUM(BV217:BV219)</f>
        <v/>
      </c>
      <c r="BW220" s="658">
        <f>SUM(BW217:BW219)</f>
        <v/>
      </c>
      <c r="BX220" s="658">
        <f>SUM(BX217:BX219)</f>
        <v/>
      </c>
      <c r="BY220" s="658">
        <f>SUM(BY217:BY219)</f>
        <v/>
      </c>
      <c r="BZ220" s="658">
        <f>SUM(BZ217:BZ219)</f>
        <v/>
      </c>
      <c r="CA220" s="658">
        <f>SUM(CA217:CA219)</f>
        <v/>
      </c>
      <c r="CB220" s="658">
        <f>SUM(CB217:CB219)</f>
        <v/>
      </c>
      <c r="CC220" s="658">
        <f>SUM(CC217:CC219)</f>
        <v/>
      </c>
      <c r="CD220" s="658">
        <f>SUM(CD217:CD219)</f>
        <v/>
      </c>
      <c r="CE220" s="658">
        <f>SUM(CE217:CE219)</f>
        <v/>
      </c>
      <c r="CF220" s="658">
        <f>SUM(CF217:CF219)</f>
        <v/>
      </c>
      <c r="CG220" s="658">
        <f>SUM(CG217:CG219)</f>
        <v/>
      </c>
      <c r="CH220" s="658">
        <f>SUM(CH217:CH219)</f>
        <v/>
      </c>
      <c r="CI220" s="658">
        <f>SUM(CI217:CI219)</f>
        <v/>
      </c>
      <c r="CJ220" s="658">
        <f>SUM(CJ217:CJ219)</f>
        <v/>
      </c>
      <c r="CK220" s="658">
        <f>SUM(CK217:CK219)</f>
        <v/>
      </c>
      <c r="CL220" s="658">
        <f>SUM(CL217:CL219)</f>
        <v/>
      </c>
      <c r="CM220" s="658">
        <f>SUM(CM217:CM219)</f>
        <v/>
      </c>
      <c r="CN220" s="658">
        <f>SUM(CN217:CN219)</f>
        <v/>
      </c>
      <c r="CO220" s="658">
        <f>SUM(CO217:CO219)</f>
        <v/>
      </c>
      <c r="CP220" s="658">
        <f>SUM(CP217:CP219)</f>
        <v/>
      </c>
      <c r="CQ220" s="658">
        <f>SUM(CQ217:CQ219)</f>
        <v/>
      </c>
      <c r="CR220" s="658">
        <f>SUM(CR217:CR219)</f>
        <v/>
      </c>
      <c r="CS220" s="658">
        <f>SUM(CS217:CS219)</f>
        <v/>
      </c>
      <c r="CT220" s="658">
        <f>SUM(CT217:CT219)</f>
        <v/>
      </c>
      <c r="CU220" s="658">
        <f>SUM(CU217:CU219)</f>
        <v/>
      </c>
      <c r="CV220" s="658">
        <f>SUM(CV217:CV219)</f>
        <v/>
      </c>
      <c r="CW220" s="658">
        <f>SUM(CW217:CW219)</f>
        <v/>
      </c>
      <c r="CX220" s="658">
        <f>SUM(CX217:CX219)</f>
        <v/>
      </c>
      <c r="CY220" s="658">
        <f>SUM(CY217:CY219)</f>
        <v/>
      </c>
      <c r="CZ220" s="658">
        <f>SUM(CZ217:CZ219)</f>
        <v/>
      </c>
      <c r="DA220" s="658">
        <f>SUM(DA217:DA219)</f>
        <v/>
      </c>
      <c r="DB220" s="658">
        <f>SUM(DB217:DB219)</f>
        <v/>
      </c>
      <c r="DC220" s="658">
        <f>SUM(DC217:DC219)</f>
        <v/>
      </c>
      <c r="DD220" s="658">
        <f>SUM(DD217:DD219)</f>
        <v/>
      </c>
      <c r="DE220" s="658">
        <f>SUM(DE217:DE219)</f>
        <v/>
      </c>
      <c r="DF220" s="658">
        <f>SUM(DF217:DF219)</f>
        <v/>
      </c>
      <c r="DG220" s="658">
        <f>SUM(DG217:DG219)</f>
        <v/>
      </c>
      <c r="DH220" s="658">
        <f>SUM(DH217:DH219)</f>
        <v/>
      </c>
      <c r="DI220" s="658">
        <f>SUM(DI217:DI219)</f>
        <v/>
      </c>
      <c r="DJ220" s="658">
        <f>SUM(DJ217:DJ219)</f>
        <v/>
      </c>
      <c r="DK220" s="658">
        <f>SUM(DK217:DK219)</f>
        <v/>
      </c>
      <c r="DL220" s="658">
        <f>SUM(DL217:DL219)</f>
        <v/>
      </c>
      <c r="DM220" s="658">
        <f>SUM(DM217:DM219)</f>
        <v/>
      </c>
      <c r="DN220" s="658">
        <f>SUM(DN217:DN219)</f>
        <v/>
      </c>
      <c r="DO220" s="658">
        <f>SUM(DO217:DO219)</f>
        <v/>
      </c>
      <c r="DP220" s="658">
        <f>SUM(DP217:DP219)</f>
        <v/>
      </c>
      <c r="DQ220" s="658">
        <f>SUM(DQ217:DQ219)</f>
        <v/>
      </c>
      <c r="DR220" s="658">
        <f>SUM(DR217:DR219)</f>
        <v/>
      </c>
      <c r="DS220" s="658">
        <f>SUM(DS217:DS219)</f>
        <v/>
      </c>
      <c r="DT220" s="658">
        <f>SUM(DT217:DT219)</f>
        <v/>
      </c>
      <c r="DU220" s="658">
        <f>SUM(DU217:DU219)</f>
        <v/>
      </c>
      <c r="DV220" s="658">
        <f>SUM(DV217:DV219)</f>
        <v/>
      </c>
      <c r="DW220" s="322" t="inlineStr">
        <is>
          <t>x</t>
        </is>
      </c>
    </row>
    <row r="221" hidden="1" outlineLevel="1" ht="17.25" customHeight="1" thickTop="1">
      <c r="C221" s="360" t="n"/>
      <c r="D221" s="360" t="n"/>
      <c r="E221" s="360" t="n"/>
      <c r="F221" s="360" t="n"/>
      <c r="G221" s="360" t="n"/>
      <c r="H221" s="360" t="n"/>
      <c r="I221" s="360" t="n"/>
      <c r="J221" s="360" t="n"/>
      <c r="K221" s="360" t="n"/>
      <c r="L221" s="360" t="n"/>
      <c r="M221" s="360" t="n"/>
      <c r="N221" s="360" t="n"/>
      <c r="O221" s="360" t="n"/>
      <c r="P221" s="360" t="n"/>
      <c r="Q221" s="360" t="n"/>
      <c r="R221" s="360" t="n"/>
      <c r="S221" s="360" t="n"/>
      <c r="T221" s="360" t="n"/>
      <c r="U221" s="360" t="n"/>
      <c r="V221" s="360" t="n"/>
      <c r="W221" s="360" t="n"/>
      <c r="X221" s="360" t="n"/>
      <c r="Y221" s="360" t="n"/>
      <c r="Z221" s="360" t="n"/>
      <c r="AA221" s="360" t="n"/>
      <c r="AB221" s="360" t="n"/>
      <c r="AC221" s="360" t="n"/>
      <c r="AD221" s="360" t="n"/>
      <c r="AE221" s="360" t="n"/>
      <c r="AF221" s="360" t="n"/>
      <c r="AG221" s="360" t="n"/>
      <c r="AH221" s="360" t="n"/>
      <c r="AI221" s="360" t="n"/>
      <c r="AJ221" s="360" t="n"/>
      <c r="AK221" s="360" t="n"/>
      <c r="AL221" s="360" t="n"/>
      <c r="AM221" s="360" t="n"/>
      <c r="AN221" s="360" t="n"/>
      <c r="AO221" s="360" t="n"/>
      <c r="AP221" s="360" t="n"/>
      <c r="AQ221" s="360" t="n"/>
      <c r="AR221" s="360" t="n"/>
      <c r="AS221" s="360" t="n"/>
      <c r="AT221" s="360" t="n"/>
      <c r="AU221" s="360" t="n"/>
      <c r="AV221" s="360" t="n"/>
      <c r="AW221" s="360" t="n"/>
      <c r="AX221" s="360" t="n"/>
      <c r="AY221" s="360" t="n"/>
      <c r="AZ221" s="360" t="n"/>
      <c r="BA221" s="360" t="n"/>
      <c r="BB221" s="360" t="n"/>
      <c r="BC221" s="360" t="n"/>
      <c r="BD221" s="360" t="n"/>
      <c r="BE221" s="360" t="n"/>
      <c r="BF221" s="360" t="n"/>
      <c r="BG221" s="360" t="n"/>
      <c r="BH221" s="360" t="n"/>
      <c r="BI221" s="360" t="n"/>
      <c r="BJ221" s="360" t="n"/>
      <c r="BK221" s="360" t="n"/>
      <c r="BL221" s="360" t="n"/>
      <c r="BM221" s="360" t="n"/>
      <c r="BN221" s="360" t="n"/>
      <c r="BO221" s="360" t="n"/>
      <c r="BP221" s="360" t="n"/>
      <c r="BQ221" s="360" t="n"/>
      <c r="BR221" s="360" t="n"/>
      <c r="BS221" s="360" t="n"/>
      <c r="BT221" s="360" t="n"/>
      <c r="BU221" s="360" t="n"/>
      <c r="BV221" s="360" t="n"/>
      <c r="BW221" s="360" t="n"/>
      <c r="BX221" s="360" t="n"/>
      <c r="BY221" s="360" t="n"/>
      <c r="BZ221" s="360" t="n"/>
      <c r="CA221" s="360" t="n"/>
      <c r="CB221" s="360" t="n"/>
      <c r="CC221" s="360" t="n"/>
      <c r="CD221" s="360" t="n"/>
      <c r="CE221" s="360" t="n"/>
      <c r="CF221" s="360" t="n"/>
      <c r="CG221" s="360" t="n"/>
      <c r="CH221" s="360" t="n"/>
      <c r="CI221" s="360" t="n"/>
      <c r="CJ221" s="360" t="n"/>
      <c r="CK221" s="360" t="n"/>
      <c r="CL221" s="360" t="n"/>
      <c r="CM221" s="360" t="n"/>
      <c r="CN221" s="360" t="n"/>
      <c r="CO221" s="360" t="n"/>
      <c r="CP221" s="360" t="n"/>
      <c r="CQ221" s="360" t="n"/>
      <c r="CR221" s="360" t="n"/>
      <c r="CS221" s="360" t="n"/>
      <c r="CT221" s="360" t="n"/>
      <c r="CU221" s="360" t="n"/>
      <c r="CV221" s="360" t="n"/>
      <c r="CW221" s="360" t="n"/>
      <c r="CX221" s="360" t="n"/>
      <c r="CY221" s="360" t="n"/>
      <c r="CZ221" s="360" t="n"/>
      <c r="DA221" s="360" t="n"/>
      <c r="DB221" s="360" t="n"/>
      <c r="DC221" s="360" t="n"/>
      <c r="DD221" s="360" t="n"/>
      <c r="DE221" s="360" t="n"/>
      <c r="DF221" s="360" t="n"/>
      <c r="DG221" s="360" t="n"/>
      <c r="DH221" s="360" t="n"/>
      <c r="DI221" s="360" t="n"/>
      <c r="DJ221" s="360" t="n"/>
      <c r="DK221" s="360" t="n"/>
      <c r="DL221" s="360" t="n"/>
      <c r="DM221" s="360" t="n"/>
      <c r="DN221" s="360" t="n"/>
      <c r="DO221" s="360" t="n"/>
      <c r="DP221" s="360" t="n"/>
      <c r="DQ221" s="360" t="n"/>
      <c r="DR221" s="360" t="n"/>
      <c r="DS221" s="360" t="n"/>
      <c r="DT221" s="360" t="n"/>
      <c r="DU221" s="360" t="n"/>
      <c r="DV221" s="360" t="n"/>
      <c r="DW221" s="322" t="inlineStr">
        <is>
          <t>x</t>
        </is>
      </c>
    </row>
    <row r="222" hidden="1" outlineLevel="1" ht="17.25" customHeight="1" thickBot="1">
      <c r="C222" s="365" t="inlineStr">
        <is>
          <t>Remaining Cash to Distribute</t>
        </is>
      </c>
      <c r="D222" s="487" t="n"/>
      <c r="E222" s="685">
        <f>SUM(F222:DV222)</f>
        <v/>
      </c>
      <c r="F222" s="685" t="n">
        <v>0</v>
      </c>
      <c r="G222" s="685">
        <f>G213-G220</f>
        <v/>
      </c>
      <c r="H222" s="685">
        <f>H213-H220</f>
        <v/>
      </c>
      <c r="I222" s="685">
        <f>I213-I220</f>
        <v/>
      </c>
      <c r="J222" s="685">
        <f>J213-J220</f>
        <v/>
      </c>
      <c r="K222" s="685">
        <f>K213-K220</f>
        <v/>
      </c>
      <c r="L222" s="685">
        <f>L213-L220</f>
        <v/>
      </c>
      <c r="M222" s="685">
        <f>M213-M220</f>
        <v/>
      </c>
      <c r="N222" s="685">
        <f>N213-N220</f>
        <v/>
      </c>
      <c r="O222" s="685">
        <f>O213-O220</f>
        <v/>
      </c>
      <c r="P222" s="685">
        <f>P213-P220</f>
        <v/>
      </c>
      <c r="Q222" s="685">
        <f>Q213-Q220</f>
        <v/>
      </c>
      <c r="R222" s="685">
        <f>R213-R220</f>
        <v/>
      </c>
      <c r="S222" s="685">
        <f>S213-S220</f>
        <v/>
      </c>
      <c r="T222" s="685">
        <f>T213-T220</f>
        <v/>
      </c>
      <c r="U222" s="685">
        <f>U213-U220</f>
        <v/>
      </c>
      <c r="V222" s="685">
        <f>V213-V220</f>
        <v/>
      </c>
      <c r="W222" s="685">
        <f>W213-W220</f>
        <v/>
      </c>
      <c r="X222" s="685">
        <f>X213-X220</f>
        <v/>
      </c>
      <c r="Y222" s="685">
        <f>Y213-Y220</f>
        <v/>
      </c>
      <c r="Z222" s="685">
        <f>Z213-Z220</f>
        <v/>
      </c>
      <c r="AA222" s="685">
        <f>AA213-AA220</f>
        <v/>
      </c>
      <c r="AB222" s="685">
        <f>AB213-AB220</f>
        <v/>
      </c>
      <c r="AC222" s="685">
        <f>AC213-AC220</f>
        <v/>
      </c>
      <c r="AD222" s="685">
        <f>AD213-AD220</f>
        <v/>
      </c>
      <c r="AE222" s="685">
        <f>AE213-AE220</f>
        <v/>
      </c>
      <c r="AF222" s="685">
        <f>AF213-AF220</f>
        <v/>
      </c>
      <c r="AG222" s="685">
        <f>AG213-AG220</f>
        <v/>
      </c>
      <c r="AH222" s="685">
        <f>AH213-AH220</f>
        <v/>
      </c>
      <c r="AI222" s="685">
        <f>AI213-AI220</f>
        <v/>
      </c>
      <c r="AJ222" s="685">
        <f>AJ213-AJ220</f>
        <v/>
      </c>
      <c r="AK222" s="685">
        <f>AK213-AK220</f>
        <v/>
      </c>
      <c r="AL222" s="685">
        <f>AL213-AL220</f>
        <v/>
      </c>
      <c r="AM222" s="685">
        <f>AM213-AM220</f>
        <v/>
      </c>
      <c r="AN222" s="685">
        <f>AN213-AN220</f>
        <v/>
      </c>
      <c r="AO222" s="685">
        <f>AO213-AO220</f>
        <v/>
      </c>
      <c r="AP222" s="685">
        <f>AP213-AP220</f>
        <v/>
      </c>
      <c r="AQ222" s="685">
        <f>AQ213-AQ220</f>
        <v/>
      </c>
      <c r="AR222" s="685">
        <f>AR213-AR220</f>
        <v/>
      </c>
      <c r="AS222" s="685">
        <f>AS213-AS220</f>
        <v/>
      </c>
      <c r="AT222" s="685">
        <f>AT213-AT220</f>
        <v/>
      </c>
      <c r="AU222" s="685">
        <f>AU213-AU220</f>
        <v/>
      </c>
      <c r="AV222" s="685">
        <f>AV213-AV220</f>
        <v/>
      </c>
      <c r="AW222" s="685">
        <f>AW213-AW220</f>
        <v/>
      </c>
      <c r="AX222" s="685">
        <f>AX213-AX220</f>
        <v/>
      </c>
      <c r="AY222" s="685">
        <f>AY213-AY220</f>
        <v/>
      </c>
      <c r="AZ222" s="685">
        <f>AZ213-AZ220</f>
        <v/>
      </c>
      <c r="BA222" s="685">
        <f>BA213-BA220</f>
        <v/>
      </c>
      <c r="BB222" s="685">
        <f>BB213-BB220</f>
        <v/>
      </c>
      <c r="BC222" s="685">
        <f>BC213-BC220</f>
        <v/>
      </c>
      <c r="BD222" s="685">
        <f>BD213-BD220</f>
        <v/>
      </c>
      <c r="BE222" s="685">
        <f>BE213-BE220</f>
        <v/>
      </c>
      <c r="BF222" s="685">
        <f>BF213-BF220</f>
        <v/>
      </c>
      <c r="BG222" s="685">
        <f>BG213-BG220</f>
        <v/>
      </c>
      <c r="BH222" s="685">
        <f>BH213-BH220</f>
        <v/>
      </c>
      <c r="BI222" s="685">
        <f>BI213-BI220</f>
        <v/>
      </c>
      <c r="BJ222" s="685">
        <f>BJ213-BJ220</f>
        <v/>
      </c>
      <c r="BK222" s="685">
        <f>BK213-BK220</f>
        <v/>
      </c>
      <c r="BL222" s="685">
        <f>BL213-BL220</f>
        <v/>
      </c>
      <c r="BM222" s="685">
        <f>BM213-BM220</f>
        <v/>
      </c>
      <c r="BN222" s="685">
        <f>BN213-BN220</f>
        <v/>
      </c>
      <c r="BO222" s="685">
        <f>BO213-BO220</f>
        <v/>
      </c>
      <c r="BP222" s="685">
        <f>BP213-BP220</f>
        <v/>
      </c>
      <c r="BQ222" s="685">
        <f>BQ213-BQ220</f>
        <v/>
      </c>
      <c r="BR222" s="685">
        <f>BR213-BR220</f>
        <v/>
      </c>
      <c r="BS222" s="685">
        <f>BS213-BS220</f>
        <v/>
      </c>
      <c r="BT222" s="685">
        <f>BT213-BT220</f>
        <v/>
      </c>
      <c r="BU222" s="685">
        <f>BU213-BU220</f>
        <v/>
      </c>
      <c r="BV222" s="685">
        <f>BV213-BV220</f>
        <v/>
      </c>
      <c r="BW222" s="685">
        <f>BW213-BW220</f>
        <v/>
      </c>
      <c r="BX222" s="685">
        <f>BX213-BX220</f>
        <v/>
      </c>
      <c r="BY222" s="685">
        <f>BY213-BY220</f>
        <v/>
      </c>
      <c r="BZ222" s="685">
        <f>BZ213-BZ220</f>
        <v/>
      </c>
      <c r="CA222" s="685">
        <f>CA213-CA220</f>
        <v/>
      </c>
      <c r="CB222" s="685">
        <f>CB213-CB220</f>
        <v/>
      </c>
      <c r="CC222" s="685">
        <f>CC213-CC220</f>
        <v/>
      </c>
      <c r="CD222" s="685">
        <f>CD213-CD220</f>
        <v/>
      </c>
      <c r="CE222" s="685">
        <f>CE213-CE220</f>
        <v/>
      </c>
      <c r="CF222" s="685">
        <f>CF213-CF220</f>
        <v/>
      </c>
      <c r="CG222" s="685">
        <f>CG213-CG220</f>
        <v/>
      </c>
      <c r="CH222" s="685">
        <f>CH213-CH220</f>
        <v/>
      </c>
      <c r="CI222" s="685">
        <f>CI213-CI220</f>
        <v/>
      </c>
      <c r="CJ222" s="685">
        <f>CJ213-CJ220</f>
        <v/>
      </c>
      <c r="CK222" s="685">
        <f>CK213-CK220</f>
        <v/>
      </c>
      <c r="CL222" s="685">
        <f>CL213-CL220</f>
        <v/>
      </c>
      <c r="CM222" s="685">
        <f>CM213-CM220</f>
        <v/>
      </c>
      <c r="CN222" s="685">
        <f>CN213-CN220</f>
        <v/>
      </c>
      <c r="CO222" s="685">
        <f>CO213-CO220</f>
        <v/>
      </c>
      <c r="CP222" s="685">
        <f>CP213-CP220</f>
        <v/>
      </c>
      <c r="CQ222" s="685">
        <f>CQ213-CQ220</f>
        <v/>
      </c>
      <c r="CR222" s="685">
        <f>CR213-CR220</f>
        <v/>
      </c>
      <c r="CS222" s="685">
        <f>CS213-CS220</f>
        <v/>
      </c>
      <c r="CT222" s="685">
        <f>CT213-CT220</f>
        <v/>
      </c>
      <c r="CU222" s="685">
        <f>CU213-CU220</f>
        <v/>
      </c>
      <c r="CV222" s="685">
        <f>CV213-CV220</f>
        <v/>
      </c>
      <c r="CW222" s="685">
        <f>CW213-CW220</f>
        <v/>
      </c>
      <c r="CX222" s="685">
        <f>CX213-CX220</f>
        <v/>
      </c>
      <c r="CY222" s="685">
        <f>CY213-CY220</f>
        <v/>
      </c>
      <c r="CZ222" s="685">
        <f>CZ213-CZ220</f>
        <v/>
      </c>
      <c r="DA222" s="685">
        <f>DA213-DA220</f>
        <v/>
      </c>
      <c r="DB222" s="685">
        <f>DB213-DB220</f>
        <v/>
      </c>
      <c r="DC222" s="685">
        <f>DC213-DC220</f>
        <v/>
      </c>
      <c r="DD222" s="685">
        <f>DD213-DD220</f>
        <v/>
      </c>
      <c r="DE222" s="685">
        <f>DE213-DE220</f>
        <v/>
      </c>
      <c r="DF222" s="685">
        <f>DF213-DF220</f>
        <v/>
      </c>
      <c r="DG222" s="685">
        <f>DG213-DG220</f>
        <v/>
      </c>
      <c r="DH222" s="685">
        <f>DH213-DH220</f>
        <v/>
      </c>
      <c r="DI222" s="685">
        <f>DI213-DI220</f>
        <v/>
      </c>
      <c r="DJ222" s="685">
        <f>DJ213-DJ220</f>
        <v/>
      </c>
      <c r="DK222" s="685">
        <f>DK213-DK220</f>
        <v/>
      </c>
      <c r="DL222" s="685">
        <f>DL213-DL220</f>
        <v/>
      </c>
      <c r="DM222" s="685">
        <f>DM213-DM220</f>
        <v/>
      </c>
      <c r="DN222" s="685">
        <f>DN213-DN220</f>
        <v/>
      </c>
      <c r="DO222" s="685">
        <f>DO213-DO220</f>
        <v/>
      </c>
      <c r="DP222" s="685">
        <f>DP213-DP220</f>
        <v/>
      </c>
      <c r="DQ222" s="685">
        <f>DQ213-DQ220</f>
        <v/>
      </c>
      <c r="DR222" s="685">
        <f>DR213-DR220</f>
        <v/>
      </c>
      <c r="DS222" s="685">
        <f>DS213-DS220</f>
        <v/>
      </c>
      <c r="DT222" s="685">
        <f>DT213-DT220</f>
        <v/>
      </c>
      <c r="DU222" s="685">
        <f>DU213-DU220</f>
        <v/>
      </c>
      <c r="DV222" s="685">
        <f>DV213-DV220</f>
        <v/>
      </c>
      <c r="DW222" s="322" t="inlineStr">
        <is>
          <t>x</t>
        </is>
      </c>
    </row>
    <row r="223" collapsed="1">
      <c r="C223" s="365" t="n"/>
      <c r="D223" s="487" t="n"/>
      <c r="E223" s="686" t="n"/>
      <c r="F223" s="686" t="n"/>
      <c r="G223" s="686" t="n"/>
      <c r="H223" s="686" t="n"/>
      <c r="I223" s="686" t="n"/>
      <c r="J223" s="686" t="n"/>
      <c r="K223" s="686" t="n"/>
      <c r="L223" s="686" t="n"/>
      <c r="M223" s="686" t="n"/>
      <c r="N223" s="686" t="n"/>
      <c r="O223" s="686" t="n"/>
      <c r="P223" s="686" t="n"/>
      <c r="Q223" s="686" t="n"/>
      <c r="R223" s="686" t="n"/>
      <c r="S223" s="686" t="n"/>
      <c r="T223" s="686" t="n"/>
      <c r="U223" s="686" t="n"/>
      <c r="V223" s="686" t="n"/>
      <c r="W223" s="686" t="n"/>
      <c r="X223" s="686" t="n"/>
      <c r="Y223" s="686" t="n"/>
      <c r="Z223" s="686" t="n"/>
      <c r="AA223" s="686" t="n"/>
      <c r="AB223" s="686" t="n"/>
      <c r="AC223" s="686" t="n"/>
      <c r="AD223" s="686" t="n"/>
      <c r="AE223" s="686" t="n"/>
      <c r="AF223" s="686" t="n"/>
      <c r="AG223" s="686" t="n"/>
      <c r="AH223" s="686" t="n"/>
      <c r="AI223" s="686" t="n"/>
      <c r="AJ223" s="686" t="n"/>
      <c r="AK223" s="686" t="n"/>
      <c r="AL223" s="686" t="n"/>
      <c r="AM223" s="686" t="n"/>
      <c r="AN223" s="686" t="n"/>
      <c r="AO223" s="686" t="n"/>
      <c r="AP223" s="686" t="n"/>
      <c r="AQ223" s="686" t="n"/>
      <c r="AR223" s="686" t="n"/>
      <c r="AS223" s="686" t="n"/>
      <c r="AT223" s="686" t="n"/>
      <c r="AU223" s="686" t="n"/>
      <c r="AV223" s="686" t="n"/>
      <c r="AW223" s="686" t="n"/>
      <c r="AX223" s="686" t="n"/>
      <c r="AY223" s="686" t="n"/>
      <c r="AZ223" s="686" t="n"/>
      <c r="BA223" s="686" t="n"/>
      <c r="BB223" s="686" t="n"/>
      <c r="BC223" s="686" t="n"/>
      <c r="BD223" s="686" t="n"/>
      <c r="BE223" s="686" t="n"/>
      <c r="BF223" s="686" t="n"/>
      <c r="BG223" s="686" t="n"/>
      <c r="BH223" s="686" t="n"/>
      <c r="BI223" s="686" t="n"/>
      <c r="BJ223" s="686" t="n"/>
      <c r="BK223" s="686" t="n"/>
      <c r="BL223" s="686" t="n"/>
      <c r="BM223" s="686" t="n"/>
      <c r="BN223" s="686" t="n"/>
      <c r="BO223" s="686" t="n"/>
      <c r="BP223" s="686" t="n"/>
      <c r="BQ223" s="686" t="n"/>
      <c r="BR223" s="686" t="n"/>
      <c r="BS223" s="686" t="n"/>
      <c r="BT223" s="686" t="n"/>
      <c r="BU223" s="686" t="n"/>
      <c r="BV223" s="686" t="n"/>
      <c r="BW223" s="686" t="n"/>
      <c r="BX223" s="686" t="n"/>
      <c r="BY223" s="686" t="n"/>
      <c r="BZ223" s="686" t="n"/>
      <c r="CA223" s="686" t="n"/>
      <c r="CB223" s="686" t="n"/>
      <c r="CC223" s="686" t="n"/>
      <c r="CD223" s="686" t="n"/>
      <c r="CE223" s="686" t="n"/>
      <c r="CF223" s="686" t="n"/>
      <c r="CG223" s="686" t="n"/>
      <c r="CH223" s="686" t="n"/>
      <c r="CI223" s="686" t="n"/>
      <c r="CJ223" s="686" t="n"/>
      <c r="CK223" s="686" t="n"/>
      <c r="CL223" s="686" t="n"/>
      <c r="CM223" s="686" t="n"/>
      <c r="CN223" s="686" t="n"/>
      <c r="CO223" s="686" t="n"/>
      <c r="CP223" s="686" t="n"/>
      <c r="CQ223" s="686" t="n"/>
      <c r="CR223" s="686" t="n"/>
      <c r="CS223" s="686" t="n"/>
      <c r="CT223" s="686" t="n"/>
      <c r="CU223" s="686" t="n"/>
      <c r="CV223" s="686" t="n"/>
      <c r="CW223" s="686" t="n"/>
      <c r="CX223" s="686" t="n"/>
      <c r="CY223" s="686" t="n"/>
      <c r="CZ223" s="686" t="n"/>
      <c r="DA223" s="686" t="n"/>
      <c r="DB223" s="686" t="n"/>
      <c r="DC223" s="686" t="n"/>
      <c r="DD223" s="686" t="n"/>
      <c r="DE223" s="686" t="n"/>
      <c r="DF223" s="686" t="n"/>
      <c r="DG223" s="686" t="n"/>
      <c r="DH223" s="686" t="n"/>
      <c r="DI223" s="686" t="n"/>
      <c r="DJ223" s="686" t="n"/>
      <c r="DK223" s="686" t="n"/>
      <c r="DL223" s="686" t="n"/>
      <c r="DM223" s="686" t="n"/>
      <c r="DN223" s="686" t="n"/>
      <c r="DO223" s="686" t="n"/>
      <c r="DP223" s="686" t="n"/>
      <c r="DQ223" s="686" t="n"/>
      <c r="DR223" s="686" t="n"/>
      <c r="DS223" s="686" t="n"/>
      <c r="DT223" s="686" t="n"/>
      <c r="DU223" s="686" t="n"/>
      <c r="DV223" s="686" t="n"/>
      <c r="DW223" s="322" t="inlineStr">
        <is>
          <t>x</t>
        </is>
      </c>
    </row>
    <row r="224">
      <c r="C224" s="365" t="n"/>
      <c r="D224" s="487" t="n"/>
      <c r="E224" s="686" t="n"/>
      <c r="F224" s="686" t="n"/>
      <c r="G224" s="686" t="n"/>
      <c r="H224" s="686" t="n"/>
      <c r="I224" s="686" t="n"/>
      <c r="J224" s="686" t="n"/>
      <c r="K224" s="686" t="n"/>
      <c r="L224" s="686" t="n"/>
      <c r="M224" s="686" t="n"/>
      <c r="N224" s="686" t="n"/>
      <c r="O224" s="686" t="n"/>
      <c r="P224" s="686" t="n"/>
      <c r="Q224" s="686" t="n"/>
      <c r="R224" s="686" t="n"/>
      <c r="S224" s="686" t="n"/>
      <c r="T224" s="686" t="n"/>
      <c r="U224" s="686" t="n"/>
      <c r="V224" s="686" t="n"/>
      <c r="W224" s="686" t="n"/>
      <c r="X224" s="686" t="n"/>
      <c r="Y224" s="686" t="n"/>
      <c r="Z224" s="686" t="n"/>
      <c r="AA224" s="686" t="n"/>
      <c r="AB224" s="686" t="n"/>
      <c r="AC224" s="686" t="n"/>
      <c r="AD224" s="686" t="n"/>
      <c r="AE224" s="686" t="n"/>
      <c r="AF224" s="686" t="n"/>
      <c r="AG224" s="686" t="n"/>
      <c r="AH224" s="686" t="n"/>
      <c r="AI224" s="686" t="n"/>
      <c r="AJ224" s="686" t="n"/>
      <c r="AK224" s="686" t="n"/>
      <c r="AL224" s="686" t="n"/>
      <c r="AM224" s="686" t="n"/>
      <c r="AN224" s="686" t="n"/>
      <c r="AO224" s="686" t="n"/>
      <c r="AP224" s="686" t="n"/>
      <c r="AQ224" s="686" t="n"/>
      <c r="AR224" s="686" t="n"/>
      <c r="AS224" s="686" t="n"/>
      <c r="AT224" s="686" t="n"/>
      <c r="AU224" s="686" t="n"/>
      <c r="AV224" s="686" t="n"/>
      <c r="AW224" s="686" t="n"/>
      <c r="AX224" s="686" t="n"/>
      <c r="AY224" s="686" t="n"/>
      <c r="AZ224" s="686" t="n"/>
      <c r="BA224" s="686" t="n"/>
      <c r="BB224" s="686" t="n"/>
      <c r="BC224" s="686" t="n"/>
      <c r="BD224" s="686" t="n"/>
      <c r="BE224" s="686" t="n"/>
      <c r="BF224" s="686" t="n"/>
      <c r="BG224" s="686" t="n"/>
      <c r="BH224" s="686" t="n"/>
      <c r="BI224" s="686" t="n"/>
      <c r="BJ224" s="686" t="n"/>
      <c r="BK224" s="686" t="n"/>
      <c r="BL224" s="686" t="n"/>
      <c r="BM224" s="686" t="n"/>
      <c r="BN224" s="686" t="n"/>
      <c r="BO224" s="686" t="n"/>
      <c r="BP224" s="686" t="n"/>
      <c r="BQ224" s="686" t="n"/>
      <c r="BR224" s="686" t="n"/>
      <c r="BS224" s="686" t="n"/>
      <c r="BT224" s="686" t="n"/>
      <c r="BU224" s="686" t="n"/>
      <c r="BV224" s="686" t="n"/>
      <c r="BW224" s="686" t="n"/>
      <c r="BX224" s="686" t="n"/>
      <c r="BY224" s="686" t="n"/>
      <c r="BZ224" s="686" t="n"/>
      <c r="CA224" s="686" t="n"/>
      <c r="CB224" s="686" t="n"/>
      <c r="CC224" s="686" t="n"/>
      <c r="CD224" s="686" t="n"/>
      <c r="CE224" s="686" t="n"/>
      <c r="CF224" s="686" t="n"/>
      <c r="CG224" s="686" t="n"/>
      <c r="CH224" s="686" t="n"/>
      <c r="CI224" s="686" t="n"/>
      <c r="CJ224" s="686" t="n"/>
      <c r="CK224" s="686" t="n"/>
      <c r="CL224" s="686" t="n"/>
      <c r="CM224" s="686" t="n"/>
      <c r="CN224" s="686" t="n"/>
      <c r="CO224" s="686" t="n"/>
      <c r="CP224" s="686" t="n"/>
      <c r="CQ224" s="686" t="n"/>
      <c r="CR224" s="686" t="n"/>
      <c r="CS224" s="686" t="n"/>
      <c r="CT224" s="686" t="n"/>
      <c r="CU224" s="686" t="n"/>
      <c r="CV224" s="686" t="n"/>
      <c r="CW224" s="686" t="n"/>
      <c r="CX224" s="686" t="n"/>
      <c r="CY224" s="686" t="n"/>
      <c r="CZ224" s="686" t="n"/>
      <c r="DA224" s="686" t="n"/>
      <c r="DB224" s="686" t="n"/>
      <c r="DC224" s="686" t="n"/>
      <c r="DD224" s="686" t="n"/>
      <c r="DE224" s="686" t="n"/>
      <c r="DF224" s="686" t="n"/>
      <c r="DG224" s="686" t="n"/>
      <c r="DH224" s="686" t="n"/>
      <c r="DI224" s="686" t="n"/>
      <c r="DJ224" s="686" t="n"/>
      <c r="DK224" s="686" t="n"/>
      <c r="DL224" s="686" t="n"/>
      <c r="DM224" s="686" t="n"/>
      <c r="DN224" s="686" t="n"/>
      <c r="DO224" s="686" t="n"/>
      <c r="DP224" s="686" t="n"/>
      <c r="DQ224" s="686" t="n"/>
      <c r="DR224" s="686" t="n"/>
      <c r="DS224" s="686" t="n"/>
      <c r="DT224" s="686" t="n"/>
      <c r="DU224" s="686" t="n"/>
      <c r="DV224" s="686" t="n"/>
      <c r="DW224" s="322" t="inlineStr">
        <is>
          <t>x</t>
        </is>
      </c>
    </row>
  </sheetData>
  <conditionalFormatting sqref="D15:E15">
    <cfRule type="expression" priority="1" dxfId="0">
      <formula>#REF!=1</formula>
    </cfRule>
  </conditionalFormatting>
  <conditionalFormatting sqref="D22:E22">
    <cfRule type="expression" priority="2" dxfId="0">
      <formula>#REF!=1</formula>
    </cfRule>
  </conditionalFormatting>
  <dataValidations disablePrompts="1" count="1">
    <dataValidation sqref="C27" showDropDown="0" showInputMessage="1" showErrorMessage="1" allowBlank="1" type="list">
      <formula1>"0,1"</formula1>
    </dataValidation>
  </dataValidations>
  <pageMargins left="0.7" right="0.7" top="0.75" bottom="0.75" header="0.3" footer="0.3"/>
  <pageSetup orientation="portrait" scale="10"/>
</worksheet>
</file>

<file path=xl/worksheets/sheet18.xml><?xml version="1.0" encoding="utf-8"?>
<worksheet xmlns="http://schemas.openxmlformats.org/spreadsheetml/2006/main">
  <sheetPr>
    <tabColor theme="0" tint="-0.0499893185216834"/>
    <outlinePr summaryBelow="1" summaryRight="1"/>
    <pageSetUpPr fitToPage="1"/>
  </sheetPr>
  <dimension ref="A1:U55"/>
  <sheetViews>
    <sheetView showGridLines="1" view="normal" zoomScale="85" zoomScaleNormal="100" zoomScaleSheetLayoutView="85" workbookViewId="0">
      <selection activeCell="A1" sqref="A1"/>
    </sheetView>
  </sheetViews>
  <sheetFormatPr baseColWidth="8" defaultColWidth="9.140625" defaultRowHeight="16.5" outlineLevelRow="1"/>
  <cols>
    <col width="2.140625" customWidth="1" style="322" min="1" max="1"/>
    <col width="14" customWidth="1" style="322" min="2" max="2"/>
    <col width="14.28515625" bestFit="1" customWidth="1" style="322" min="3" max="3"/>
    <col outlineLevel="1" width="20.7109375" customWidth="1" style="322" min="4" max="4"/>
    <col width="20.7109375" customWidth="1" style="322" min="5" max="9"/>
    <col hidden="1" outlineLevel="1" width="20.7109375" customWidth="1" style="322" min="10" max="19"/>
    <col collapsed="1" width="20.7109375" customWidth="1" style="322" min="20" max="20"/>
    <col width="18.140625" bestFit="1" customWidth="1" style="322" min="21" max="33"/>
    <col width="9.140625" customWidth="1" style="322" min="34" max="16384"/>
  </cols>
  <sheetData>
    <row r="1" ht="17.25" customHeight="1" thickBot="1">
      <c r="U1" s="322" t="inlineStr">
        <is>
          <t>x</t>
        </is>
      </c>
    </row>
    <row r="2" ht="24" customHeight="1" thickTop="1">
      <c r="B2" s="277">
        <f>'Promote Cash Flow'!C2</f>
        <v/>
      </c>
      <c r="C2" s="324" t="n"/>
      <c r="D2" s="324" t="n"/>
      <c r="E2" s="324" t="n"/>
      <c r="F2" s="324" t="n"/>
      <c r="G2" s="324" t="n"/>
      <c r="H2" s="324" t="n"/>
      <c r="I2" s="324" t="n"/>
      <c r="J2" s="324" t="n"/>
      <c r="K2" s="324" t="n"/>
      <c r="L2" s="324" t="n"/>
      <c r="M2" s="324" t="n"/>
      <c r="N2" s="324" t="n"/>
      <c r="O2" s="324" t="n"/>
      <c r="P2" s="324" t="n"/>
      <c r="Q2" s="324" t="n"/>
      <c r="R2" s="324" t="n"/>
      <c r="S2" s="324" t="n"/>
      <c r="T2" s="324" t="n"/>
      <c r="U2" s="322" t="inlineStr">
        <is>
          <t>x</t>
        </is>
      </c>
    </row>
    <row r="3" ht="17.25" customHeight="1" thickBot="1">
      <c r="B3" s="326" t="inlineStr">
        <is>
          <t>Waterfall Summary</t>
        </is>
      </c>
      <c r="C3" s="327" t="n"/>
      <c r="D3" s="327" t="n"/>
      <c r="E3" s="327" t="n"/>
      <c r="F3" s="327" t="n"/>
      <c r="G3" s="327" t="n"/>
      <c r="H3" s="327" t="n"/>
      <c r="I3" s="638" t="n"/>
      <c r="J3" s="638" t="n"/>
      <c r="K3" s="638" t="n"/>
      <c r="L3" s="638" t="n"/>
      <c r="M3" s="638" t="n"/>
      <c r="N3" s="638" t="n"/>
      <c r="O3" s="638" t="n"/>
      <c r="P3" s="638" t="n"/>
      <c r="Q3" s="638" t="n"/>
      <c r="R3" s="638" t="n"/>
      <c r="S3" s="638" t="n"/>
      <c r="T3" s="493">
        <f>TODAY()</f>
        <v/>
      </c>
      <c r="U3" s="322" t="inlineStr">
        <is>
          <t>x</t>
        </is>
      </c>
    </row>
    <row r="4" ht="15" customHeight="1" thickTop="1">
      <c r="U4" s="322" t="inlineStr">
        <is>
          <t>x</t>
        </is>
      </c>
    </row>
    <row r="5" ht="17.25" customHeight="1">
      <c r="B5" s="494" t="inlineStr">
        <is>
          <t>Equity Contribution Summary</t>
        </is>
      </c>
      <c r="C5" s="495" t="n"/>
      <c r="D5" s="527" t="n"/>
      <c r="E5" s="528" t="n"/>
      <c r="F5" s="528" t="n"/>
      <c r="G5" s="528" t="n"/>
      <c r="H5" s="360" t="n"/>
      <c r="I5" s="360" t="n"/>
      <c r="J5" s="360" t="n"/>
      <c r="K5" s="360" t="n"/>
      <c r="L5" s="360" t="n"/>
      <c r="M5" s="360" t="n"/>
      <c r="N5" s="360" t="n"/>
      <c r="O5" s="360" t="n"/>
      <c r="P5" s="360" t="n"/>
      <c r="Q5" s="360" t="n"/>
      <c r="R5" s="360" t="n"/>
      <c r="S5" s="360" t="n"/>
      <c r="T5" s="360" t="n"/>
      <c r="U5" s="322" t="inlineStr">
        <is>
          <t>x</t>
        </is>
      </c>
    </row>
    <row r="6" ht="17.25" customHeight="1">
      <c r="B6" s="496" t="inlineStr">
        <is>
          <t>Member</t>
        </is>
      </c>
      <c r="C6" s="364" t="inlineStr">
        <is>
          <t>Percentage</t>
        </is>
      </c>
      <c r="D6" s="365" t="n"/>
      <c r="E6" s="360" t="n"/>
      <c r="F6" s="360" t="n"/>
      <c r="G6" s="360" t="n"/>
      <c r="H6" s="360" t="n"/>
      <c r="I6" s="360" t="n"/>
      <c r="J6" s="360" t="n"/>
      <c r="K6" s="360" t="n"/>
      <c r="L6" s="360" t="n"/>
      <c r="M6" s="360" t="n"/>
      <c r="N6" s="360" t="n"/>
      <c r="O6" s="360" t="n"/>
      <c r="P6" s="360" t="n"/>
      <c r="Q6" s="360" t="n"/>
      <c r="R6" s="360" t="n"/>
      <c r="S6" s="360" t="n"/>
      <c r="T6" s="360" t="n"/>
      <c r="U6" s="322" t="inlineStr">
        <is>
          <t>x</t>
        </is>
      </c>
    </row>
    <row r="7">
      <c r="B7" s="497">
        <f>'Promote Cash Flow'!C31</f>
        <v/>
      </c>
      <c r="C7" s="367">
        <f>'Promote Cash Flow'!D31</f>
        <v/>
      </c>
      <c r="D7" s="360" t="n"/>
      <c r="E7" s="360" t="n"/>
      <c r="F7" s="360" t="n"/>
      <c r="G7" s="360" t="n"/>
      <c r="H7" s="360" t="n"/>
      <c r="I7" s="360" t="n"/>
      <c r="J7" s="360" t="n"/>
      <c r="K7" s="360" t="n"/>
      <c r="L7" s="360" t="n"/>
      <c r="M7" s="360" t="n"/>
      <c r="N7" s="360" t="n"/>
      <c r="O7" s="360" t="n"/>
      <c r="P7" s="360" t="n"/>
      <c r="Q7" s="360" t="n"/>
      <c r="R7" s="360" t="n"/>
      <c r="S7" s="360" t="n"/>
      <c r="T7" s="360" t="n"/>
      <c r="U7" s="322" t="inlineStr">
        <is>
          <t>x</t>
        </is>
      </c>
    </row>
    <row r="8">
      <c r="B8" s="498">
        <f>'Promote Cash Flow'!C32</f>
        <v/>
      </c>
      <c r="C8" s="370">
        <f>'Promote Cash Flow'!D32</f>
        <v/>
      </c>
      <c r="D8" s="360" t="n"/>
      <c r="E8" s="360" t="n"/>
      <c r="F8" s="360" t="n"/>
      <c r="G8" s="360" t="n"/>
      <c r="H8" s="360" t="n"/>
      <c r="I8" s="360" t="n"/>
      <c r="J8" s="360" t="n"/>
      <c r="K8" s="360" t="n"/>
      <c r="L8" s="360" t="n"/>
      <c r="M8" s="360" t="n"/>
      <c r="N8" s="360" t="n"/>
      <c r="O8" s="360" t="n"/>
      <c r="P8" s="360" t="n"/>
      <c r="Q8" s="360" t="n"/>
      <c r="R8" s="360" t="n"/>
      <c r="S8" s="360" t="n"/>
      <c r="T8" s="360" t="n"/>
      <c r="U8" s="322" t="inlineStr">
        <is>
          <t>x</t>
        </is>
      </c>
    </row>
    <row r="9" ht="17.25" customHeight="1" thickBot="1">
      <c r="B9" s="499" t="inlineStr">
        <is>
          <t>Total</t>
        </is>
      </c>
      <c r="C9" s="373">
        <f>SUM(C7:C8)</f>
        <v/>
      </c>
      <c r="D9" s="360" t="n"/>
      <c r="E9" s="360" t="n"/>
      <c r="F9" s="360" t="n"/>
      <c r="G9" s="360" t="n"/>
      <c r="H9" s="360" t="n"/>
      <c r="I9" s="360" t="n"/>
      <c r="J9" s="360" t="n"/>
      <c r="K9" s="360" t="n"/>
      <c r="L9" s="360" t="n"/>
      <c r="M9" s="360" t="n"/>
      <c r="N9" s="360" t="n"/>
      <c r="O9" s="360" t="n"/>
      <c r="P9" s="360" t="n"/>
      <c r="Q9" s="360" t="n"/>
      <c r="R9" s="360" t="n"/>
      <c r="S9" s="360" t="n"/>
      <c r="T9" s="360" t="n"/>
      <c r="U9" s="322" t="inlineStr">
        <is>
          <t>x</t>
        </is>
      </c>
    </row>
    <row r="10" ht="17.25" customHeight="1" thickTop="1">
      <c r="B10" s="360" t="n"/>
      <c r="C10" s="360" t="n"/>
      <c r="D10" s="360" t="n"/>
      <c r="E10" s="360" t="n"/>
      <c r="F10" s="360" t="n"/>
      <c r="G10" s="374" t="n"/>
      <c r="H10" s="374" t="n"/>
      <c r="I10" s="360" t="n"/>
      <c r="J10" s="365" t="n"/>
      <c r="K10" s="360" t="n"/>
      <c r="L10" s="360" t="n"/>
      <c r="M10" s="360" t="n"/>
      <c r="N10" s="360" t="n"/>
      <c r="O10" s="360" t="n"/>
      <c r="P10" s="360" t="n"/>
      <c r="Q10" s="360" t="n"/>
      <c r="R10" s="360" t="n"/>
      <c r="S10" s="360" t="n"/>
      <c r="T10" s="360" t="n"/>
      <c r="U10" s="322" t="inlineStr">
        <is>
          <t>x</t>
        </is>
      </c>
    </row>
    <row r="11">
      <c r="B11" s="375" t="inlineStr">
        <is>
          <t>Cash Flow Waterfall</t>
        </is>
      </c>
      <c r="C11" s="403" t="n"/>
      <c r="D11" s="403" t="n"/>
      <c r="E11" s="403" t="n"/>
      <c r="F11" s="403" t="n"/>
      <c r="G11" s="403" t="n"/>
      <c r="H11" s="374" t="n"/>
      <c r="I11" s="360" t="n"/>
      <c r="J11" s="365" t="n"/>
      <c r="K11" s="360" t="n"/>
      <c r="L11" s="360" t="n"/>
      <c r="M11" s="360" t="n"/>
      <c r="N11" s="360" t="n"/>
      <c r="O11" s="360" t="n"/>
      <c r="P11" s="360" t="n"/>
      <c r="Q11" s="360" t="n"/>
      <c r="R11" s="360" t="n"/>
      <c r="S11" s="360" t="n"/>
      <c r="T11" s="360" t="n"/>
      <c r="U11" s="322" t="inlineStr">
        <is>
          <t>x</t>
        </is>
      </c>
    </row>
    <row r="12">
      <c r="B12" s="376" t="n"/>
      <c r="C12" s="500" t="n"/>
      <c r="D12" s="378" t="n"/>
      <c r="E12" s="501" t="n"/>
      <c r="F12" s="500" t="inlineStr">
        <is>
          <t>Cash Flow Distribution</t>
        </is>
      </c>
      <c r="G12" s="379" t="n"/>
      <c r="I12" s="360" t="n"/>
      <c r="J12" s="360" t="n"/>
      <c r="K12" s="360" t="n"/>
      <c r="L12" s="360" t="n"/>
      <c r="M12" s="360" t="n"/>
      <c r="N12" s="360" t="n"/>
      <c r="O12" s="360" t="n"/>
      <c r="P12" s="360" t="n"/>
      <c r="Q12" s="360" t="n"/>
      <c r="R12" s="360" t="n"/>
      <c r="S12" s="360" t="n"/>
      <c r="T12" s="360" t="n"/>
      <c r="U12" s="322" t="inlineStr">
        <is>
          <t>x</t>
        </is>
      </c>
    </row>
    <row r="13">
      <c r="B13" s="502" t="inlineStr">
        <is>
          <t>Tier</t>
        </is>
      </c>
      <c r="C13" s="503" t="inlineStr">
        <is>
          <t>Hurdle</t>
        </is>
      </c>
      <c r="D13" s="504" t="inlineStr">
        <is>
          <t>MOIC</t>
        </is>
      </c>
      <c r="E13" s="505" t="inlineStr">
        <is>
          <t>Promote</t>
        </is>
      </c>
      <c r="F13" s="503">
        <f>'Partnership Terms + Fees'!F7</f>
        <v/>
      </c>
      <c r="G13" s="506">
        <f>'Partnership Terms + Fees'!G7</f>
        <v/>
      </c>
      <c r="I13" s="360" t="n"/>
      <c r="J13" s="360" t="n"/>
      <c r="K13" s="360" t="n"/>
      <c r="L13" s="360" t="n"/>
      <c r="M13" s="360" t="n"/>
      <c r="N13" s="360" t="n"/>
      <c r="O13" s="360" t="n"/>
      <c r="P13" s="360" t="n"/>
      <c r="Q13" s="360" t="n"/>
      <c r="R13" s="360" t="n"/>
      <c r="S13" s="360" t="n"/>
      <c r="T13" s="360" t="n"/>
      <c r="U13" s="322" t="inlineStr">
        <is>
          <t>x</t>
        </is>
      </c>
    </row>
    <row r="14">
      <c r="B14" s="406">
        <f>'Promote Cash Flow'!C38</f>
        <v/>
      </c>
      <c r="C14" s="391">
        <f>'Promote Cash Flow'!D38</f>
        <v/>
      </c>
      <c r="D14" s="687">
        <f>'Promote Cash Flow'!F38</f>
        <v/>
      </c>
      <c r="E14" s="688">
        <f>'Promote Cash Flow'!G38</f>
        <v/>
      </c>
      <c r="F14" s="391">
        <f>'Promote Cash Flow'!H38</f>
        <v/>
      </c>
      <c r="G14" s="370">
        <f>'Promote Cash Flow'!I38</f>
        <v/>
      </c>
      <c r="I14" s="360" t="n"/>
      <c r="J14" s="360" t="n"/>
      <c r="K14" s="360" t="n"/>
      <c r="L14" s="360" t="n"/>
      <c r="M14" s="360" t="n"/>
      <c r="N14" s="360" t="n"/>
      <c r="O14" s="360" t="n"/>
      <c r="P14" s="360" t="n"/>
      <c r="Q14" s="360" t="n"/>
      <c r="R14" s="360" t="n"/>
      <c r="S14" s="360" t="n"/>
      <c r="T14" s="360" t="n"/>
      <c r="U14" s="322" t="inlineStr">
        <is>
          <t>x</t>
        </is>
      </c>
    </row>
    <row r="15">
      <c r="B15" s="406" t="inlineStr">
        <is>
          <t>Tier II</t>
        </is>
      </c>
      <c r="C15" s="391">
        <f>'Promote Cash Flow'!D39</f>
        <v/>
      </c>
      <c r="D15" s="687">
        <f>'Promote Cash Flow'!F39</f>
        <v/>
      </c>
      <c r="E15" s="394">
        <f>'Promote Cash Flow'!G39</f>
        <v/>
      </c>
      <c r="F15" s="391">
        <f>'Promote Cash Flow'!H39</f>
        <v/>
      </c>
      <c r="G15" s="370">
        <f>'Promote Cash Flow'!I39</f>
        <v/>
      </c>
      <c r="I15" s="360" t="n"/>
      <c r="J15" s="360" t="n"/>
      <c r="K15" s="360" t="n"/>
      <c r="L15" s="360" t="n"/>
      <c r="M15" s="360" t="n"/>
      <c r="N15" s="360" t="n"/>
      <c r="O15" s="360" t="n"/>
      <c r="P15" s="360" t="n"/>
      <c r="Q15" s="360" t="n"/>
      <c r="R15" s="360" t="n"/>
      <c r="S15" s="360" t="n"/>
      <c r="T15" s="360" t="n"/>
      <c r="U15" s="322" t="inlineStr">
        <is>
          <t>x</t>
        </is>
      </c>
    </row>
    <row r="16">
      <c r="B16" s="406" t="inlineStr">
        <is>
          <t>Tier III</t>
        </is>
      </c>
      <c r="C16" s="391">
        <f>'Promote Cash Flow'!D40</f>
        <v/>
      </c>
      <c r="D16" s="687">
        <f>'Promote Cash Flow'!F40</f>
        <v/>
      </c>
      <c r="E16" s="394">
        <f>'Promote Cash Flow'!G40</f>
        <v/>
      </c>
      <c r="F16" s="391">
        <f>'Promote Cash Flow'!H40</f>
        <v/>
      </c>
      <c r="G16" s="370">
        <f>'Promote Cash Flow'!I40</f>
        <v/>
      </c>
      <c r="I16" s="360" t="n"/>
      <c r="J16" s="360" t="n"/>
      <c r="K16" s="360" t="n"/>
      <c r="L16" s="360" t="n"/>
      <c r="M16" s="360" t="n"/>
      <c r="N16" s="360" t="n"/>
      <c r="O16" s="360" t="n"/>
      <c r="P16" s="360" t="n"/>
      <c r="Q16" s="360" t="n"/>
      <c r="R16" s="360" t="n"/>
      <c r="S16" s="360" t="n"/>
      <c r="T16" s="360" t="n"/>
      <c r="U16" s="322" t="inlineStr">
        <is>
          <t>x</t>
        </is>
      </c>
    </row>
    <row r="17" outlineLevel="1">
      <c r="B17" s="406" t="inlineStr">
        <is>
          <t>Tier IV</t>
        </is>
      </c>
      <c r="C17" s="391">
        <f>'Promote Cash Flow'!D41</f>
        <v/>
      </c>
      <c r="D17" s="393">
        <f>'Promote Cash Flow'!F41</f>
        <v/>
      </c>
      <c r="E17" s="394">
        <f>'Promote Cash Flow'!G41</f>
        <v/>
      </c>
      <c r="F17" s="391">
        <f>'Promote Cash Flow'!H41</f>
        <v/>
      </c>
      <c r="G17" s="370">
        <f>'Promote Cash Flow'!I41</f>
        <v/>
      </c>
      <c r="I17" s="360" t="n"/>
      <c r="J17" s="360" t="n"/>
      <c r="K17" s="360" t="n"/>
      <c r="L17" s="360" t="n"/>
      <c r="M17" s="360" t="n"/>
      <c r="N17" s="360" t="n"/>
      <c r="O17" s="360" t="n"/>
      <c r="P17" s="360" t="n"/>
      <c r="Q17" s="360" t="n"/>
      <c r="R17" s="360" t="n"/>
      <c r="S17" s="360" t="n"/>
      <c r="T17" s="360" t="n"/>
      <c r="U17" s="322" t="inlineStr">
        <is>
          <t>x</t>
        </is>
      </c>
    </row>
    <row r="18">
      <c r="B18" s="508" t="inlineStr">
        <is>
          <t>Thereafter</t>
        </is>
      </c>
      <c r="C18" s="399" t="n"/>
      <c r="D18" s="397">
        <f>'Promote Cash Flow'!F42</f>
        <v/>
      </c>
      <c r="E18" s="398">
        <f>'Promote Cash Flow'!G41</f>
        <v/>
      </c>
      <c r="F18" s="399">
        <f>'Promote Cash Flow'!H42</f>
        <v/>
      </c>
      <c r="G18" s="400">
        <f>'Promote Cash Flow'!I42</f>
        <v/>
      </c>
      <c r="I18" s="360" t="n"/>
      <c r="J18" s="360" t="n"/>
      <c r="K18" s="360" t="n"/>
      <c r="L18" s="360" t="n"/>
      <c r="M18" s="360" t="n"/>
      <c r="N18" s="360" t="n"/>
      <c r="O18" s="360" t="n"/>
      <c r="P18" s="360" t="n"/>
      <c r="Q18" s="360" t="n"/>
      <c r="R18" s="360" t="n"/>
      <c r="S18" s="360" t="n"/>
      <c r="T18" s="360" t="n"/>
      <c r="U18" s="322" t="inlineStr">
        <is>
          <t>x</t>
        </is>
      </c>
    </row>
    <row r="19">
      <c r="B19" s="360" t="n"/>
      <c r="C19" s="360" t="n"/>
      <c r="D19" s="360" t="n"/>
      <c r="E19" s="360" t="n"/>
      <c r="F19" s="360" t="n"/>
      <c r="G19" s="360" t="n"/>
      <c r="H19" s="360" t="n"/>
      <c r="I19" s="360" t="n"/>
      <c r="J19" s="360" t="n"/>
      <c r="K19" s="360" t="n"/>
      <c r="L19" s="360" t="n"/>
      <c r="M19" s="360" t="n"/>
      <c r="N19" s="360" t="n"/>
      <c r="O19" s="360" t="n"/>
      <c r="P19" s="360" t="n"/>
      <c r="Q19" s="360" t="n"/>
      <c r="R19" s="360" t="n"/>
      <c r="S19" s="360" t="n"/>
      <c r="T19" s="360" t="n"/>
      <c r="U19" s="322" t="inlineStr">
        <is>
          <t>x</t>
        </is>
      </c>
    </row>
    <row r="20">
      <c r="B20" s="689">
        <f>'Promote Cash Flow'!C44</f>
        <v/>
      </c>
      <c r="C20" s="690" t="n"/>
      <c r="D20" s="690" t="inlineStr">
        <is>
          <t>Closing</t>
        </is>
      </c>
      <c r="E20" s="691" t="n">
        <v>1</v>
      </c>
      <c r="F20" s="691">
        <f>E20+1</f>
        <v/>
      </c>
      <c r="G20" s="691">
        <f>F20+1</f>
        <v/>
      </c>
      <c r="H20" s="691">
        <f>G20+1</f>
        <v/>
      </c>
      <c r="I20" s="691">
        <f>H20+1</f>
        <v/>
      </c>
      <c r="J20" s="691">
        <f>I20+1</f>
        <v/>
      </c>
      <c r="K20" s="691">
        <f>J20+1</f>
        <v/>
      </c>
      <c r="L20" s="691">
        <f>K20+1</f>
        <v/>
      </c>
      <c r="M20" s="691">
        <f>L20+1</f>
        <v/>
      </c>
      <c r="N20" s="691">
        <f>M20+1</f>
        <v/>
      </c>
      <c r="O20" s="691">
        <f>N20+1</f>
        <v/>
      </c>
      <c r="P20" s="691">
        <f>O20+1</f>
        <v/>
      </c>
      <c r="Q20" s="691">
        <f>P20+1</f>
        <v/>
      </c>
      <c r="R20" s="691">
        <f>Q20+1</f>
        <v/>
      </c>
      <c r="S20" s="691">
        <f>R20+1</f>
        <v/>
      </c>
      <c r="T20" s="692" t="inlineStr">
        <is>
          <t>Total</t>
        </is>
      </c>
      <c r="U20" s="322" t="inlineStr">
        <is>
          <t>x</t>
        </is>
      </c>
    </row>
    <row r="21">
      <c r="B21" s="406" t="inlineStr">
        <is>
          <t>Tier I</t>
        </is>
      </c>
      <c r="C21" s="653">
        <f>SUM(D21:M21)</f>
        <v/>
      </c>
      <c r="D21" s="693">
        <f>'Promote Cash Flow'!F45</f>
        <v/>
      </c>
      <c r="E21" s="693">
        <f>SUMIF('Promote Cash Flow'!$G$7:$DV$7,E$20,'Promote Cash Flow'!$G45:$DV45)</f>
        <v/>
      </c>
      <c r="F21" s="693">
        <f>SUMIF('Promote Cash Flow'!$G$7:$DV$7,F$20,'Promote Cash Flow'!$G45:$DV45)</f>
        <v/>
      </c>
      <c r="G21" s="693">
        <f>SUMIF('Promote Cash Flow'!$G$7:$DV$7,G$20,'Promote Cash Flow'!$G45:$DV45)</f>
        <v/>
      </c>
      <c r="H21" s="693">
        <f>SUMIF('Promote Cash Flow'!$G$7:$DV$7,H$20,'Promote Cash Flow'!$G45:$DV45)</f>
        <v/>
      </c>
      <c r="I21" s="693">
        <f>SUMIF('Promote Cash Flow'!$G$7:$DV$7,I$20,'Promote Cash Flow'!$G45:$DV45)</f>
        <v/>
      </c>
      <c r="J21" s="693">
        <f>SUMIF('Promote Cash Flow'!$G$7:$DV$7,J$20,'Promote Cash Flow'!$G45:$DV45)</f>
        <v/>
      </c>
      <c r="K21" s="693">
        <f>SUMIF('Promote Cash Flow'!$G$7:$DV$7,K$20,'Promote Cash Flow'!$G45:$DV45)</f>
        <v/>
      </c>
      <c r="L21" s="693">
        <f>SUMIF('Promote Cash Flow'!$G$7:$DV$7,L$20,'Promote Cash Flow'!$G45:$DV45)</f>
        <v/>
      </c>
      <c r="M21" s="693">
        <f>SUMIF('Promote Cash Flow'!$G$7:$DV$7,M$20,'Promote Cash Flow'!$G45:$DV45)</f>
        <v/>
      </c>
      <c r="N21" s="693">
        <f>SUMIF('Promote Cash Flow'!$G$7:$DV$7,N$20,'Promote Cash Flow'!$G45:$DV45)</f>
        <v/>
      </c>
      <c r="O21" s="693">
        <f>SUMIF('Promote Cash Flow'!$G$7:$DV$7,O$20,'Promote Cash Flow'!$G45:$DV45)</f>
        <v/>
      </c>
      <c r="P21" s="693">
        <f>SUMIF('Promote Cash Flow'!$G$7:$DV$7,P$20,'Promote Cash Flow'!$G45:$DV45)</f>
        <v/>
      </c>
      <c r="Q21" s="693">
        <f>SUMIF('Promote Cash Flow'!$G$7:$DV$7,Q$20,'Promote Cash Flow'!$G45:$DV45)</f>
        <v/>
      </c>
      <c r="R21" s="693">
        <f>SUMIF('Promote Cash Flow'!$G$7:$DV$7,R$20,'Promote Cash Flow'!$G45:$DV45)</f>
        <v/>
      </c>
      <c r="S21" s="693">
        <f>SUMIF('Promote Cash Flow'!$G$7:$DV$7,S$20,'Promote Cash Flow'!$G45:$DV45)</f>
        <v/>
      </c>
      <c r="T21" s="694">
        <f>SUM(D21:S21)</f>
        <v/>
      </c>
      <c r="U21" s="322" t="inlineStr">
        <is>
          <t>x</t>
        </is>
      </c>
    </row>
    <row r="22">
      <c r="B22" s="406" t="inlineStr">
        <is>
          <t>Tier II</t>
        </is>
      </c>
      <c r="C22" s="410">
        <f>SUM(D22:M22)</f>
        <v/>
      </c>
      <c r="D22" s="412">
        <f>'Promote Cash Flow'!F46</f>
        <v/>
      </c>
      <c r="E22" s="412">
        <f>SUMIF('Promote Cash Flow'!$G$7:$DV$7,E$20,'Promote Cash Flow'!$G46:$DV46)</f>
        <v/>
      </c>
      <c r="F22" s="412">
        <f>SUMIF('Promote Cash Flow'!$G$7:$DV$7,F$20,'Promote Cash Flow'!$G46:$DV46)</f>
        <v/>
      </c>
      <c r="G22" s="412">
        <f>SUMIF('Promote Cash Flow'!$G$7:$DV$7,G$20,'Promote Cash Flow'!$G46:$DV46)</f>
        <v/>
      </c>
      <c r="H22" s="412">
        <f>SUMIF('Promote Cash Flow'!$G$7:$DV$7,H$20,'Promote Cash Flow'!$G46:$DV46)</f>
        <v/>
      </c>
      <c r="I22" s="412">
        <f>SUMIF('Promote Cash Flow'!$G$7:$DV$7,I$20,'Promote Cash Flow'!$G46:$DV46)</f>
        <v/>
      </c>
      <c r="J22" s="412">
        <f>SUMIF('Promote Cash Flow'!$G$7:$DV$7,J$20,'Promote Cash Flow'!$G46:$DV46)</f>
        <v/>
      </c>
      <c r="K22" s="412">
        <f>SUMIF('Promote Cash Flow'!$G$7:$DV$7,K$20,'Promote Cash Flow'!$G46:$DV46)</f>
        <v/>
      </c>
      <c r="L22" s="412">
        <f>SUMIF('Promote Cash Flow'!$G$7:$DV$7,L$20,'Promote Cash Flow'!$G46:$DV46)</f>
        <v/>
      </c>
      <c r="M22" s="412">
        <f>SUMIF('Promote Cash Flow'!$G$7:$DV$7,M$20,'Promote Cash Flow'!$G46:$DV46)</f>
        <v/>
      </c>
      <c r="N22" s="412">
        <f>SUMIF('Promote Cash Flow'!$G$7:$DV$7,N$20,'Promote Cash Flow'!$G46:$DV46)</f>
        <v/>
      </c>
      <c r="O22" s="412">
        <f>SUMIF('Promote Cash Flow'!$G$7:$DV$7,O$20,'Promote Cash Flow'!$G46:$DV46)</f>
        <v/>
      </c>
      <c r="P22" s="412">
        <f>SUMIF('Promote Cash Flow'!$G$7:$DV$7,P$20,'Promote Cash Flow'!$G46:$DV46)</f>
        <v/>
      </c>
      <c r="Q22" s="412">
        <f>SUMIF('Promote Cash Flow'!$G$7:$DV$7,Q$20,'Promote Cash Flow'!$G46:$DV46)</f>
        <v/>
      </c>
      <c r="R22" s="412">
        <f>SUMIF('Promote Cash Flow'!$G$7:$DV$7,R$20,'Promote Cash Flow'!$G46:$DV46)</f>
        <v/>
      </c>
      <c r="S22" s="412">
        <f>SUMIF('Promote Cash Flow'!$G$7:$DV$7,S$20,'Promote Cash Flow'!$G46:$DV46)</f>
        <v/>
      </c>
      <c r="T22" s="515">
        <f>SUM(D22:S22)</f>
        <v/>
      </c>
      <c r="U22" s="322" t="inlineStr">
        <is>
          <t>x</t>
        </is>
      </c>
    </row>
    <row r="23">
      <c r="B23" s="406" t="inlineStr">
        <is>
          <t>Tier III</t>
        </is>
      </c>
      <c r="C23" s="410">
        <f>SUM(D23:M23)</f>
        <v/>
      </c>
      <c r="D23" s="412">
        <f>'Promote Cash Flow'!F47</f>
        <v/>
      </c>
      <c r="E23" s="412">
        <f>SUMIF('Promote Cash Flow'!$G$7:$DV$7,E$20,'Promote Cash Flow'!$G47:$DV47)</f>
        <v/>
      </c>
      <c r="F23" s="412">
        <f>SUMIF('Promote Cash Flow'!$G$7:$DV$7,F$20,'Promote Cash Flow'!$G47:$DV47)</f>
        <v/>
      </c>
      <c r="G23" s="412">
        <f>SUMIF('Promote Cash Flow'!$G$7:$DV$7,G$20,'Promote Cash Flow'!$G47:$DV47)</f>
        <v/>
      </c>
      <c r="H23" s="412">
        <f>SUMIF('Promote Cash Flow'!$G$7:$DV$7,H$20,'Promote Cash Flow'!$G47:$DV47)</f>
        <v/>
      </c>
      <c r="I23" s="412">
        <f>SUMIF('Promote Cash Flow'!$G$7:$DV$7,I$20,'Promote Cash Flow'!$G47:$DV47)</f>
        <v/>
      </c>
      <c r="J23" s="412">
        <f>SUMIF('Promote Cash Flow'!$G$7:$DV$7,J$20,'Promote Cash Flow'!$G47:$DV47)</f>
        <v/>
      </c>
      <c r="K23" s="412">
        <f>SUMIF('Promote Cash Flow'!$G$7:$DV$7,K$20,'Promote Cash Flow'!$G47:$DV47)</f>
        <v/>
      </c>
      <c r="L23" s="412">
        <f>SUMIF('Promote Cash Flow'!$G$7:$DV$7,L$20,'Promote Cash Flow'!$G47:$DV47)</f>
        <v/>
      </c>
      <c r="M23" s="412">
        <f>SUMIF('Promote Cash Flow'!$G$7:$DV$7,M$20,'Promote Cash Flow'!$G47:$DV47)</f>
        <v/>
      </c>
      <c r="N23" s="412">
        <f>SUMIF('Promote Cash Flow'!$G$7:$DV$7,N$20,'Promote Cash Flow'!$G47:$DV47)</f>
        <v/>
      </c>
      <c r="O23" s="412">
        <f>SUMIF('Promote Cash Flow'!$G$7:$DV$7,O$20,'Promote Cash Flow'!$G47:$DV47)</f>
        <v/>
      </c>
      <c r="P23" s="412">
        <f>SUMIF('Promote Cash Flow'!$G$7:$DV$7,P$20,'Promote Cash Flow'!$G47:$DV47)</f>
        <v/>
      </c>
      <c r="Q23" s="412">
        <f>SUMIF('Promote Cash Flow'!$G$7:$DV$7,Q$20,'Promote Cash Flow'!$G47:$DV47)</f>
        <v/>
      </c>
      <c r="R23" s="412">
        <f>SUMIF('Promote Cash Flow'!$G$7:$DV$7,R$20,'Promote Cash Flow'!$G47:$DV47)</f>
        <v/>
      </c>
      <c r="S23" s="412">
        <f>SUMIF('Promote Cash Flow'!$G$7:$DV$7,S$20,'Promote Cash Flow'!$G47:$DV47)</f>
        <v/>
      </c>
      <c r="T23" s="515">
        <f>SUM(D23:S23)</f>
        <v/>
      </c>
      <c r="U23" s="322" t="inlineStr">
        <is>
          <t>x</t>
        </is>
      </c>
    </row>
    <row r="24" outlineLevel="1">
      <c r="B24" s="406" t="inlineStr">
        <is>
          <t>Tier IV</t>
        </is>
      </c>
      <c r="C24" s="410">
        <f>SUM(D24:M24)</f>
        <v/>
      </c>
      <c r="D24" s="412">
        <f>'Promote Cash Flow'!F48</f>
        <v/>
      </c>
      <c r="E24" s="412">
        <f>SUMIF('Promote Cash Flow'!$G$7:$DV$7,E$20,'Promote Cash Flow'!$G48:$DV48)</f>
        <v/>
      </c>
      <c r="F24" s="412">
        <f>SUMIF('Promote Cash Flow'!$G$7:$DV$7,F$20,'Promote Cash Flow'!$G48:$DV48)</f>
        <v/>
      </c>
      <c r="G24" s="412">
        <f>SUMIF('Promote Cash Flow'!$G$7:$DV$7,G$20,'Promote Cash Flow'!$G48:$DV48)</f>
        <v/>
      </c>
      <c r="H24" s="412">
        <f>SUMIF('Promote Cash Flow'!$G$7:$DV$7,H$20,'Promote Cash Flow'!$G48:$DV48)</f>
        <v/>
      </c>
      <c r="I24" s="412">
        <f>SUMIF('Promote Cash Flow'!$G$7:$DV$7,I$20,'Promote Cash Flow'!$G48:$DV48)</f>
        <v/>
      </c>
      <c r="J24" s="412">
        <f>SUMIF('Promote Cash Flow'!$G$7:$DV$7,J$20,'Promote Cash Flow'!$G48:$DV48)</f>
        <v/>
      </c>
      <c r="K24" s="412">
        <f>SUMIF('Promote Cash Flow'!$G$7:$DV$7,K$20,'Promote Cash Flow'!$G48:$DV48)</f>
        <v/>
      </c>
      <c r="L24" s="412">
        <f>SUMIF('Promote Cash Flow'!$G$7:$DV$7,L$20,'Promote Cash Flow'!$G48:$DV48)</f>
        <v/>
      </c>
      <c r="M24" s="412">
        <f>SUMIF('Promote Cash Flow'!$G$7:$DV$7,M$20,'Promote Cash Flow'!$G48:$DV48)</f>
        <v/>
      </c>
      <c r="N24" s="412">
        <f>SUMIF('Promote Cash Flow'!$G$7:$DV$7,N$20,'Promote Cash Flow'!$G48:$DV48)</f>
        <v/>
      </c>
      <c r="O24" s="412">
        <f>SUMIF('Promote Cash Flow'!$G$7:$DV$7,O$20,'Promote Cash Flow'!$G48:$DV48)</f>
        <v/>
      </c>
      <c r="P24" s="412">
        <f>SUMIF('Promote Cash Flow'!$G$7:$DV$7,P$20,'Promote Cash Flow'!$G48:$DV48)</f>
        <v/>
      </c>
      <c r="Q24" s="412">
        <f>SUMIF('Promote Cash Flow'!$G$7:$DV$7,Q$20,'Promote Cash Flow'!$G48:$DV48)</f>
        <v/>
      </c>
      <c r="R24" s="412">
        <f>SUMIF('Promote Cash Flow'!$G$7:$DV$7,R$20,'Promote Cash Flow'!$G48:$DV48)</f>
        <v/>
      </c>
      <c r="S24" s="412">
        <f>SUMIF('Promote Cash Flow'!$G$7:$DV$7,S$20,'Promote Cash Flow'!$G48:$DV48)</f>
        <v/>
      </c>
      <c r="T24" s="515">
        <f>SUM(D24:S24)</f>
        <v/>
      </c>
      <c r="U24" s="322" t="inlineStr">
        <is>
          <t>x</t>
        </is>
      </c>
    </row>
    <row r="25">
      <c r="B25" s="406" t="inlineStr">
        <is>
          <t>Thereafter</t>
        </is>
      </c>
      <c r="C25" s="410">
        <f>SUM(D25:M25)</f>
        <v/>
      </c>
      <c r="D25" s="412">
        <f>'Promote Cash Flow'!F49</f>
        <v/>
      </c>
      <c r="E25" s="412">
        <f>SUMIF('Promote Cash Flow'!$G$7:$DV$7,E$20,'Promote Cash Flow'!$G49:$DV49)</f>
        <v/>
      </c>
      <c r="F25" s="412">
        <f>SUMIF('Promote Cash Flow'!$G$7:$DV$7,F$20,'Promote Cash Flow'!$G49:$DV49)</f>
        <v/>
      </c>
      <c r="G25" s="412">
        <f>SUMIF('Promote Cash Flow'!$G$7:$DV$7,G$20,'Promote Cash Flow'!$G49:$DV49)</f>
        <v/>
      </c>
      <c r="H25" s="412">
        <f>SUMIF('Promote Cash Flow'!$G$7:$DV$7,H$20,'Promote Cash Flow'!$G49:$DV49)</f>
        <v/>
      </c>
      <c r="I25" s="412">
        <f>SUMIF('Promote Cash Flow'!$G$7:$DV$7,I$20,'Promote Cash Flow'!$G49:$DV49)</f>
        <v/>
      </c>
      <c r="J25" s="412">
        <f>SUMIF('Promote Cash Flow'!$G$7:$DV$7,J$20,'Promote Cash Flow'!$G49:$DV49)</f>
        <v/>
      </c>
      <c r="K25" s="412">
        <f>SUMIF('Promote Cash Flow'!$G$7:$DV$7,K$20,'Promote Cash Flow'!$G49:$DV49)</f>
        <v/>
      </c>
      <c r="L25" s="412">
        <f>SUMIF('Promote Cash Flow'!$G$7:$DV$7,L$20,'Promote Cash Flow'!$G49:$DV49)</f>
        <v/>
      </c>
      <c r="M25" s="412">
        <f>SUMIF('Promote Cash Flow'!$G$7:$DV$7,M$20,'Promote Cash Flow'!$G49:$DV49)</f>
        <v/>
      </c>
      <c r="N25" s="412">
        <f>SUMIF('Promote Cash Flow'!$G$7:$DV$7,N$20,'Promote Cash Flow'!$G49:$DV49)</f>
        <v/>
      </c>
      <c r="O25" s="412">
        <f>SUMIF('Promote Cash Flow'!$G$7:$DV$7,O$20,'Promote Cash Flow'!$G49:$DV49)</f>
        <v/>
      </c>
      <c r="P25" s="412">
        <f>SUMIF('Promote Cash Flow'!$G$7:$DV$7,P$20,'Promote Cash Flow'!$G49:$DV49)</f>
        <v/>
      </c>
      <c r="Q25" s="412">
        <f>SUMIF('Promote Cash Flow'!$G$7:$DV$7,Q$20,'Promote Cash Flow'!$G49:$DV49)</f>
        <v/>
      </c>
      <c r="R25" s="412">
        <f>SUMIF('Promote Cash Flow'!$G$7:$DV$7,R$20,'Promote Cash Flow'!$G49:$DV49)</f>
        <v/>
      </c>
      <c r="S25" s="412">
        <f>SUMIF('Promote Cash Flow'!$G$7:$DV$7,S$20,'Promote Cash Flow'!$G49:$DV49)</f>
        <v/>
      </c>
      <c r="T25" s="515">
        <f>SUM(D25:S25)</f>
        <v/>
      </c>
      <c r="U25" s="322" t="inlineStr">
        <is>
          <t>x</t>
        </is>
      </c>
    </row>
    <row r="26" ht="17.25" customHeight="1" thickBot="1">
      <c r="B26" s="499" t="inlineStr">
        <is>
          <t>Total</t>
        </is>
      </c>
      <c r="C26" s="656">
        <f>SUM(C21:C25)</f>
        <v/>
      </c>
      <c r="D26" s="658">
        <f>SUM(D21:D25)</f>
        <v/>
      </c>
      <c r="E26" s="658">
        <f>SUM(E21:E25)</f>
        <v/>
      </c>
      <c r="F26" s="658">
        <f>SUM(F21:F25)</f>
        <v/>
      </c>
      <c r="G26" s="658">
        <f>SUM(G21:G25)</f>
        <v/>
      </c>
      <c r="H26" s="658">
        <f>SUM(H21:H25)</f>
        <v/>
      </c>
      <c r="I26" s="658">
        <f>SUM(I21:I25)</f>
        <v/>
      </c>
      <c r="J26" s="658">
        <f>SUM(J21:J25)</f>
        <v/>
      </c>
      <c r="K26" s="658">
        <f>SUM(K21:K25)</f>
        <v/>
      </c>
      <c r="L26" s="658">
        <f>SUM(L21:L25)</f>
        <v/>
      </c>
      <c r="M26" s="658">
        <f>SUM(M21:M25)</f>
        <v/>
      </c>
      <c r="N26" s="658">
        <f>SUM(N21:N25)</f>
        <v/>
      </c>
      <c r="O26" s="658">
        <f>SUM(O21:O25)</f>
        <v/>
      </c>
      <c r="P26" s="658">
        <f>SUM(P21:P25)</f>
        <v/>
      </c>
      <c r="Q26" s="658">
        <f>SUM(Q21:Q25)</f>
        <v/>
      </c>
      <c r="R26" s="658">
        <f>SUM(R21:R25)</f>
        <v/>
      </c>
      <c r="S26" s="658">
        <f>SUM(S21:S25)</f>
        <v/>
      </c>
      <c r="T26" s="695">
        <f>SUM(D26:S26)</f>
        <v/>
      </c>
      <c r="U26" s="322" t="inlineStr">
        <is>
          <t>x</t>
        </is>
      </c>
    </row>
    <row r="27" ht="17.25" customHeight="1" thickTop="1">
      <c r="B27" s="360" t="n"/>
      <c r="C27" s="360" t="n"/>
      <c r="D27" s="360" t="n"/>
      <c r="E27" s="360" t="n"/>
      <c r="F27" s="360" t="n"/>
      <c r="G27" s="360" t="n"/>
      <c r="H27" s="360" t="n"/>
      <c r="I27" s="360" t="n"/>
      <c r="J27" s="360" t="n"/>
      <c r="K27" s="360" t="n"/>
      <c r="L27" s="360" t="n"/>
      <c r="M27" s="360" t="n"/>
      <c r="N27" s="360" t="n"/>
      <c r="O27" s="360" t="n"/>
      <c r="P27" s="360" t="n"/>
      <c r="Q27" s="360" t="n"/>
      <c r="R27" s="360" t="n"/>
      <c r="S27" s="360" t="n"/>
      <c r="T27" s="360" t="n"/>
      <c r="U27" s="322" t="inlineStr">
        <is>
          <t>x</t>
        </is>
      </c>
    </row>
    <row r="28">
      <c r="B28" s="416">
        <f>B7&amp;" Returns"</f>
        <v/>
      </c>
      <c r="C28" s="417" t="n"/>
      <c r="D28" s="360" t="n"/>
      <c r="H28" s="360" t="n"/>
      <c r="I28" s="360" t="n"/>
      <c r="J28" s="360" t="n"/>
      <c r="K28" s="360" t="n"/>
      <c r="L28" s="360" t="n"/>
      <c r="M28" s="360" t="n"/>
      <c r="N28" s="360" t="n"/>
      <c r="O28" s="360" t="n"/>
      <c r="P28" s="360" t="n"/>
      <c r="Q28" s="360" t="n"/>
      <c r="R28" s="360" t="n"/>
      <c r="S28" s="360" t="n"/>
      <c r="T28" s="360" t="n"/>
      <c r="U28" s="322" t="inlineStr">
        <is>
          <t>x</t>
        </is>
      </c>
    </row>
    <row r="29">
      <c r="B29" s="421" t="inlineStr">
        <is>
          <t>IRR</t>
        </is>
      </c>
      <c r="C29" s="422">
        <f>'Promote Cash Flow'!D53</f>
        <v/>
      </c>
      <c r="D29" s="360" t="n"/>
      <c r="H29" s="360" t="n"/>
      <c r="I29" s="360" t="n"/>
      <c r="J29" s="360" t="n"/>
      <c r="K29" s="360" t="n"/>
      <c r="L29" s="360" t="n"/>
      <c r="M29" s="360" t="n"/>
      <c r="N29" s="360" t="n"/>
      <c r="O29" s="360" t="n"/>
      <c r="P29" s="360" t="n"/>
      <c r="Q29" s="360" t="n"/>
      <c r="R29" s="360" t="n"/>
      <c r="S29" s="360" t="n"/>
      <c r="T29" s="360" t="n"/>
      <c r="U29" s="322" t="inlineStr">
        <is>
          <t>x</t>
        </is>
      </c>
    </row>
    <row r="30">
      <c r="B30" s="426" t="inlineStr">
        <is>
          <t>Profit</t>
        </is>
      </c>
      <c r="C30" s="660">
        <f>'Promote Cash Flow'!D54</f>
        <v/>
      </c>
      <c r="D30" s="360" t="n"/>
      <c r="H30" s="360" t="n"/>
      <c r="I30" s="360" t="n"/>
      <c r="J30" s="360" t="n"/>
      <c r="K30" s="360" t="n"/>
      <c r="L30" s="360" t="n"/>
      <c r="M30" s="360" t="n"/>
      <c r="N30" s="360" t="n"/>
      <c r="O30" s="360" t="n"/>
      <c r="P30" s="360" t="n"/>
      <c r="Q30" s="360" t="n"/>
      <c r="R30" s="360" t="n"/>
      <c r="S30" s="360" t="n"/>
      <c r="T30" s="360" t="n"/>
      <c r="U30" s="322" t="inlineStr">
        <is>
          <t>x</t>
        </is>
      </c>
    </row>
    <row r="31">
      <c r="B31" s="426">
        <f>'Promote Cash Flow'!C55</f>
        <v/>
      </c>
      <c r="C31" s="517">
        <f>'Promote Cash Flow'!D55</f>
        <v/>
      </c>
      <c r="D31" s="360" t="n"/>
      <c r="H31" s="360" t="n"/>
      <c r="I31" s="360" t="n"/>
      <c r="J31" s="360" t="n"/>
      <c r="K31" s="360" t="n"/>
      <c r="L31" s="360" t="n"/>
      <c r="M31" s="360" t="n"/>
      <c r="N31" s="360" t="n"/>
      <c r="O31" s="360" t="n"/>
      <c r="P31" s="360" t="n"/>
      <c r="Q31" s="360" t="n"/>
      <c r="R31" s="360" t="n"/>
      <c r="S31" s="360" t="n"/>
      <c r="T31" s="360" t="n"/>
      <c r="U31" s="322" t="inlineStr">
        <is>
          <t>x</t>
        </is>
      </c>
    </row>
    <row r="32">
      <c r="B32" s="363">
        <f>'Promote Cash Flow'!C56</f>
        <v/>
      </c>
      <c r="C32" s="435">
        <f>'Promote Cash Flow'!D56</f>
        <v/>
      </c>
      <c r="D32" s="360" t="n"/>
      <c r="E32" s="360" t="n"/>
      <c r="F32" s="360" t="n"/>
      <c r="G32" s="360" t="n"/>
      <c r="H32" s="360" t="n"/>
      <c r="I32" s="360" t="n"/>
      <c r="J32" s="360" t="n"/>
      <c r="K32" s="360" t="n"/>
      <c r="L32" s="360" t="n"/>
      <c r="M32" s="360" t="n"/>
      <c r="N32" s="360" t="n"/>
      <c r="O32" s="360" t="n"/>
      <c r="P32" s="360" t="n"/>
      <c r="Q32" s="360" t="n"/>
      <c r="R32" s="360" t="n"/>
      <c r="S32" s="360" t="n"/>
      <c r="T32" s="360" t="n"/>
      <c r="U32" s="322" t="inlineStr">
        <is>
          <t>x</t>
        </is>
      </c>
    </row>
    <row r="33">
      <c r="B33" s="360" t="n"/>
      <c r="C33" s="360" t="n"/>
      <c r="D33" s="360" t="n"/>
      <c r="E33" s="360" t="n"/>
      <c r="F33" s="360" t="n"/>
      <c r="G33" s="360" t="n"/>
      <c r="H33" s="360" t="n"/>
      <c r="I33" s="360" t="n"/>
      <c r="J33" s="360" t="n"/>
      <c r="K33" s="360" t="n"/>
      <c r="L33" s="360" t="n"/>
      <c r="M33" s="360" t="n"/>
      <c r="N33" s="360" t="n"/>
      <c r="O33" s="360" t="n"/>
      <c r="P33" s="360" t="n"/>
      <c r="Q33" s="360" t="n"/>
      <c r="R33" s="360" t="n"/>
      <c r="S33" s="360" t="n"/>
      <c r="T33" s="360" t="n"/>
      <c r="U33" s="322" t="inlineStr">
        <is>
          <t>x</t>
        </is>
      </c>
    </row>
    <row r="34">
      <c r="U34" s="322" t="inlineStr">
        <is>
          <t>x</t>
        </is>
      </c>
    </row>
    <row r="35">
      <c r="B35" s="689">
        <f>'Promote Cash Flow'!C59</f>
        <v/>
      </c>
      <c r="C35" s="690" t="n"/>
      <c r="D35" s="690" t="inlineStr">
        <is>
          <t>Closing</t>
        </is>
      </c>
      <c r="E35" s="691" t="n">
        <v>1</v>
      </c>
      <c r="F35" s="691">
        <f>E35+1</f>
        <v/>
      </c>
      <c r="G35" s="691">
        <f>F35+1</f>
        <v/>
      </c>
      <c r="H35" s="691">
        <f>G35+1</f>
        <v/>
      </c>
      <c r="I35" s="696">
        <f>H35+1</f>
        <v/>
      </c>
      <c r="J35" s="696">
        <f>I35+1</f>
        <v/>
      </c>
      <c r="K35" s="696">
        <f>J35+1</f>
        <v/>
      </c>
      <c r="L35" s="696">
        <f>K35+1</f>
        <v/>
      </c>
      <c r="M35" s="696">
        <f>L35+1</f>
        <v/>
      </c>
      <c r="N35" s="696">
        <f>M35+1</f>
        <v/>
      </c>
      <c r="O35" s="696">
        <f>N35+1</f>
        <v/>
      </c>
      <c r="P35" s="696">
        <f>O35+1</f>
        <v/>
      </c>
      <c r="Q35" s="696">
        <f>P35+1</f>
        <v/>
      </c>
      <c r="R35" s="696">
        <f>Q35+1</f>
        <v/>
      </c>
      <c r="S35" s="696">
        <f>R35+1</f>
        <v/>
      </c>
      <c r="T35" s="692" t="inlineStr">
        <is>
          <t>Total</t>
        </is>
      </c>
      <c r="U35" s="322" t="inlineStr">
        <is>
          <t>x</t>
        </is>
      </c>
    </row>
    <row r="36">
      <c r="B36" s="406" t="inlineStr">
        <is>
          <t>Tier I</t>
        </is>
      </c>
      <c r="C36" s="672">
        <f>SUM(D36:M36)</f>
        <v/>
      </c>
      <c r="D36" s="697">
        <f>'Promote Cash Flow'!F60</f>
        <v/>
      </c>
      <c r="E36" s="693">
        <f>SUMIF('Promote Cash Flow'!$G$7:$DV$7,E$20,'Promote Cash Flow'!$G60:$DV60)</f>
        <v/>
      </c>
      <c r="F36" s="693">
        <f>SUMIF('Promote Cash Flow'!$G$7:$DV$7,F$20,'Promote Cash Flow'!$G60:$DV60)</f>
        <v/>
      </c>
      <c r="G36" s="693">
        <f>SUMIF('Promote Cash Flow'!$G$7:$DV$7,G$20,'Promote Cash Flow'!$G60:$DV60)</f>
        <v/>
      </c>
      <c r="H36" s="693">
        <f>SUMIF('Promote Cash Flow'!$G$7:$DV$7,H$20,'Promote Cash Flow'!$G60:$DV60)</f>
        <v/>
      </c>
      <c r="I36" s="693">
        <f>SUMIF('Promote Cash Flow'!$G$7:$DV$7,I$20,'Promote Cash Flow'!$G60:$DV60)</f>
        <v/>
      </c>
      <c r="J36" s="693">
        <f>SUMIF('Promote Cash Flow'!$G$7:$DV$7,J$20,'Promote Cash Flow'!$G60:$DV60)</f>
        <v/>
      </c>
      <c r="K36" s="693">
        <f>SUMIF('Promote Cash Flow'!$G$7:$DV$7,K$20,'Promote Cash Flow'!$G60:$DV60)</f>
        <v/>
      </c>
      <c r="L36" s="693">
        <f>SUMIF('Promote Cash Flow'!$G$7:$DV$7,L$20,'Promote Cash Flow'!$G60:$DV60)</f>
        <v/>
      </c>
      <c r="M36" s="693">
        <f>SUMIF('Promote Cash Flow'!$G$7:$DV$7,M$20,'Promote Cash Flow'!$G60:$DV60)</f>
        <v/>
      </c>
      <c r="N36" s="693">
        <f>SUMIF('Promote Cash Flow'!$G$7:$DV$7,N$20,'Promote Cash Flow'!$G60:$DV60)</f>
        <v/>
      </c>
      <c r="O36" s="693">
        <f>SUMIF('Promote Cash Flow'!$G$7:$DV$7,O$20,'Promote Cash Flow'!$G60:$DV60)</f>
        <v/>
      </c>
      <c r="P36" s="693">
        <f>SUMIF('Promote Cash Flow'!$G$7:$DV$7,P$20,'Promote Cash Flow'!$G60:$DV60)</f>
        <v/>
      </c>
      <c r="Q36" s="693">
        <f>SUMIF('Promote Cash Flow'!$G$7:$DV$7,Q$20,'Promote Cash Flow'!$G60:$DV60)</f>
        <v/>
      </c>
      <c r="R36" s="693">
        <f>SUMIF('Promote Cash Flow'!$G$7:$DV$7,R$20,'Promote Cash Flow'!$G60:$DV60)</f>
        <v/>
      </c>
      <c r="S36" s="693">
        <f>SUMIF('Promote Cash Flow'!$G$7:$DV$7,S$20,'Promote Cash Flow'!$G60:$DV60)</f>
        <v/>
      </c>
      <c r="T36" s="694">
        <f>SUM(D36:S36)</f>
        <v/>
      </c>
      <c r="U36" s="322" t="inlineStr">
        <is>
          <t>x</t>
        </is>
      </c>
    </row>
    <row r="37">
      <c r="B37" s="406" t="inlineStr">
        <is>
          <t>Tier II</t>
        </is>
      </c>
      <c r="C37" s="410">
        <f>SUM(D37:M37)</f>
        <v/>
      </c>
      <c r="D37" s="438">
        <f>ROUND('Promote Cash Flow'!F61,15)</f>
        <v/>
      </c>
      <c r="E37" s="412">
        <f>SUMIF('Promote Cash Flow'!$G$7:$DV$7,E$20,'Promote Cash Flow'!$G61:$DV61)</f>
        <v/>
      </c>
      <c r="F37" s="412">
        <f>SUMIF('Promote Cash Flow'!$G$7:$DV$7,F$20,'Promote Cash Flow'!$G61:$DV61)</f>
        <v/>
      </c>
      <c r="G37" s="412">
        <f>SUMIF('Promote Cash Flow'!$G$7:$DV$7,G$20,'Promote Cash Flow'!$G61:$DV61)</f>
        <v/>
      </c>
      <c r="H37" s="412">
        <f>SUMIF('Promote Cash Flow'!$G$7:$DV$7,H$20,'Promote Cash Flow'!$G61:$DV61)</f>
        <v/>
      </c>
      <c r="I37" s="412">
        <f>SUMIF('Promote Cash Flow'!$G$7:$DV$7,I$20,'Promote Cash Flow'!$G61:$DV61)</f>
        <v/>
      </c>
      <c r="J37" s="412">
        <f>SUMIF('Promote Cash Flow'!$G$7:$DV$7,J$20,'Promote Cash Flow'!$G61:$DV61)</f>
        <v/>
      </c>
      <c r="K37" s="412">
        <f>SUMIF('Promote Cash Flow'!$G$7:$DV$7,K$20,'Promote Cash Flow'!$G61:$DV61)</f>
        <v/>
      </c>
      <c r="L37" s="412">
        <f>SUMIF('Promote Cash Flow'!$G$7:$DV$7,L$20,'Promote Cash Flow'!$G61:$DV61)</f>
        <v/>
      </c>
      <c r="M37" s="412">
        <f>SUMIF('Promote Cash Flow'!$G$7:$DV$7,M$20,'Promote Cash Flow'!$G61:$DV61)</f>
        <v/>
      </c>
      <c r="N37" s="412">
        <f>SUMIF('Promote Cash Flow'!$G$7:$DV$7,N$20,'Promote Cash Flow'!$G61:$DV61)</f>
        <v/>
      </c>
      <c r="O37" s="412">
        <f>SUMIF('Promote Cash Flow'!$G$7:$DV$7,O$20,'Promote Cash Flow'!$G61:$DV61)</f>
        <v/>
      </c>
      <c r="P37" s="412">
        <f>SUMIF('Promote Cash Flow'!$G$7:$DV$7,P$20,'Promote Cash Flow'!$G61:$DV61)</f>
        <v/>
      </c>
      <c r="Q37" s="412">
        <f>SUMIF('Promote Cash Flow'!$G$7:$DV$7,Q$20,'Promote Cash Flow'!$G61:$DV61)</f>
        <v/>
      </c>
      <c r="R37" s="412">
        <f>SUMIF('Promote Cash Flow'!$G$7:$DV$7,R$20,'Promote Cash Flow'!$G61:$DV61)</f>
        <v/>
      </c>
      <c r="S37" s="412">
        <f>SUMIF('Promote Cash Flow'!$G$7:$DV$7,S$20,'Promote Cash Flow'!$G61:$DV61)</f>
        <v/>
      </c>
      <c r="T37" s="515">
        <f>SUM(D37:S37)</f>
        <v/>
      </c>
      <c r="U37" s="322" t="inlineStr">
        <is>
          <t>x</t>
        </is>
      </c>
    </row>
    <row r="38">
      <c r="B38" s="406" t="inlineStr">
        <is>
          <t>Tier II Promote</t>
        </is>
      </c>
      <c r="C38" s="410">
        <f>SUM(D38:M38)</f>
        <v/>
      </c>
      <c r="D38" s="438">
        <f>'Promote Cash Flow'!F62</f>
        <v/>
      </c>
      <c r="E38" s="412">
        <f>SUMIF('Promote Cash Flow'!$G$7:$DV$7,E$20,'Promote Cash Flow'!$G62:$DV62)</f>
        <v/>
      </c>
      <c r="F38" s="412">
        <f>SUMIF('Promote Cash Flow'!$G$7:$DV$7,F$20,'Promote Cash Flow'!$G62:$DV62)</f>
        <v/>
      </c>
      <c r="G38" s="412">
        <f>SUMIF('Promote Cash Flow'!$G$7:$DV$7,G$20,'Promote Cash Flow'!$G62:$DV62)</f>
        <v/>
      </c>
      <c r="H38" s="412">
        <f>SUMIF('Promote Cash Flow'!$G$7:$DV$7,H$20,'Promote Cash Flow'!$G62:$DV62)</f>
        <v/>
      </c>
      <c r="I38" s="412">
        <f>SUMIF('Promote Cash Flow'!$G$7:$DV$7,I$20,'Promote Cash Flow'!$G62:$DV62)</f>
        <v/>
      </c>
      <c r="J38" s="412">
        <f>SUMIF('Promote Cash Flow'!$G$7:$DV$7,J$20,'Promote Cash Flow'!$G62:$DV62)</f>
        <v/>
      </c>
      <c r="K38" s="412">
        <f>SUMIF('Promote Cash Flow'!$G$7:$DV$7,K$20,'Promote Cash Flow'!$G62:$DV62)</f>
        <v/>
      </c>
      <c r="L38" s="412">
        <f>SUMIF('Promote Cash Flow'!$G$7:$DV$7,L$20,'Promote Cash Flow'!$G62:$DV62)</f>
        <v/>
      </c>
      <c r="M38" s="412">
        <f>SUMIF('Promote Cash Flow'!$G$7:$DV$7,M$20,'Promote Cash Flow'!$G62:$DV62)</f>
        <v/>
      </c>
      <c r="N38" s="412">
        <f>SUMIF('Promote Cash Flow'!$G$7:$DV$7,N$20,'Promote Cash Flow'!$G62:$DV62)</f>
        <v/>
      </c>
      <c r="O38" s="412">
        <f>SUMIF('Promote Cash Flow'!$G$7:$DV$7,O$20,'Promote Cash Flow'!$G62:$DV62)</f>
        <v/>
      </c>
      <c r="P38" s="412">
        <f>SUMIF('Promote Cash Flow'!$G$7:$DV$7,P$20,'Promote Cash Flow'!$G62:$DV62)</f>
        <v/>
      </c>
      <c r="Q38" s="412">
        <f>SUMIF('Promote Cash Flow'!$G$7:$DV$7,Q$20,'Promote Cash Flow'!$G62:$DV62)</f>
        <v/>
      </c>
      <c r="R38" s="412">
        <f>SUMIF('Promote Cash Flow'!$G$7:$DV$7,R$20,'Promote Cash Flow'!$G62:$DV62)</f>
        <v/>
      </c>
      <c r="S38" s="412">
        <f>SUMIF('Promote Cash Flow'!$G$7:$DV$7,S$20,'Promote Cash Flow'!$G62:$DV62)</f>
        <v/>
      </c>
      <c r="T38" s="515">
        <f>SUM(D38:S38)</f>
        <v/>
      </c>
      <c r="U38" s="322" t="inlineStr">
        <is>
          <t>x</t>
        </is>
      </c>
    </row>
    <row r="39">
      <c r="B39" s="406" t="inlineStr">
        <is>
          <t>Tier III</t>
        </is>
      </c>
      <c r="C39" s="410">
        <f>SUM(D39:M39)</f>
        <v/>
      </c>
      <c r="D39" s="438">
        <f>'Promote Cash Flow'!F63</f>
        <v/>
      </c>
      <c r="E39" s="412">
        <f>SUMIF('Promote Cash Flow'!$G$7:$DV$7,E$20,'Promote Cash Flow'!$G63:$DV63)</f>
        <v/>
      </c>
      <c r="F39" s="412">
        <f>SUMIF('Promote Cash Flow'!$G$7:$DV$7,F$20,'Promote Cash Flow'!$G63:$DV63)</f>
        <v/>
      </c>
      <c r="G39" s="412">
        <f>SUMIF('Promote Cash Flow'!$G$7:$DV$7,G$20,'Promote Cash Flow'!$G63:$DV63)</f>
        <v/>
      </c>
      <c r="H39" s="412">
        <f>SUMIF('Promote Cash Flow'!$G$7:$DV$7,H$20,'Promote Cash Flow'!$G63:$DV63)</f>
        <v/>
      </c>
      <c r="I39" s="412">
        <f>SUMIF('Promote Cash Flow'!$G$7:$DV$7,I$20,'Promote Cash Flow'!$G63:$DV63)</f>
        <v/>
      </c>
      <c r="J39" s="412">
        <f>SUMIF('Promote Cash Flow'!$G$7:$DV$7,J$20,'Promote Cash Flow'!$G63:$DV63)</f>
        <v/>
      </c>
      <c r="K39" s="412">
        <f>SUMIF('Promote Cash Flow'!$G$7:$DV$7,K$20,'Promote Cash Flow'!$G63:$DV63)</f>
        <v/>
      </c>
      <c r="L39" s="412">
        <f>SUMIF('Promote Cash Flow'!$G$7:$DV$7,L$20,'Promote Cash Flow'!$G63:$DV63)</f>
        <v/>
      </c>
      <c r="M39" s="412">
        <f>SUMIF('Promote Cash Flow'!$G$7:$DV$7,M$20,'Promote Cash Flow'!$G63:$DV63)</f>
        <v/>
      </c>
      <c r="N39" s="412">
        <f>SUMIF('Promote Cash Flow'!$G$7:$DV$7,N$20,'Promote Cash Flow'!$G63:$DV63)</f>
        <v/>
      </c>
      <c r="O39" s="412">
        <f>SUMIF('Promote Cash Flow'!$G$7:$DV$7,O$20,'Promote Cash Flow'!$G63:$DV63)</f>
        <v/>
      </c>
      <c r="P39" s="412">
        <f>SUMIF('Promote Cash Flow'!$G$7:$DV$7,P$20,'Promote Cash Flow'!$G63:$DV63)</f>
        <v/>
      </c>
      <c r="Q39" s="412">
        <f>SUMIF('Promote Cash Flow'!$G$7:$DV$7,Q$20,'Promote Cash Flow'!$G63:$DV63)</f>
        <v/>
      </c>
      <c r="R39" s="412">
        <f>SUMIF('Promote Cash Flow'!$G$7:$DV$7,R$20,'Promote Cash Flow'!$G63:$DV63)</f>
        <v/>
      </c>
      <c r="S39" s="412">
        <f>SUMIF('Promote Cash Flow'!$G$7:$DV$7,S$20,'Promote Cash Flow'!$G63:$DV63)</f>
        <v/>
      </c>
      <c r="T39" s="515">
        <f>SUM(D39:S39)</f>
        <v/>
      </c>
      <c r="U39" s="322" t="inlineStr">
        <is>
          <t>x</t>
        </is>
      </c>
    </row>
    <row r="40">
      <c r="B40" s="406" t="inlineStr">
        <is>
          <t>Tier III Promote</t>
        </is>
      </c>
      <c r="C40" s="410">
        <f>SUM(D40:M40)</f>
        <v/>
      </c>
      <c r="D40" s="438">
        <f>'Promote Cash Flow'!F64</f>
        <v/>
      </c>
      <c r="E40" s="412">
        <f>SUMIF('Promote Cash Flow'!$G$7:$DV$7,E$20,'Promote Cash Flow'!$G64:$DV64)</f>
        <v/>
      </c>
      <c r="F40" s="412">
        <f>SUMIF('Promote Cash Flow'!$G$7:$DV$7,F$20,'Promote Cash Flow'!$G64:$DV64)</f>
        <v/>
      </c>
      <c r="G40" s="412">
        <f>SUMIF('Promote Cash Flow'!$G$7:$DV$7,G$20,'Promote Cash Flow'!$G64:$DV64)</f>
        <v/>
      </c>
      <c r="H40" s="412">
        <f>SUMIF('Promote Cash Flow'!$G$7:$DV$7,H$20,'Promote Cash Flow'!$G64:$DV64)</f>
        <v/>
      </c>
      <c r="I40" s="412">
        <f>SUMIF('Promote Cash Flow'!$G$7:$DV$7,I$20,'Promote Cash Flow'!$G64:$DV64)</f>
        <v/>
      </c>
      <c r="J40" s="412">
        <f>SUMIF('Promote Cash Flow'!$G$7:$DV$7,J$20,'Promote Cash Flow'!$G64:$DV64)</f>
        <v/>
      </c>
      <c r="K40" s="412">
        <f>SUMIF('Promote Cash Flow'!$G$7:$DV$7,K$20,'Promote Cash Flow'!$G64:$DV64)</f>
        <v/>
      </c>
      <c r="L40" s="412">
        <f>SUMIF('Promote Cash Flow'!$G$7:$DV$7,L$20,'Promote Cash Flow'!$G64:$DV64)</f>
        <v/>
      </c>
      <c r="M40" s="412">
        <f>SUMIF('Promote Cash Flow'!$G$7:$DV$7,M$20,'Promote Cash Flow'!$G64:$DV64)</f>
        <v/>
      </c>
      <c r="N40" s="412">
        <f>SUMIF('Promote Cash Flow'!$G$7:$DV$7,N$20,'Promote Cash Flow'!$G64:$DV64)</f>
        <v/>
      </c>
      <c r="O40" s="412">
        <f>SUMIF('Promote Cash Flow'!$G$7:$DV$7,O$20,'Promote Cash Flow'!$G64:$DV64)</f>
        <v/>
      </c>
      <c r="P40" s="412">
        <f>SUMIF('Promote Cash Flow'!$G$7:$DV$7,P$20,'Promote Cash Flow'!$G64:$DV64)</f>
        <v/>
      </c>
      <c r="Q40" s="412">
        <f>SUMIF('Promote Cash Flow'!$G$7:$DV$7,Q$20,'Promote Cash Flow'!$G64:$DV64)</f>
        <v/>
      </c>
      <c r="R40" s="412">
        <f>SUMIF('Promote Cash Flow'!$G$7:$DV$7,R$20,'Promote Cash Flow'!$G64:$DV64)</f>
        <v/>
      </c>
      <c r="S40" s="412">
        <f>SUMIF('Promote Cash Flow'!$G$7:$DV$7,S$20,'Promote Cash Flow'!$G64:$DV64)</f>
        <v/>
      </c>
      <c r="T40" s="515">
        <f>SUM(D40:S40)</f>
        <v/>
      </c>
      <c r="U40" s="322" t="inlineStr">
        <is>
          <t>x</t>
        </is>
      </c>
    </row>
    <row r="41" outlineLevel="1">
      <c r="B41" s="406" t="inlineStr">
        <is>
          <t>Tier IV</t>
        </is>
      </c>
      <c r="C41" s="410">
        <f>SUM(D41:M41)</f>
        <v/>
      </c>
      <c r="D41" s="438">
        <f>'Promote Cash Flow'!F65</f>
        <v/>
      </c>
      <c r="E41" s="412">
        <f>SUMIF('Promote Cash Flow'!$G$7:$DV$7,E$20,'Promote Cash Flow'!$G65:$DV65)</f>
        <v/>
      </c>
      <c r="F41" s="412">
        <f>SUMIF('Promote Cash Flow'!$G$7:$DV$7,F$20,'Promote Cash Flow'!$G65:$DV65)</f>
        <v/>
      </c>
      <c r="G41" s="412">
        <f>SUMIF('Promote Cash Flow'!$G$7:$DV$7,G$20,'Promote Cash Flow'!$G65:$DV65)</f>
        <v/>
      </c>
      <c r="H41" s="412">
        <f>SUMIF('Promote Cash Flow'!$G$7:$DV$7,H$20,'Promote Cash Flow'!$G65:$DV65)</f>
        <v/>
      </c>
      <c r="I41" s="412">
        <f>SUMIF('Promote Cash Flow'!$G$7:$DV$7,I$20,'Promote Cash Flow'!$G65:$DV65)</f>
        <v/>
      </c>
      <c r="J41" s="412">
        <f>SUMIF('Promote Cash Flow'!$G$7:$DV$7,J$20,'Promote Cash Flow'!$G65:$DV65)</f>
        <v/>
      </c>
      <c r="K41" s="412">
        <f>SUMIF('Promote Cash Flow'!$G$7:$DV$7,K$20,'Promote Cash Flow'!$G65:$DV65)</f>
        <v/>
      </c>
      <c r="L41" s="412">
        <f>SUMIF('Promote Cash Flow'!$G$7:$DV$7,L$20,'Promote Cash Flow'!$G65:$DV65)</f>
        <v/>
      </c>
      <c r="M41" s="412">
        <f>SUMIF('Promote Cash Flow'!$G$7:$DV$7,M$20,'Promote Cash Flow'!$G65:$DV65)</f>
        <v/>
      </c>
      <c r="N41" s="412">
        <f>SUMIF('Promote Cash Flow'!$G$7:$DV$7,N$20,'Promote Cash Flow'!$G65:$DV65)</f>
        <v/>
      </c>
      <c r="O41" s="412">
        <f>SUMIF('Promote Cash Flow'!$G$7:$DV$7,O$20,'Promote Cash Flow'!$G65:$DV65)</f>
        <v/>
      </c>
      <c r="P41" s="412">
        <f>SUMIF('Promote Cash Flow'!$G$7:$DV$7,P$20,'Promote Cash Flow'!$G65:$DV65)</f>
        <v/>
      </c>
      <c r="Q41" s="412">
        <f>SUMIF('Promote Cash Flow'!$G$7:$DV$7,Q$20,'Promote Cash Flow'!$G65:$DV65)</f>
        <v/>
      </c>
      <c r="R41" s="412">
        <f>SUMIF('Promote Cash Flow'!$G$7:$DV$7,R$20,'Promote Cash Flow'!$G65:$DV65)</f>
        <v/>
      </c>
      <c r="S41" s="412">
        <f>SUMIF('Promote Cash Flow'!$G$7:$DV$7,S$20,'Promote Cash Flow'!$G65:$DV65)</f>
        <v/>
      </c>
      <c r="T41" s="515">
        <f>SUM(D41:S41)</f>
        <v/>
      </c>
      <c r="U41" s="322" t="inlineStr">
        <is>
          <t>x</t>
        </is>
      </c>
    </row>
    <row r="42" outlineLevel="1">
      <c r="B42" s="406" t="inlineStr">
        <is>
          <t>Tier IV Promote</t>
        </is>
      </c>
      <c r="C42" s="410">
        <f>SUM(D42:M42)</f>
        <v/>
      </c>
      <c r="D42" s="438">
        <f>'Promote Cash Flow'!F66</f>
        <v/>
      </c>
      <c r="E42" s="412">
        <f>SUMIF('Promote Cash Flow'!$G$7:$DV$7,E$20,'Promote Cash Flow'!$G66:$DV66)</f>
        <v/>
      </c>
      <c r="F42" s="412">
        <f>SUMIF('Promote Cash Flow'!$G$7:$DV$7,F$20,'Promote Cash Flow'!$G66:$DV66)</f>
        <v/>
      </c>
      <c r="G42" s="412">
        <f>SUMIF('Promote Cash Flow'!$G$7:$DV$7,G$20,'Promote Cash Flow'!$G66:$DV66)</f>
        <v/>
      </c>
      <c r="H42" s="412">
        <f>SUMIF('Promote Cash Flow'!$G$7:$DV$7,H$20,'Promote Cash Flow'!$G66:$DV66)</f>
        <v/>
      </c>
      <c r="I42" s="412">
        <f>SUMIF('Promote Cash Flow'!$G$7:$DV$7,I$20,'Promote Cash Flow'!$G66:$DV66)</f>
        <v/>
      </c>
      <c r="J42" s="412">
        <f>SUMIF('Promote Cash Flow'!$G$7:$DV$7,J$20,'Promote Cash Flow'!$G66:$DV66)</f>
        <v/>
      </c>
      <c r="K42" s="412">
        <f>SUMIF('Promote Cash Flow'!$G$7:$DV$7,K$20,'Promote Cash Flow'!$G66:$DV66)</f>
        <v/>
      </c>
      <c r="L42" s="412">
        <f>SUMIF('Promote Cash Flow'!$G$7:$DV$7,L$20,'Promote Cash Flow'!$G66:$DV66)</f>
        <v/>
      </c>
      <c r="M42" s="412">
        <f>SUMIF('Promote Cash Flow'!$G$7:$DV$7,M$20,'Promote Cash Flow'!$G66:$DV66)</f>
        <v/>
      </c>
      <c r="N42" s="412">
        <f>SUMIF('Promote Cash Flow'!$G$7:$DV$7,N$20,'Promote Cash Flow'!$G66:$DV66)</f>
        <v/>
      </c>
      <c r="O42" s="412">
        <f>SUMIF('Promote Cash Flow'!$G$7:$DV$7,O$20,'Promote Cash Flow'!$G66:$DV66)</f>
        <v/>
      </c>
      <c r="P42" s="412">
        <f>SUMIF('Promote Cash Flow'!$G$7:$DV$7,P$20,'Promote Cash Flow'!$G66:$DV66)</f>
        <v/>
      </c>
      <c r="Q42" s="412">
        <f>SUMIF('Promote Cash Flow'!$G$7:$DV$7,Q$20,'Promote Cash Flow'!$G66:$DV66)</f>
        <v/>
      </c>
      <c r="R42" s="412">
        <f>SUMIF('Promote Cash Flow'!$G$7:$DV$7,R$20,'Promote Cash Flow'!$G66:$DV66)</f>
        <v/>
      </c>
      <c r="S42" s="412">
        <f>SUMIF('Promote Cash Flow'!$G$7:$DV$7,S$20,'Promote Cash Flow'!$G66:$DV66)</f>
        <v/>
      </c>
      <c r="T42" s="515">
        <f>SUM(D42:S42)</f>
        <v/>
      </c>
      <c r="U42" s="322" t="inlineStr">
        <is>
          <t>x</t>
        </is>
      </c>
    </row>
    <row r="43">
      <c r="B43" s="406" t="inlineStr">
        <is>
          <t>Thereafter</t>
        </is>
      </c>
      <c r="C43" s="410">
        <f>SUM(D43:M43)</f>
        <v/>
      </c>
      <c r="D43" s="438">
        <f>'Promote Cash Flow'!F67</f>
        <v/>
      </c>
      <c r="E43" s="412">
        <f>SUMIF('Promote Cash Flow'!$G$7:$DV$7,E$20,'Promote Cash Flow'!$G67:$DV67)</f>
        <v/>
      </c>
      <c r="F43" s="412">
        <f>SUMIF('Promote Cash Flow'!$G$7:$DV$7,F$20,'Promote Cash Flow'!$G67:$DV67)</f>
        <v/>
      </c>
      <c r="G43" s="412">
        <f>SUMIF('Promote Cash Flow'!$G$7:$DV$7,G$20,'Promote Cash Flow'!$G67:$DV67)</f>
        <v/>
      </c>
      <c r="H43" s="412">
        <f>SUMIF('Promote Cash Flow'!$G$7:$DV$7,H$20,'Promote Cash Flow'!$G67:$DV67)</f>
        <v/>
      </c>
      <c r="I43" s="412">
        <f>SUMIF('Promote Cash Flow'!$G$7:$DV$7,I$20,'Promote Cash Flow'!$G67:$DV67)</f>
        <v/>
      </c>
      <c r="J43" s="412">
        <f>SUMIF('Promote Cash Flow'!$G$7:$DV$7,J$20,'Promote Cash Flow'!$G67:$DV67)</f>
        <v/>
      </c>
      <c r="K43" s="412">
        <f>SUMIF('Promote Cash Flow'!$G$7:$DV$7,K$20,'Promote Cash Flow'!$G67:$DV67)</f>
        <v/>
      </c>
      <c r="L43" s="412">
        <f>SUMIF('Promote Cash Flow'!$G$7:$DV$7,L$20,'Promote Cash Flow'!$G67:$DV67)</f>
        <v/>
      </c>
      <c r="M43" s="412">
        <f>SUMIF('Promote Cash Flow'!$G$7:$DV$7,M$20,'Promote Cash Flow'!$G67:$DV67)</f>
        <v/>
      </c>
      <c r="N43" s="412">
        <f>SUMIF('Promote Cash Flow'!$G$7:$DV$7,N$20,'Promote Cash Flow'!$G67:$DV67)</f>
        <v/>
      </c>
      <c r="O43" s="412">
        <f>SUMIF('Promote Cash Flow'!$G$7:$DV$7,O$20,'Promote Cash Flow'!$G67:$DV67)</f>
        <v/>
      </c>
      <c r="P43" s="412">
        <f>SUMIF('Promote Cash Flow'!$G$7:$DV$7,P$20,'Promote Cash Flow'!$G67:$DV67)</f>
        <v/>
      </c>
      <c r="Q43" s="412">
        <f>SUMIF('Promote Cash Flow'!$G$7:$DV$7,Q$20,'Promote Cash Flow'!$G67:$DV67)</f>
        <v/>
      </c>
      <c r="R43" s="412">
        <f>SUMIF('Promote Cash Flow'!$G$7:$DV$7,R$20,'Promote Cash Flow'!$G67:$DV67)</f>
        <v/>
      </c>
      <c r="S43" s="412">
        <f>SUMIF('Promote Cash Flow'!$G$7:$DV$7,S$20,'Promote Cash Flow'!$G67:$DV67)</f>
        <v/>
      </c>
      <c r="T43" s="515">
        <f>SUM(D43:S43)</f>
        <v/>
      </c>
      <c r="U43" s="322" t="inlineStr">
        <is>
          <t>x</t>
        </is>
      </c>
    </row>
    <row r="44">
      <c r="B44" s="406">
        <f>B43&amp;" Promote"</f>
        <v/>
      </c>
      <c r="C44" s="410">
        <f>SUM(D44:M44)</f>
        <v/>
      </c>
      <c r="D44" s="439">
        <f>'Promote Cash Flow'!F68</f>
        <v/>
      </c>
      <c r="E44" s="440">
        <f>SUMIF('Promote Cash Flow'!$G$7:$DV$7,E$20,'Promote Cash Flow'!$G68:$DV68)</f>
        <v/>
      </c>
      <c r="F44" s="440">
        <f>SUMIF('Promote Cash Flow'!$G$7:$DV$7,F$20,'Promote Cash Flow'!$G68:$DV68)</f>
        <v/>
      </c>
      <c r="G44" s="440">
        <f>SUMIF('Promote Cash Flow'!$G$7:$DV$7,G$20,'Promote Cash Flow'!$G68:$DV68)</f>
        <v/>
      </c>
      <c r="H44" s="440">
        <f>SUMIF('Promote Cash Flow'!$G$7:$DV$7,H$20,'Promote Cash Flow'!$G68:$DV68)</f>
        <v/>
      </c>
      <c r="I44" s="440">
        <f>SUMIF('Promote Cash Flow'!$G$7:$DV$7,I$20,'Promote Cash Flow'!$G68:$DV68)</f>
        <v/>
      </c>
      <c r="J44" s="440">
        <f>SUMIF('Promote Cash Flow'!$G$7:$DV$7,J$20,'Promote Cash Flow'!$G68:$DV68)</f>
        <v/>
      </c>
      <c r="K44" s="440">
        <f>SUMIF('Promote Cash Flow'!$G$7:$DV$7,K$20,'Promote Cash Flow'!$G68:$DV68)</f>
        <v/>
      </c>
      <c r="L44" s="440">
        <f>SUMIF('Promote Cash Flow'!$G$7:$DV$7,L$20,'Promote Cash Flow'!$G68:$DV68)</f>
        <v/>
      </c>
      <c r="M44" s="440">
        <f>SUMIF('Promote Cash Flow'!$G$7:$DV$7,M$20,'Promote Cash Flow'!$G68:$DV68)</f>
        <v/>
      </c>
      <c r="N44" s="440">
        <f>SUMIF('Promote Cash Flow'!$G$7:$DV$7,N$20,'Promote Cash Flow'!$G68:$DV68)</f>
        <v/>
      </c>
      <c r="O44" s="440">
        <f>SUMIF('Promote Cash Flow'!$G$7:$DV$7,O$20,'Promote Cash Flow'!$G68:$DV68)</f>
        <v/>
      </c>
      <c r="P44" s="440">
        <f>SUMIF('Promote Cash Flow'!$G$7:$DV$7,P$20,'Promote Cash Flow'!$G68:$DV68)</f>
        <v/>
      </c>
      <c r="Q44" s="440">
        <f>SUMIF('Promote Cash Flow'!$G$7:$DV$7,Q$20,'Promote Cash Flow'!$G68:$DV68)</f>
        <v/>
      </c>
      <c r="R44" s="440">
        <f>SUMIF('Promote Cash Flow'!$G$7:$DV$7,R$20,'Promote Cash Flow'!$G68:$DV68)</f>
        <v/>
      </c>
      <c r="S44" s="440">
        <f>SUMIF('Promote Cash Flow'!$G$7:$DV$7,S$20,'Promote Cash Flow'!$G68:$DV68)</f>
        <v/>
      </c>
      <c r="T44" s="515">
        <f>SUM(D44:S44)</f>
        <v/>
      </c>
      <c r="U44" s="322" t="inlineStr">
        <is>
          <t>x</t>
        </is>
      </c>
    </row>
    <row r="45" ht="17.25" customHeight="1" thickBot="1">
      <c r="B45" s="499" t="inlineStr">
        <is>
          <t>Total</t>
        </is>
      </c>
      <c r="C45" s="656">
        <f>SUM(C36:C44)</f>
        <v/>
      </c>
      <c r="D45" s="658">
        <f>SUM(D36:D44)</f>
        <v/>
      </c>
      <c r="E45" s="658">
        <f>SUM(E36:E44)</f>
        <v/>
      </c>
      <c r="F45" s="658">
        <f>SUM(F36:F44)</f>
        <v/>
      </c>
      <c r="G45" s="658">
        <f>SUM(G36:G44)</f>
        <v/>
      </c>
      <c r="H45" s="658">
        <f>SUM(H36:H44)</f>
        <v/>
      </c>
      <c r="I45" s="658">
        <f>SUM(I36:I44)</f>
        <v/>
      </c>
      <c r="J45" s="658">
        <f>SUM(J36:J44)</f>
        <v/>
      </c>
      <c r="K45" s="658">
        <f>SUM(K36:K44)</f>
        <v/>
      </c>
      <c r="L45" s="658">
        <f>SUM(L36:L44)</f>
        <v/>
      </c>
      <c r="M45" s="658">
        <f>SUM(M36:M44)</f>
        <v/>
      </c>
      <c r="N45" s="658">
        <f>SUM(N36:N44)</f>
        <v/>
      </c>
      <c r="O45" s="658">
        <f>SUM(O36:O44)</f>
        <v/>
      </c>
      <c r="P45" s="658">
        <f>SUM(P36:P44)</f>
        <v/>
      </c>
      <c r="Q45" s="658">
        <f>SUM(Q36:Q44)</f>
        <v/>
      </c>
      <c r="R45" s="658">
        <f>SUM(R36:R44)</f>
        <v/>
      </c>
      <c r="S45" s="658">
        <f>SUM(S36:S44)</f>
        <v/>
      </c>
      <c r="T45" s="695">
        <f>SUM(D45:S45)</f>
        <v/>
      </c>
      <c r="U45" s="322" t="inlineStr">
        <is>
          <t>x</t>
        </is>
      </c>
    </row>
    <row r="46" ht="17.25" customHeight="1" thickTop="1">
      <c r="B46" s="360" t="n"/>
      <c r="C46" s="360" t="n"/>
      <c r="D46" s="360" t="n"/>
      <c r="E46" s="360" t="n"/>
      <c r="F46" s="360" t="n"/>
      <c r="G46" s="360" t="n"/>
      <c r="H46" s="360" t="n"/>
      <c r="I46" s="360" t="n"/>
      <c r="J46" s="360" t="n"/>
      <c r="K46" s="360" t="n"/>
      <c r="L46" s="360" t="n"/>
      <c r="M46" s="360" t="n"/>
      <c r="N46" s="360" t="n"/>
      <c r="O46" s="360" t="n"/>
      <c r="P46" s="360" t="n"/>
      <c r="Q46" s="360" t="n"/>
      <c r="R46" s="360" t="n"/>
      <c r="S46" s="360" t="n"/>
      <c r="T46" s="360" t="n"/>
      <c r="U46" s="322" t="inlineStr">
        <is>
          <t>x</t>
        </is>
      </c>
    </row>
    <row r="47">
      <c r="B47" s="416">
        <f>B8&amp;" Returns"</f>
        <v/>
      </c>
      <c r="C47" s="417" t="n"/>
      <c r="D47" s="360" t="n"/>
      <c r="E47" s="447" t="n"/>
      <c r="F47" s="360" t="n"/>
      <c r="G47" s="360" t="n"/>
      <c r="H47" s="360" t="n"/>
      <c r="I47" s="360" t="n"/>
      <c r="J47" s="360" t="n"/>
      <c r="K47" s="360" t="n"/>
      <c r="L47" s="360" t="n"/>
      <c r="M47" s="360" t="n"/>
      <c r="N47" s="360" t="n"/>
      <c r="O47" s="360" t="n"/>
      <c r="P47" s="360" t="n"/>
      <c r="Q47" s="360" t="n"/>
      <c r="R47" s="360" t="n"/>
      <c r="S47" s="360" t="n"/>
      <c r="T47" s="360" t="n"/>
      <c r="U47" s="322" t="inlineStr">
        <is>
          <t>x</t>
        </is>
      </c>
    </row>
    <row r="48">
      <c r="B48" s="421" t="inlineStr">
        <is>
          <t>IRR</t>
        </is>
      </c>
      <c r="C48" s="422">
        <f>'Promote Cash Flow'!D72</f>
        <v/>
      </c>
      <c r="D48" s="360" t="n"/>
      <c r="E48" s="445" t="n"/>
      <c r="F48" s="360" t="n"/>
      <c r="G48" s="360" t="n"/>
      <c r="H48" s="360" t="n"/>
      <c r="I48" s="360" t="n"/>
      <c r="J48" s="360" t="n"/>
      <c r="K48" s="360" t="n"/>
      <c r="L48" s="360" t="n"/>
      <c r="M48" s="360" t="n"/>
      <c r="N48" s="360" t="n"/>
      <c r="O48" s="360" t="n"/>
      <c r="P48" s="360" t="n"/>
      <c r="Q48" s="360" t="n"/>
      <c r="R48" s="360" t="n"/>
      <c r="S48" s="360" t="n"/>
      <c r="T48" s="360" t="n"/>
      <c r="U48" s="322" t="inlineStr">
        <is>
          <t>x</t>
        </is>
      </c>
    </row>
    <row r="49">
      <c r="B49" s="426" t="inlineStr">
        <is>
          <t>Profit</t>
        </is>
      </c>
      <c r="C49" s="660">
        <f>'Promote Cash Flow'!D73</f>
        <v/>
      </c>
      <c r="D49" s="360" t="n"/>
      <c r="E49" s="446" t="n"/>
      <c r="F49" s="360" t="n"/>
      <c r="G49" s="360" t="n"/>
      <c r="H49" s="360" t="n"/>
      <c r="I49" s="360" t="n"/>
      <c r="J49" s="360" t="n"/>
      <c r="K49" s="360" t="n"/>
      <c r="L49" s="360" t="n"/>
      <c r="M49" s="360" t="n"/>
      <c r="N49" s="360" t="n"/>
      <c r="O49" s="360" t="n"/>
      <c r="P49" s="360" t="n"/>
      <c r="Q49" s="360" t="n"/>
      <c r="R49" s="360" t="n"/>
      <c r="S49" s="360" t="n"/>
      <c r="T49" s="360" t="n"/>
      <c r="U49" s="322" t="inlineStr">
        <is>
          <t>x</t>
        </is>
      </c>
    </row>
    <row r="50">
      <c r="B50" s="426">
        <f>'Promote Cash Flow'!C74</f>
        <v/>
      </c>
      <c r="C50" s="517">
        <f>'Promote Cash Flow'!D74</f>
        <v/>
      </c>
      <c r="D50" s="360" t="n"/>
      <c r="E50" s="447" t="n"/>
      <c r="F50" s="360" t="n"/>
      <c r="G50" s="360" t="n"/>
      <c r="H50" s="360" t="n"/>
      <c r="I50" s="360" t="n"/>
      <c r="J50" s="360" t="n"/>
      <c r="K50" s="360" t="n"/>
      <c r="L50" s="360" t="n"/>
      <c r="M50" s="360" t="n"/>
      <c r="N50" s="360" t="n"/>
      <c r="O50" s="360" t="n"/>
      <c r="P50" s="360" t="n"/>
      <c r="Q50" s="360" t="n"/>
      <c r="R50" s="360" t="n"/>
      <c r="S50" s="360" t="n"/>
      <c r="T50" s="360" t="n"/>
      <c r="U50" s="322" t="inlineStr">
        <is>
          <t>x</t>
        </is>
      </c>
    </row>
    <row r="51">
      <c r="B51" s="363">
        <f>'Promote Cash Flow'!C75</f>
        <v/>
      </c>
      <c r="C51" s="435">
        <f>'Promote Cash Flow'!D75</f>
        <v/>
      </c>
      <c r="D51" s="360" t="n"/>
      <c r="E51" s="671" t="n"/>
      <c r="F51" s="360" t="n"/>
      <c r="G51" s="360" t="n"/>
      <c r="H51" s="360" t="n"/>
      <c r="I51" s="360" t="n"/>
      <c r="J51" s="360" t="n"/>
      <c r="K51" s="360" t="n"/>
      <c r="L51" s="360" t="n"/>
      <c r="M51" s="360" t="n"/>
      <c r="N51" s="360" t="n"/>
      <c r="O51" s="360" t="n"/>
      <c r="P51" s="360" t="n"/>
      <c r="Q51" s="360" t="n"/>
      <c r="R51" s="360" t="n"/>
      <c r="S51" s="360" t="n"/>
      <c r="T51" s="360" t="n"/>
      <c r="U51" s="322" t="inlineStr">
        <is>
          <t>x</t>
        </is>
      </c>
    </row>
    <row r="52">
      <c r="B52" s="360" t="n"/>
      <c r="C52" s="360" t="n"/>
      <c r="D52" s="360" t="n"/>
      <c r="E52" s="360" t="n"/>
      <c r="F52" s="360" t="n"/>
      <c r="G52" s="360" t="n"/>
      <c r="H52" s="360" t="n"/>
      <c r="I52" s="360" t="n"/>
      <c r="J52" s="360" t="n"/>
      <c r="K52" s="360" t="n"/>
      <c r="L52" s="360" t="n"/>
      <c r="M52" s="360" t="n"/>
      <c r="N52" s="360" t="n"/>
      <c r="O52" s="360" t="n"/>
      <c r="P52" s="360" t="n"/>
      <c r="Q52" s="360" t="n"/>
      <c r="R52" s="360" t="n"/>
      <c r="S52" s="360" t="n"/>
      <c r="T52" s="360" t="n"/>
      <c r="U52" s="322" t="inlineStr">
        <is>
          <t>x</t>
        </is>
      </c>
    </row>
    <row r="53"/>
    <row r="54">
      <c r="B54" s="520" t="inlineStr">
        <is>
          <t>Check</t>
        </is>
      </c>
      <c r="C54" s="521" t="n"/>
    </row>
    <row r="55">
      <c r="B55" s="522" t="inlineStr">
        <is>
          <t>Levered</t>
        </is>
      </c>
      <c r="C55" s="523">
        <f>ROUND(SUM(C49,C30),5)=ROUND('Promote Cash Flow'!D25,5)</f>
        <v/>
      </c>
    </row>
  </sheetData>
  <pageMargins left="0.2" right="0.2" top="0.25" bottom="0.25" header="0.3" footer="0.3"/>
  <pageSetup orientation="landscape" scale="71" fitToWidth="0"/>
</worksheet>
</file>

<file path=xl/worksheets/sheet19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A1:A1"/>
  <sheetViews>
    <sheetView showGridLines="1" view="normal" zoomScale="60" zoomScaleNormal="100"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Shaffer</dc:creator>
  <dcterms:created xmlns:dcterms="http://purl.org/dc/terms/" xmlns:xsi="http://www.w3.org/2001/XMLSchema-instance" xsi:type="dcterms:W3CDTF">2021-01-11T17:52:26Z</dcterms:created>
  <dcterms:modified xmlns:dcterms="http://purl.org/dc/terms/" xmlns:xsi="http://www.w3.org/2001/XMLSchema-instance" xsi:type="dcterms:W3CDTF">2026-10-15T03:06:53Z</dcterms:modified>
  <cp:lastModifiedBy>Abraham Rose</cp:lastModifiedBy>
  <cp:lastPrinted>2021-03-24T17:33:55Z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0x01010017724FA111BC0F4FADA53928B22C8A49</vt:lpwstr>
  </property>
</Properties>
</file>